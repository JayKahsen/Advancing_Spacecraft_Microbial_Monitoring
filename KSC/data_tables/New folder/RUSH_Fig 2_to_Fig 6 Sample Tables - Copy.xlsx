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GMCF\R\PPR\data_tables\"/>
    </mc:Choice>
  </mc:AlternateContent>
  <xr:revisionPtr revIDLastSave="0" documentId="13_ncr:1_{38750849-14CF-429A-830B-133EB2530E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" sheetId="11" r:id="rId1"/>
    <sheet name="Figure 2" sheetId="12" r:id="rId2"/>
    <sheet name="Figure 3" sheetId="13" r:id="rId3"/>
    <sheet name="Figure 4" sheetId="14" r:id="rId4"/>
    <sheet name="Figure 4A" sheetId="17" r:id="rId5"/>
    <sheet name="Figure 4B" sheetId="19" r:id="rId6"/>
    <sheet name="Figure 4C" sheetId="20" r:id="rId7"/>
    <sheet name="Figure 5" sheetId="15" r:id="rId8"/>
    <sheet name="Figure 6" sheetId="22" r:id="rId9"/>
    <sheet name="Figure 6A" sheetId="23" r:id="rId10"/>
    <sheet name="Figure 6B" sheetId="24" r:id="rId11"/>
  </sheets>
  <definedNames>
    <definedName name="_xlnm._FilterDatabase" localSheetId="4" hidden="1">'Figure 4A'!$A$1:$S$67</definedName>
    <definedName name="_xlnm._FilterDatabase" localSheetId="5" hidden="1">'Figure 4B'!$A$1:$W$41</definedName>
    <definedName name="_xlnm._FilterDatabase" localSheetId="6" hidden="1">'Figure 4C'!$A$1:$W$17</definedName>
    <definedName name="_xlnm._FilterDatabase" localSheetId="0" hidden="1">MASTER!$A$1:$AI$493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91x2sJfallD3dBtxXbX3B/0etSGEQxbKi2JQv0sSG0M="/>
    </ext>
  </extLst>
</workbook>
</file>

<file path=xl/calcChain.xml><?xml version="1.0" encoding="utf-8"?>
<calcChain xmlns="http://schemas.openxmlformats.org/spreadsheetml/2006/main">
  <c r="Y31" i="22" l="1"/>
  <c r="Z31" i="22" s="1"/>
  <c r="Q31" i="22"/>
  <c r="Y30" i="22"/>
  <c r="Z30" i="22" s="1"/>
  <c r="Q30" i="22"/>
  <c r="R30" i="22" s="1"/>
  <c r="Z29" i="22"/>
  <c r="Y29" i="22"/>
  <c r="Q29" i="22"/>
  <c r="R29" i="22" s="1"/>
  <c r="Y28" i="22"/>
  <c r="Z28" i="22" s="1"/>
  <c r="Q28" i="22"/>
  <c r="R28" i="22" s="1"/>
  <c r="Z27" i="22"/>
  <c r="Y27" i="22"/>
  <c r="Q27" i="22"/>
  <c r="R27" i="22" s="1"/>
  <c r="Y26" i="22"/>
  <c r="Z26" i="22" s="1"/>
  <c r="Q26" i="22"/>
  <c r="R26" i="22" s="1"/>
  <c r="Z25" i="22"/>
  <c r="Y25" i="22"/>
  <c r="Q25" i="22"/>
  <c r="R25" i="22" s="1"/>
  <c r="Y24" i="22"/>
  <c r="Z24" i="22" s="1"/>
  <c r="Q24" i="22"/>
  <c r="R24" i="22" s="1"/>
  <c r="Z23" i="22"/>
  <c r="Y23" i="22"/>
  <c r="Q23" i="22"/>
  <c r="R23" i="22" s="1"/>
  <c r="Y22" i="22"/>
  <c r="Z22" i="22" s="1"/>
  <c r="Q22" i="22"/>
  <c r="R22" i="22" s="1"/>
  <c r="Z21" i="22"/>
  <c r="Y21" i="22"/>
  <c r="Q21" i="22"/>
  <c r="R21" i="22" s="1"/>
  <c r="Y20" i="22"/>
  <c r="Z20" i="22" s="1"/>
  <c r="Q20" i="22"/>
  <c r="R20" i="22" s="1"/>
  <c r="Z19" i="22"/>
  <c r="Y19" i="22"/>
  <c r="R19" i="22"/>
  <c r="Q19" i="22"/>
  <c r="Y18" i="22"/>
  <c r="Z18" i="22" s="1"/>
  <c r="Q18" i="22"/>
  <c r="R18" i="22" s="1"/>
  <c r="Z17" i="22"/>
  <c r="Y17" i="22"/>
  <c r="R17" i="22"/>
  <c r="Q17" i="22"/>
  <c r="Y16" i="22"/>
  <c r="Z16" i="22" s="1"/>
  <c r="Q16" i="22"/>
  <c r="Z15" i="22"/>
  <c r="Y15" i="22"/>
  <c r="Q15" i="22"/>
  <c r="R15" i="22" s="1"/>
  <c r="Y14" i="22"/>
  <c r="Z14" i="22" s="1"/>
  <c r="Q14" i="22"/>
  <c r="R14" i="22" s="1"/>
  <c r="Z13" i="22"/>
  <c r="Y13" i="22"/>
  <c r="Q13" i="22"/>
  <c r="R13" i="22" s="1"/>
  <c r="Y12" i="22"/>
  <c r="Z12" i="22" s="1"/>
  <c r="Q12" i="22"/>
  <c r="R12" i="22" s="1"/>
  <c r="Z11" i="22"/>
  <c r="Y11" i="22"/>
  <c r="Q11" i="22"/>
  <c r="R11" i="22" s="1"/>
  <c r="Y10" i="22"/>
  <c r="Z10" i="22" s="1"/>
  <c r="Q10" i="22"/>
  <c r="R10" i="22" s="1"/>
  <c r="Z9" i="22"/>
  <c r="Y9" i="22"/>
  <c r="Q9" i="22"/>
  <c r="R9" i="22" s="1"/>
  <c r="Y8" i="22"/>
  <c r="Z8" i="22" s="1"/>
  <c r="Q8" i="22"/>
  <c r="R8" i="22" s="1"/>
  <c r="Z7" i="22"/>
  <c r="Y7" i="22"/>
  <c r="Q7" i="22"/>
  <c r="R7" i="22" s="1"/>
  <c r="Y6" i="22"/>
  <c r="Z6" i="22" s="1"/>
  <c r="Q6" i="22"/>
  <c r="R6" i="22" s="1"/>
  <c r="Z5" i="22"/>
  <c r="Y5" i="22"/>
  <c r="Q5" i="22"/>
  <c r="R5" i="22" s="1"/>
  <c r="Y4" i="22"/>
  <c r="Z4" i="22" s="1"/>
  <c r="Q4" i="22"/>
  <c r="R4" i="22" s="1"/>
  <c r="Z3" i="22"/>
  <c r="Y3" i="22"/>
  <c r="Q3" i="22"/>
  <c r="R3" i="22" s="1"/>
  <c r="Y2" i="22"/>
  <c r="Z2" i="22" s="1"/>
  <c r="Q2" i="22"/>
  <c r="R2" i="22" s="1"/>
  <c r="W3" i="19" l="1"/>
  <c r="W4" i="19"/>
  <c r="W5" i="20"/>
  <c r="Q6" i="17"/>
  <c r="R6" i="17" s="1"/>
  <c r="Q65" i="17"/>
  <c r="R65" i="17" s="1"/>
  <c r="Q53" i="17"/>
  <c r="R53" i="17" s="1"/>
  <c r="Q13" i="17"/>
  <c r="R13" i="17" s="1"/>
  <c r="Q2" i="17"/>
  <c r="R2" i="17" s="1"/>
  <c r="Q4" i="17"/>
  <c r="R4" i="17" s="1"/>
  <c r="W9" i="20"/>
  <c r="W8" i="20"/>
  <c r="W7" i="20"/>
  <c r="W6" i="20"/>
  <c r="W4" i="20"/>
  <c r="W3" i="20"/>
  <c r="W2" i="20"/>
  <c r="V10" i="19"/>
  <c r="V9" i="19"/>
  <c r="W9" i="19" s="1"/>
  <c r="V8" i="19"/>
  <c r="V6" i="19"/>
  <c r="W6" i="19" s="1"/>
  <c r="V3" i="19"/>
  <c r="W33" i="19"/>
  <c r="W32" i="19"/>
  <c r="W31" i="19"/>
  <c r="W30" i="19"/>
  <c r="W29" i="19"/>
  <c r="W28" i="19"/>
  <c r="W27" i="19"/>
  <c r="W26" i="19"/>
  <c r="V23" i="19"/>
  <c r="W23" i="19" s="1"/>
  <c r="V22" i="19"/>
  <c r="W22" i="19" s="1"/>
  <c r="V21" i="19"/>
  <c r="W21" i="19" s="1"/>
  <c r="V20" i="19"/>
  <c r="W20" i="19" s="1"/>
  <c r="V19" i="19"/>
  <c r="V18" i="19"/>
  <c r="W18" i="19" s="1"/>
  <c r="V17" i="19"/>
  <c r="W17" i="19" s="1"/>
  <c r="V16" i="19"/>
  <c r="W16" i="19" s="1"/>
  <c r="V15" i="19"/>
  <c r="W15" i="19" s="1"/>
  <c r="V14" i="19"/>
  <c r="V11" i="19"/>
  <c r="W8" i="19"/>
  <c r="V7" i="19"/>
  <c r="W7" i="19" s="1"/>
  <c r="V5" i="19"/>
  <c r="W5" i="19" s="1"/>
  <c r="V4" i="19"/>
  <c r="V2" i="19"/>
  <c r="W2" i="19" s="1"/>
  <c r="Q64" i="17"/>
  <c r="R64" i="17" s="1"/>
  <c r="Q63" i="17"/>
  <c r="R63" i="17" s="1"/>
  <c r="Q62" i="17"/>
  <c r="R62" i="17" s="1"/>
  <c r="Q60" i="17"/>
  <c r="R60" i="17" s="1"/>
  <c r="Q59" i="17"/>
  <c r="R59" i="17" s="1"/>
  <c r="Q58" i="17"/>
  <c r="R58" i="17" s="1"/>
  <c r="Q57" i="17"/>
  <c r="R57" i="17" s="1"/>
  <c r="Q52" i="17"/>
  <c r="R52" i="17" s="1"/>
  <c r="Q51" i="17"/>
  <c r="R51" i="17" s="1"/>
  <c r="Q50" i="17"/>
  <c r="R50" i="17" s="1"/>
  <c r="Q48" i="17"/>
  <c r="R48" i="17" s="1"/>
  <c r="Q47" i="17"/>
  <c r="R47" i="17" s="1"/>
  <c r="Q46" i="17"/>
  <c r="R46" i="17" s="1"/>
  <c r="Q45" i="17"/>
  <c r="R45" i="17" s="1"/>
  <c r="Q41" i="17"/>
  <c r="R41" i="17" s="1"/>
  <c r="Q40" i="17"/>
  <c r="R40" i="17" s="1"/>
  <c r="Q39" i="17"/>
  <c r="R39" i="17" s="1"/>
  <c r="Q38" i="17"/>
  <c r="R38" i="17" s="1"/>
  <c r="Q36" i="17"/>
  <c r="R36" i="17" s="1"/>
  <c r="Q35" i="17"/>
  <c r="R35" i="17" s="1"/>
  <c r="Q34" i="17"/>
  <c r="R34" i="17" s="1"/>
  <c r="Q33" i="17"/>
  <c r="R33" i="17" s="1"/>
  <c r="Q29" i="17"/>
  <c r="R29" i="17" s="1"/>
  <c r="Q28" i="17"/>
  <c r="R28" i="17" s="1"/>
  <c r="Q27" i="17"/>
  <c r="R27" i="17" s="1"/>
  <c r="Q26" i="17"/>
  <c r="R26" i="17" s="1"/>
  <c r="Q24" i="17"/>
  <c r="R24" i="17" s="1"/>
  <c r="Q23" i="17"/>
  <c r="R23" i="17" s="1"/>
  <c r="Q22" i="17"/>
  <c r="R22" i="17" s="1"/>
  <c r="Q21" i="17"/>
  <c r="R21" i="17" s="1"/>
  <c r="Q15" i="17"/>
  <c r="R15" i="17" s="1"/>
  <c r="Q14" i="17"/>
  <c r="R14" i="17" s="1"/>
  <c r="Q12" i="17"/>
  <c r="R12" i="17" s="1"/>
  <c r="Q11" i="17"/>
  <c r="R11" i="17" s="1"/>
  <c r="Q10" i="17"/>
  <c r="R10" i="17" s="1"/>
  <c r="Q7" i="17"/>
  <c r="R7" i="17" s="1"/>
  <c r="Q5" i="17"/>
  <c r="R5" i="17" s="1"/>
  <c r="Q3" i="17"/>
  <c r="R3" i="17" s="1"/>
</calcChain>
</file>

<file path=xl/sharedStrings.xml><?xml version="1.0" encoding="utf-8"?>
<sst xmlns="http://schemas.openxmlformats.org/spreadsheetml/2006/main" count="18338" uniqueCount="984">
  <si>
    <t>NA</t>
  </si>
  <si>
    <t>Polyester Wipe</t>
  </si>
  <si>
    <t>SALSA</t>
  </si>
  <si>
    <t>date</t>
  </si>
  <si>
    <t>control_type</t>
  </si>
  <si>
    <t>1-At-1</t>
  </si>
  <si>
    <t>1-A6-1</t>
  </si>
  <si>
    <t>1-A5-1</t>
  </si>
  <si>
    <t>1-A4-1</t>
  </si>
  <si>
    <t>1-A3-1</t>
  </si>
  <si>
    <t>1-A2-1</t>
  </si>
  <si>
    <t>1-A1-1</t>
  </si>
  <si>
    <t>2-Mt-1</t>
  </si>
  <si>
    <t>2-Mt-2</t>
  </si>
  <si>
    <t>2-Mt-3</t>
  </si>
  <si>
    <t>2-Mh-1</t>
  </si>
  <si>
    <t>2-Mh-2</t>
  </si>
  <si>
    <t>2-Mh-3</t>
  </si>
  <si>
    <t>2-Mx-1</t>
  </si>
  <si>
    <t>2-Mx-2</t>
  </si>
  <si>
    <t>2-Mx-3</t>
  </si>
  <si>
    <t>2-Mu-1</t>
  </si>
  <si>
    <t>2-Mu-2</t>
  </si>
  <si>
    <t>2-Mu-3</t>
  </si>
  <si>
    <t>2-Asc-Re-1</t>
  </si>
  <si>
    <t>2-Asc-Re-2</t>
  </si>
  <si>
    <t>2-Asc-Re-3</t>
  </si>
  <si>
    <t>2-Asc-Re-4</t>
  </si>
  <si>
    <t>2-Asm-Re-1</t>
  </si>
  <si>
    <t>2-Asm-Re-2</t>
  </si>
  <si>
    <t>2-Asm-Re-3</t>
  </si>
  <si>
    <t>2-Asm-Re-4</t>
  </si>
  <si>
    <t>2-Asc-NCw-1</t>
  </si>
  <si>
    <t>2-Asm-NCw-1</t>
  </si>
  <si>
    <t>2-Asc-NCm-1</t>
  </si>
  <si>
    <t>2-Asm-NCm-1</t>
  </si>
  <si>
    <t>2-PCM-1</t>
  </si>
  <si>
    <t>2-PCM-2</t>
  </si>
  <si>
    <t>2-Asc-SHR-1</t>
  </si>
  <si>
    <t>2-Asc-SHR-2</t>
  </si>
  <si>
    <t>2-Asc-SHR-3</t>
  </si>
  <si>
    <t>2-Asm-SHR-1</t>
  </si>
  <si>
    <t>2-Asm-SHR-2</t>
  </si>
  <si>
    <t>2-Asm-SHR-3</t>
  </si>
  <si>
    <t>2-SHR-PCc-1</t>
  </si>
  <si>
    <t>2-SHR-PCn-1</t>
  </si>
  <si>
    <t>3-Asc-NCm-1</t>
  </si>
  <si>
    <t>3-Asc-NCw-1</t>
  </si>
  <si>
    <t>3-Asc-Re-1</t>
  </si>
  <si>
    <t>3-Asc-Re-2</t>
  </si>
  <si>
    <t>3-Asc-Re-3</t>
  </si>
  <si>
    <t>3-Asc-Re-4</t>
  </si>
  <si>
    <t>3-Asc-SHR-1</t>
  </si>
  <si>
    <t>3-Asc-SHR-2</t>
  </si>
  <si>
    <t>3-Asc-SHR-3</t>
  </si>
  <si>
    <t>3-Asm-NCm-1</t>
  </si>
  <si>
    <t>3-Asm-NCw-1</t>
  </si>
  <si>
    <t>3-Asm-Re-1</t>
  </si>
  <si>
    <t>3-Asm-Re-2</t>
  </si>
  <si>
    <t>3-Asm-Re-3</t>
  </si>
  <si>
    <t>3-Asm-Re-4</t>
  </si>
  <si>
    <t>3-Asm-SHR-1</t>
  </si>
  <si>
    <t>3-Asm-SHR-2</t>
  </si>
  <si>
    <t>3-Asm-SHR-3</t>
  </si>
  <si>
    <t>3-PCD-1</t>
  </si>
  <si>
    <t>3-PCM-1</t>
  </si>
  <si>
    <t>3-PCM-2</t>
  </si>
  <si>
    <t>3-SHR-PCc-1</t>
  </si>
  <si>
    <t>3-SHR-PCn-1</t>
  </si>
  <si>
    <t>2-A1-1</t>
  </si>
  <si>
    <t>2-A2-1</t>
  </si>
  <si>
    <t>2-A3-1</t>
  </si>
  <si>
    <t>2-A4-1</t>
  </si>
  <si>
    <t>2-A5-1</t>
  </si>
  <si>
    <t>2-A6-1</t>
  </si>
  <si>
    <t>2-At-1</t>
  </si>
  <si>
    <t>2-Msc-DCCA-1</t>
  </si>
  <si>
    <t>2-Msc-DCCA-2</t>
  </si>
  <si>
    <t>2-Msc-DCCA-3</t>
  </si>
  <si>
    <t>2-Msc-DCCA-4</t>
  </si>
  <si>
    <t>2-Msc-NR-1</t>
  </si>
  <si>
    <t>2-Msc-NR-2</t>
  </si>
  <si>
    <t>2-Msm-DCMA-1</t>
  </si>
  <si>
    <t>2-Msm-DCMA-2</t>
  </si>
  <si>
    <t>2-Msm-DCMA-3</t>
  </si>
  <si>
    <t>2-Msm-DCMA-4</t>
  </si>
  <si>
    <t>2-Msm-NR-1</t>
  </si>
  <si>
    <t>2-Msm-NR-2</t>
  </si>
  <si>
    <t>2-Mt-NR-NC-1</t>
  </si>
  <si>
    <t>2-Mt-NR-NC-2</t>
  </si>
  <si>
    <t>2-NTC-1</t>
  </si>
  <si>
    <t>3-SHR-PCn-2</t>
  </si>
  <si>
    <t>3-A1-1</t>
  </si>
  <si>
    <t>3-A2-1</t>
  </si>
  <si>
    <t>3-A3-1</t>
  </si>
  <si>
    <t>3-A4-1</t>
  </si>
  <si>
    <t>3-A5-1</t>
  </si>
  <si>
    <t>3-A6-1</t>
  </si>
  <si>
    <t>3-At-1</t>
  </si>
  <si>
    <t>3-Msc-DCCA-1</t>
  </si>
  <si>
    <t>3-Msc-DCCA-2</t>
  </si>
  <si>
    <t>3-Msc-DCCA-3</t>
  </si>
  <si>
    <t>3-Msc-DCCA-4</t>
  </si>
  <si>
    <t>3-Msc-NR-1</t>
  </si>
  <si>
    <t>3-Msc-NR-2</t>
  </si>
  <si>
    <t>3-Msm-DCMA-1</t>
  </si>
  <si>
    <t>3-Msm-DCMA-2</t>
  </si>
  <si>
    <t>3-Msm-DCMA-3</t>
  </si>
  <si>
    <t>3-Msm-DCMA-4</t>
  </si>
  <si>
    <t>3-Msm-NR-1</t>
  </si>
  <si>
    <t>3-Msm-NR-2</t>
  </si>
  <si>
    <t>3-Mt-NR-NC-1</t>
  </si>
  <si>
    <t>3-Mt-NR-NC-2</t>
  </si>
  <si>
    <t>3-NTC-1</t>
  </si>
  <si>
    <t>4-SHR-PCn-1</t>
  </si>
  <si>
    <t>4-SHR-PCn-2</t>
  </si>
  <si>
    <t>5-A2-Ma-1</t>
  </si>
  <si>
    <t>5-A3-Ma-1</t>
  </si>
  <si>
    <t>5-A3-Ma-2</t>
  </si>
  <si>
    <t>5-A4-Ma-1</t>
  </si>
  <si>
    <t>5-A4-Ma-2</t>
  </si>
  <si>
    <t>5-A5-Ma-1</t>
  </si>
  <si>
    <t>5-A5-Ma-2</t>
  </si>
  <si>
    <t>5-A6-Ma-1</t>
  </si>
  <si>
    <t>5-A6-Ma-2</t>
  </si>
  <si>
    <t>5-NC-Ma-1</t>
  </si>
  <si>
    <t>5-A2-Qi-1</t>
  </si>
  <si>
    <t>5-A3-Qi-1</t>
  </si>
  <si>
    <t>5-A3-Qi-2</t>
  </si>
  <si>
    <t>5-A4-Qi-1</t>
  </si>
  <si>
    <t>5-A4-Qi-2</t>
  </si>
  <si>
    <t>5-A5-Qi-1</t>
  </si>
  <si>
    <t>5-A5-Qi-2</t>
  </si>
  <si>
    <t>5-A6-Qi-1</t>
  </si>
  <si>
    <t>5-A6-Qi-2</t>
  </si>
  <si>
    <t>5-NC-Qi-1</t>
  </si>
  <si>
    <t>5-NTC-1</t>
  </si>
  <si>
    <t>5-NTC-2</t>
  </si>
  <si>
    <t>5-NCw-1</t>
  </si>
  <si>
    <t>5-NCw-2</t>
  </si>
  <si>
    <t>6-245Flc-Ma-L1</t>
  </si>
  <si>
    <t>6-245Flc-Ma-L2</t>
  </si>
  <si>
    <t>6-245Flc-Ma-L3</t>
  </si>
  <si>
    <t>6-245Flm-Ma-L1</t>
  </si>
  <si>
    <t>6-245Flm-Ma-L2</t>
  </si>
  <si>
    <t>6-245Flm-Ma-L3</t>
  </si>
  <si>
    <t>6-NCc-Ma-1</t>
  </si>
  <si>
    <t>6-NCm-Ma-1</t>
  </si>
  <si>
    <t>6-NCw-Ma-1</t>
  </si>
  <si>
    <t>6-PCc-Ma-1</t>
  </si>
  <si>
    <t>6-PCc-Ma-2</t>
  </si>
  <si>
    <t>6-245Flc-Qi-L1</t>
  </si>
  <si>
    <t>6-245Flc-Qi-L2</t>
  </si>
  <si>
    <t>6-245Flc-Qi-L3</t>
  </si>
  <si>
    <t>6-245Flm-Qi-L1</t>
  </si>
  <si>
    <t>6-245Flm-Qi-L2</t>
  </si>
  <si>
    <t>6-245Flm-Qi-L3</t>
  </si>
  <si>
    <t>6-NCc-Qi-1</t>
  </si>
  <si>
    <t>6-NCm-Qi-1</t>
  </si>
  <si>
    <t>6-NCw-Qi-1</t>
  </si>
  <si>
    <t>6-PCc-Qi-1</t>
  </si>
  <si>
    <t>6-PCc-Qi-2</t>
  </si>
  <si>
    <t>6-NTC-1</t>
  </si>
  <si>
    <t>6-NTC-2</t>
  </si>
  <si>
    <t>7-SAFc-Ma-L1</t>
  </si>
  <si>
    <t>7-SAFc-Ma-L2</t>
  </si>
  <si>
    <t>7-SAFc-Ma-L3</t>
  </si>
  <si>
    <t>7-SAFc-Ma-L4</t>
  </si>
  <si>
    <t>7-SAFc-Ma-L5</t>
  </si>
  <si>
    <t>7-SAFc-Ma-L6</t>
  </si>
  <si>
    <t>7-SAFc-Ma-L7</t>
  </si>
  <si>
    <t>7-SAFm-Ma-L1</t>
  </si>
  <si>
    <t>7-SAFm-Ma-L2</t>
  </si>
  <si>
    <t>7-SAFm-Ma-L3</t>
  </si>
  <si>
    <t>7-SAFm-Ma-L4</t>
  </si>
  <si>
    <t>7-SAFm-Ma-L5</t>
  </si>
  <si>
    <t>7-SAFm-Ma-L6</t>
  </si>
  <si>
    <t>7-SAFm-Ma-L7</t>
  </si>
  <si>
    <t>7-NCec-Ma-1</t>
  </si>
  <si>
    <t>7-NCem-Ma-1</t>
  </si>
  <si>
    <t>7-NCw-Ma-1</t>
  </si>
  <si>
    <t>7-NCw-Ma-2</t>
  </si>
  <si>
    <t>7-PCc-Ma-1</t>
  </si>
  <si>
    <t>7-PCc-Ma-2</t>
  </si>
  <si>
    <t>7-NTC</t>
  </si>
  <si>
    <t>7-NTC-1</t>
  </si>
  <si>
    <t>7-NTC-2</t>
  </si>
  <si>
    <t>7-SAFp-Ma-L1</t>
  </si>
  <si>
    <t>7-SAFp-Ma-L2</t>
  </si>
  <si>
    <t>7-SAFp-Ma-L3</t>
  </si>
  <si>
    <t>7-SAFp-Ma-L4</t>
  </si>
  <si>
    <t>7-SAFp-Ma-L5</t>
  </si>
  <si>
    <t>7-SAFp-Ma-L6</t>
  </si>
  <si>
    <t>7-SAFp-Ma-L7</t>
  </si>
  <si>
    <t>7-SAFs-Ma-L1</t>
  </si>
  <si>
    <t>7-SAFs-Ma-L2</t>
  </si>
  <si>
    <t>7-SAFs-Ma-L3</t>
  </si>
  <si>
    <t>7-SAFs-Ma-L4</t>
  </si>
  <si>
    <t>7-SAFs-Ma-L5</t>
  </si>
  <si>
    <t>7-SAFs-Ma-L6</t>
  </si>
  <si>
    <t>7-SAFs-Ma-L7</t>
  </si>
  <si>
    <t>7-NCep-Ma-1</t>
  </si>
  <si>
    <t>7-NCes-Ma-1</t>
  </si>
  <si>
    <t>7-NCp-Ma-1</t>
  </si>
  <si>
    <t>7-NCs-Ma-1</t>
  </si>
  <si>
    <t>7-PCc-Ma-3</t>
  </si>
  <si>
    <t>7-PCc-Ma-4</t>
  </si>
  <si>
    <t>7-PCw-Ma-3</t>
  </si>
  <si>
    <t>7-PCw-Ma-4</t>
  </si>
  <si>
    <t>8-A2-Ma-1</t>
  </si>
  <si>
    <t>8-A3-Ma-1</t>
  </si>
  <si>
    <t>8-A3-Ma-2</t>
  </si>
  <si>
    <t>8-A4-Ma-1</t>
  </si>
  <si>
    <t>8-A4-Ma-2</t>
  </si>
  <si>
    <t>8-A5-Ma-1</t>
  </si>
  <si>
    <t>8-A5-Ma-2</t>
  </si>
  <si>
    <t>8-A6-Ma-1</t>
  </si>
  <si>
    <t>8-A6-Ma-2</t>
  </si>
  <si>
    <t>8-NC-Ma-1</t>
  </si>
  <si>
    <t>8-A2-Qi-1</t>
  </si>
  <si>
    <t>8-A3-Qi-1</t>
  </si>
  <si>
    <t>8-A3-Qi-2</t>
  </si>
  <si>
    <t>8-A4-Qi-1</t>
  </si>
  <si>
    <t>8-A4-Qi-2</t>
  </si>
  <si>
    <t>8-A5-Qi-1</t>
  </si>
  <si>
    <t>8-A5-Qi-2</t>
  </si>
  <si>
    <t>8-A6-Qi-1</t>
  </si>
  <si>
    <t>8-A6-Qi-2</t>
  </si>
  <si>
    <t>8-NC-Qi-1</t>
  </si>
  <si>
    <t>8-NTC-1</t>
  </si>
  <si>
    <t>8-NTC-2</t>
  </si>
  <si>
    <t>9-245CRp-Ma-L1-1</t>
  </si>
  <si>
    <t>9-245CRp-Ma-L1-2</t>
  </si>
  <si>
    <t>9-245CRp-Ma-L2-1</t>
  </si>
  <si>
    <t>9-245CRp-Ma-L2-2</t>
  </si>
  <si>
    <t>9-245CRp-Ma-L3-1</t>
  </si>
  <si>
    <t>9-245CRp-Ma-L3-2</t>
  </si>
  <si>
    <t>9-245CRs-Ma-L1-1</t>
  </si>
  <si>
    <t>9-245CRs-Ma-L1-2</t>
  </si>
  <si>
    <t>9-245CRs-Ma-L2-1</t>
  </si>
  <si>
    <t>9-245CRs-Ma-L2-2</t>
  </si>
  <si>
    <t>9-245CRs-Ma-L3-1</t>
  </si>
  <si>
    <t>9-245CRs-Ma-L3-2</t>
  </si>
  <si>
    <t>9-NCp-Ma-1</t>
  </si>
  <si>
    <t>9-NCp-Ma-2</t>
  </si>
  <si>
    <t>9-NCs-Ma-1</t>
  </si>
  <si>
    <t>9-NCs-Ma-2</t>
  </si>
  <si>
    <t>9-NCw-Ma-1</t>
  </si>
  <si>
    <t>9-NCw-Ma-2</t>
  </si>
  <si>
    <t>9-PCc-900-Ma-1</t>
  </si>
  <si>
    <t>9-PCc-995-Ma-1</t>
  </si>
  <si>
    <t>9-PCp-Ma-1</t>
  </si>
  <si>
    <t>9-PCp-Ma-2</t>
  </si>
  <si>
    <t>9-PCs-Ma-1</t>
  </si>
  <si>
    <t>9-PCs-Ma-2</t>
  </si>
  <si>
    <t>10-PCc-100-Ma-1</t>
  </si>
  <si>
    <t>10-PCc-100-Ma-2</t>
  </si>
  <si>
    <t>10-PCc-100-Ma-3</t>
  </si>
  <si>
    <t>10-PCc-200-Ma-1</t>
  </si>
  <si>
    <t>10-PCc-200-Ma-2</t>
  </si>
  <si>
    <t>10-PCc-200-Ma-3</t>
  </si>
  <si>
    <t>10-PCc-300-Ma-1</t>
  </si>
  <si>
    <t>10-PCc-300-Ma-2</t>
  </si>
  <si>
    <t>10-PCc-300-Ma-3</t>
  </si>
  <si>
    <t>10-PCc-400-Ma-1</t>
  </si>
  <si>
    <t>10-PCc-400-Ma-2</t>
  </si>
  <si>
    <t>10-PCc-400-Ma-3</t>
  </si>
  <si>
    <t>10-PCn-100-Ma-1</t>
  </si>
  <si>
    <t>10-PCn-100-Ma-2</t>
  </si>
  <si>
    <t>10-PCn-100-Ma-3</t>
  </si>
  <si>
    <t>10-PCn-200-Ma-1</t>
  </si>
  <si>
    <t>10-PCn-200-Ma-2</t>
  </si>
  <si>
    <t>10-PCn-200-Ma-3</t>
  </si>
  <si>
    <t>10-PCn-300-Ma-1</t>
  </si>
  <si>
    <t>10-PCn-300-Ma-2</t>
  </si>
  <si>
    <t>10-PCn-300-Ma-3</t>
  </si>
  <si>
    <t>10-PCn-400-Ma-1</t>
  </si>
  <si>
    <t>10-PCn-400-Ma-2</t>
  </si>
  <si>
    <t>10-PCn-400-Ma-3</t>
  </si>
  <si>
    <t>11-Alp-Re-1</t>
  </si>
  <si>
    <t>11-Alp-Re-2</t>
  </si>
  <si>
    <t>11-Alp-Re-3</t>
  </si>
  <si>
    <t>11-Alp-Re-4</t>
  </si>
  <si>
    <t>11-Als-Re-1</t>
  </si>
  <si>
    <t>11-Als-Re-2</t>
  </si>
  <si>
    <t>11-Als-Re-3</t>
  </si>
  <si>
    <t>11-Als-Re-4</t>
  </si>
  <si>
    <t>11-Asc-Re-1</t>
  </si>
  <si>
    <t>11-Asc-Re-2</t>
  </si>
  <si>
    <t>11-Asc-Re-3</t>
  </si>
  <si>
    <t>11-Asc-Re-4</t>
  </si>
  <si>
    <t>11-Asm-Re-1</t>
  </si>
  <si>
    <t>11-Asm-Re-2</t>
  </si>
  <si>
    <t>11-Asm-Re-3</t>
  </si>
  <si>
    <t>11-Asm-Re-4</t>
  </si>
  <si>
    <t>11-PCc-100-Ma-1</t>
  </si>
  <si>
    <t>11-PCc-100-Ma-2</t>
  </si>
  <si>
    <t>11-PCc-100-Ma-3</t>
  </si>
  <si>
    <t>11-PCc-100-Ma-4</t>
  </si>
  <si>
    <t>11-PCc-400-Ma-1</t>
  </si>
  <si>
    <t>11-PCc-400-Ma-2</t>
  </si>
  <si>
    <t>11-PCc-400-Ma-3</t>
  </si>
  <si>
    <t>11-PCc-400-Ma-4</t>
  </si>
  <si>
    <t>12-NCw-100-Ma-1</t>
  </si>
  <si>
    <t>12-NCw-100-Ma-2</t>
  </si>
  <si>
    <t>12-NCw-100-Qi-1</t>
  </si>
  <si>
    <t>12-NCw-100-Qi-2</t>
  </si>
  <si>
    <t>12-NCw-400-Ma-1</t>
  </si>
  <si>
    <t>12-NCw-400-Ma-2</t>
  </si>
  <si>
    <t>12-NCw-400-Qi-1</t>
  </si>
  <si>
    <t>12-NCw-400-Qi-2</t>
  </si>
  <si>
    <t>12-PCc-100-Ma-1</t>
  </si>
  <si>
    <t>12-PCc-100-Ma-2</t>
  </si>
  <si>
    <t>12-PCc-100-Ma-3</t>
  </si>
  <si>
    <t>12-PCc-100-Ma-4</t>
  </si>
  <si>
    <t>12-PCc-100-Qi-1</t>
  </si>
  <si>
    <t>12-PCc-100-Qi-2</t>
  </si>
  <si>
    <t>12-PCc-100-Qi-3</t>
  </si>
  <si>
    <t>12-PCc-100-Qi-4</t>
  </si>
  <si>
    <t>12-PCc-400-Ma-1</t>
  </si>
  <si>
    <t>12-PCc-400-Ma-2</t>
  </si>
  <si>
    <t>12-PCc-400-Ma-3</t>
  </si>
  <si>
    <t>12-PCc-400-Ma-4</t>
  </si>
  <si>
    <t>12-PCc-400-Qi-1</t>
  </si>
  <si>
    <t>12-PCc-400-Qi-2</t>
  </si>
  <si>
    <t>12-PCc-400-Qi-3</t>
  </si>
  <si>
    <t>13-Asc-NCw-Ma-1</t>
  </si>
  <si>
    <t>13-Asc-SHR-Ma-1</t>
  </si>
  <si>
    <t>13-Asc-SHR-Ma-2</t>
  </si>
  <si>
    <t>13-Asc-SHR-Ma-3</t>
  </si>
  <si>
    <t>13-Asc-SHR-Ma-4</t>
  </si>
  <si>
    <t>13-Asm-NCw-Ma-1</t>
  </si>
  <si>
    <t>13-Asm-SHR-Ma-1</t>
  </si>
  <si>
    <t>13-Asm-SHR-Ma-2</t>
  </si>
  <si>
    <t>13-Asm-SHR-Ma-3</t>
  </si>
  <si>
    <t>13-Asm-SHR-Ma-4</t>
  </si>
  <si>
    <t>13-SHR-PCc-Ma-1</t>
  </si>
  <si>
    <t>13-SHR-PCn-Ma-1</t>
  </si>
  <si>
    <t>13-Asc-NCw-Qi-1</t>
  </si>
  <si>
    <t>13-Asc-SHR-Qi-1</t>
  </si>
  <si>
    <t>13-Asc-SHR-Qi-2</t>
  </si>
  <si>
    <t>13-Asc-SHR-Qi-3</t>
  </si>
  <si>
    <t>13-Asc-SHR-Qi-4</t>
  </si>
  <si>
    <t>13-Asm-NCw-Qi-1</t>
  </si>
  <si>
    <t>13-Asm-SHR-Qi-1</t>
  </si>
  <si>
    <t>13-Asm-SHR-Qi-2</t>
  </si>
  <si>
    <t>13-Asm-SHR-Qi-3</t>
  </si>
  <si>
    <t>13-Asm-SHR-Qi-4</t>
  </si>
  <si>
    <t>13-SHR-PCc-Qi-1</t>
  </si>
  <si>
    <t>13-SHR-PCn-Qi-1</t>
  </si>
  <si>
    <t>14-245FLc-Ma-L1</t>
  </si>
  <si>
    <t>14-245FLc-Ma-L2</t>
  </si>
  <si>
    <t>14-245FLc-Ma-L3</t>
  </si>
  <si>
    <t>14-245FLm-Ma-L1</t>
  </si>
  <si>
    <t>14-245FLm-Ma-L2</t>
  </si>
  <si>
    <t>14-245FLm-Ma-L3</t>
  </si>
  <si>
    <t>14-NCc-Ma-1</t>
  </si>
  <si>
    <t>14-NCm-Ma-1</t>
  </si>
  <si>
    <t>14-NCw-Ma-1</t>
  </si>
  <si>
    <t>14-PCc-Ma-1</t>
  </si>
  <si>
    <t>14-PCc-Ma-2</t>
  </si>
  <si>
    <t>14-245FLc-Qi-L1</t>
  </si>
  <si>
    <t>14-245FLc-Qi-L2</t>
  </si>
  <si>
    <t>14-245FLc-Qi-L3</t>
  </si>
  <si>
    <t>14-245FLm-Qi-L1</t>
  </si>
  <si>
    <t>14-245FLm-Qi-L2</t>
  </si>
  <si>
    <t>14-245FLm-Qi-L3</t>
  </si>
  <si>
    <t>14-NCc-Qi-1</t>
  </si>
  <si>
    <t>14-NCm-Qi-1</t>
  </si>
  <si>
    <t>14-NCw-Qi-1</t>
  </si>
  <si>
    <t>14-PCc-Qi-1</t>
  </si>
  <si>
    <t>14-PCc-Qi-2</t>
  </si>
  <si>
    <t>14-NTC-1</t>
  </si>
  <si>
    <t>14-NTC-2</t>
  </si>
  <si>
    <t>15-SAFc-Ma-L1</t>
  </si>
  <si>
    <t>15-SAFc-Ma-L2</t>
  </si>
  <si>
    <t>15-SAFc-Ma-L3</t>
  </si>
  <si>
    <t>15-SAFc-Ma-L4</t>
  </si>
  <si>
    <t>15-SAFc-Ma-L5</t>
  </si>
  <si>
    <t>15-SAFc-Ma-L6</t>
  </si>
  <si>
    <t>15-SAFc-Ma-L7</t>
  </si>
  <si>
    <t>15-SAFm-Ma-L1</t>
  </si>
  <si>
    <t>15-SAFm-Ma-L2</t>
  </si>
  <si>
    <t>15-SAFm-Ma-L3</t>
  </si>
  <si>
    <t>15-SAFm-Ma-L4</t>
  </si>
  <si>
    <t>15-SAFm-Ma-L5</t>
  </si>
  <si>
    <t>15-SAFm-Ma-L6</t>
  </si>
  <si>
    <t>15-SAFm-Ma-L7</t>
  </si>
  <si>
    <t>15-NCc-Ma-1</t>
  </si>
  <si>
    <t>15-NCec-Ma-1</t>
  </si>
  <si>
    <t>15-NCem-Ma-1</t>
  </si>
  <si>
    <t>15-NCm-Ma-1</t>
  </si>
  <si>
    <t>15-NCw-Ma-1</t>
  </si>
  <si>
    <t>15-NCw-Ma-2</t>
  </si>
  <si>
    <t>15-PC-Ma-1</t>
  </si>
  <si>
    <t>15-PCc-Ma-1</t>
  </si>
  <si>
    <t>15-NTC-1</t>
  </si>
  <si>
    <t>15-NTC-2</t>
  </si>
  <si>
    <t>16-Asc-NCw-Ma-1</t>
  </si>
  <si>
    <t>16-Asc-SHR-Ma-1</t>
  </si>
  <si>
    <t>16-Asc-SHR-Ma-2</t>
  </si>
  <si>
    <t>16-Asc-SHR-Ma-3</t>
  </si>
  <si>
    <t>16-Asc-SHR-Ma-4</t>
  </si>
  <si>
    <t>16-Asm-NCw-Ma-1</t>
  </si>
  <si>
    <t>16-Asm-SHR-Ma-1</t>
  </si>
  <si>
    <t>16-Asm-SHR-Ma-2</t>
  </si>
  <si>
    <t>16-Asm-SHR-Ma-3</t>
  </si>
  <si>
    <t>16-Asm-SHR-Ma-4</t>
  </si>
  <si>
    <t>16-SHR-PCc-Ma-1</t>
  </si>
  <si>
    <t>16-SHR-PCn-Ma-1</t>
  </si>
  <si>
    <t>16-Asc-NCw-Qi-1</t>
  </si>
  <si>
    <t>16-Asc-SHR-Qi-1</t>
  </si>
  <si>
    <t>16-Asc-SHR-Qi-2</t>
  </si>
  <si>
    <t>16-Asc-SHR-Qi-3</t>
  </si>
  <si>
    <t>16-Asc-SHR-Qi-4</t>
  </si>
  <si>
    <t>16-Asm-NCw-Qi-1</t>
  </si>
  <si>
    <t>16-Asm-SHR-Qi-1</t>
  </si>
  <si>
    <t>16-Asm-SHR-Qi-2</t>
  </si>
  <si>
    <t>16-Asm-SHR-Qi-3</t>
  </si>
  <si>
    <t>16-Asm-SHR-Qi-4</t>
  </si>
  <si>
    <t>16-SHR-PCc-Qi-1</t>
  </si>
  <si>
    <t>16-SHR-PCn-Qi-1</t>
  </si>
  <si>
    <t>17-SAFc-Ma-L1</t>
  </si>
  <si>
    <t>17-SAFc-Ma-L2</t>
  </si>
  <si>
    <t>17-SAFc-Ma-L3</t>
  </si>
  <si>
    <t>17-SAFc-Ma-L4</t>
  </si>
  <si>
    <t>17-SAFc-Ma-L5</t>
  </si>
  <si>
    <t>17-SAFc-Ma-L6</t>
  </si>
  <si>
    <t>17-SAFc-Ma-L7</t>
  </si>
  <si>
    <t>17-SAFm-Ma-L1</t>
  </si>
  <si>
    <t>17-SAFm-Ma-L2</t>
  </si>
  <si>
    <t>17-SAFm-Ma-L3</t>
  </si>
  <si>
    <t>17-SAFm-Ma-L4</t>
  </si>
  <si>
    <t>17-SAFm-Ma-L5</t>
  </si>
  <si>
    <t>17-SAFm-Ma-L6</t>
  </si>
  <si>
    <t>17-SAFm-Ma-L7</t>
  </si>
  <si>
    <t>17-NCc-Ma-1</t>
  </si>
  <si>
    <t>17-NCcw-Ma-1</t>
  </si>
  <si>
    <t>17-NCec-Ma-1</t>
  </si>
  <si>
    <t>17-NCem-Ma-1</t>
  </si>
  <si>
    <t>17-NCm-Ma-1</t>
  </si>
  <si>
    <t>17-NCmw-Ma-1</t>
  </si>
  <si>
    <t>17-NCw-1</t>
  </si>
  <si>
    <t>17-NCw-2</t>
  </si>
  <si>
    <t>17-PCc-Ma-1</t>
  </si>
  <si>
    <t>17-PCc-Ma-2</t>
  </si>
  <si>
    <t>18-SAFc-Ma-L1</t>
  </si>
  <si>
    <t>18-SAFc-Ma-L2</t>
  </si>
  <si>
    <t>18-SAFc-Ma-L3</t>
  </si>
  <si>
    <t>18-SAFc-Ma-L4</t>
  </si>
  <si>
    <t>18-SAFc-Ma-L5</t>
  </si>
  <si>
    <t>18-SAFc-Ma-L6</t>
  </si>
  <si>
    <t>18-SAFc-Ma-L7</t>
  </si>
  <si>
    <t>18-SAFc-Ma-L8</t>
  </si>
  <si>
    <t>18-SAFc-Ma-L9</t>
  </si>
  <si>
    <t>18-SAFc-Ma-L10</t>
  </si>
  <si>
    <t>18-SAFc-Ma-L11</t>
  </si>
  <si>
    <t>18-SAFc-Ma-L12</t>
  </si>
  <si>
    <t>18-SAFc-Ma-L13</t>
  </si>
  <si>
    <t>18-SAFc-Ma-L14</t>
  </si>
  <si>
    <t>18-SAFc-Ma-L15</t>
  </si>
  <si>
    <t>18-SAFc-Ma-L16</t>
  </si>
  <si>
    <t>18-SAFm-Ma-L1</t>
  </si>
  <si>
    <t>18-SAFm-Ma-L2</t>
  </si>
  <si>
    <t>18-SAFm-Ma-L3</t>
  </si>
  <si>
    <t>18-SAFm-Ma-L4</t>
  </si>
  <si>
    <t>18-SAFm-Ma-L5</t>
  </si>
  <si>
    <t>18-SAFm-Ma-L6</t>
  </si>
  <si>
    <t>18-SAFm-Ma-L7</t>
  </si>
  <si>
    <t>18-SAFm-Ma-L8</t>
  </si>
  <si>
    <t>18-SAFm-Ma-L9</t>
  </si>
  <si>
    <t>18-SAFm-Ma-L10</t>
  </si>
  <si>
    <t>18-SAFm-Ma-L11</t>
  </si>
  <si>
    <t>18-SAFm-Ma-L12</t>
  </si>
  <si>
    <t>18-SAFm-Ma-L13</t>
  </si>
  <si>
    <t>18-SAFm-Ma-L14</t>
  </si>
  <si>
    <t>18-SAFm-Ma-L15</t>
  </si>
  <si>
    <t>18-SAFm-Ma-L16</t>
  </si>
  <si>
    <t>18-NCc-Ma-1</t>
  </si>
  <si>
    <t>18-NCcw-Ma-1</t>
  </si>
  <si>
    <t>18-NCec-Ma-1</t>
  </si>
  <si>
    <t>18-NCw-Ma-1</t>
  </si>
  <si>
    <t>18-PCc-Ma-1</t>
  </si>
  <si>
    <t>18-NCm-Ma-1</t>
  </si>
  <si>
    <t>18-NCmw-Ma-1</t>
  </si>
  <si>
    <t>18-NCem-Ma-1</t>
  </si>
  <si>
    <t>18-NCw-Ma-2</t>
  </si>
  <si>
    <t>18-PCc-Ma-2</t>
  </si>
  <si>
    <t>18-PCc-Ma-3</t>
  </si>
  <si>
    <t>dna_kit</t>
  </si>
  <si>
    <t>cell_concentration</t>
  </si>
  <si>
    <t>microbial_type</t>
  </si>
  <si>
    <t>batch_id</t>
  </si>
  <si>
    <t>replicate_id</t>
  </si>
  <si>
    <t>sampling_device</t>
  </si>
  <si>
    <t>location</t>
  </si>
  <si>
    <t>Loc_1</t>
  </si>
  <si>
    <t>Loc_2</t>
  </si>
  <si>
    <t>Loc_3</t>
  </si>
  <si>
    <t>Loc_4</t>
  </si>
  <si>
    <t>Loc_5</t>
  </si>
  <si>
    <t>Loc_6</t>
  </si>
  <si>
    <t>Loc_7</t>
  </si>
  <si>
    <t>rep_3</t>
  </si>
  <si>
    <t>Loc_8</t>
  </si>
  <si>
    <t>Loc_9</t>
  </si>
  <si>
    <t>Loc_10</t>
  </si>
  <si>
    <t>Loc_11</t>
  </si>
  <si>
    <t>Loc_12</t>
  </si>
  <si>
    <t>Loc_13</t>
  </si>
  <si>
    <t>Loc_14</t>
  </si>
  <si>
    <t>Loc_15</t>
  </si>
  <si>
    <t>Loc_16</t>
  </si>
  <si>
    <t>environment</t>
  </si>
  <si>
    <t>fungal_lab_floor</t>
  </si>
  <si>
    <t>control_sample</t>
  </si>
  <si>
    <t>sample_type</t>
  </si>
  <si>
    <t>bacterial_supsension</t>
  </si>
  <si>
    <t>dna</t>
  </si>
  <si>
    <t>water</t>
  </si>
  <si>
    <t>water_blank</t>
  </si>
  <si>
    <t>no_template_control</t>
  </si>
  <si>
    <t>blank_metal_swab</t>
  </si>
  <si>
    <t>water_metal_swab</t>
  </si>
  <si>
    <t>inoculated_swab</t>
  </si>
  <si>
    <t>dna_kit_reagent</t>
  </si>
  <si>
    <t>samp_device_blank</t>
  </si>
  <si>
    <t>surface_sample</t>
  </si>
  <si>
    <t>env_control</t>
  </si>
  <si>
    <t>prewet_water_sample</t>
  </si>
  <si>
    <t>water_control</t>
  </si>
  <si>
    <t>yes</t>
  </si>
  <si>
    <t>no</t>
  </si>
  <si>
    <t>reagent_control</t>
  </si>
  <si>
    <t>environmental_control</t>
  </si>
  <si>
    <t>sampling_collection_device_control</t>
  </si>
  <si>
    <t>pbs_control</t>
  </si>
  <si>
    <t>pbs_blank</t>
  </si>
  <si>
    <t>prewet_control</t>
  </si>
  <si>
    <t>pbs</t>
  </si>
  <si>
    <t>surface_area_cm2</t>
  </si>
  <si>
    <t>MA</t>
  </si>
  <si>
    <t>8-NCw-1</t>
  </si>
  <si>
    <t>8-NCw-2</t>
  </si>
  <si>
    <t>environmental</t>
  </si>
  <si>
    <t>centrifugation</t>
  </si>
  <si>
    <t>extract_efficiency</t>
  </si>
  <si>
    <t>swab_head_retention</t>
  </si>
  <si>
    <t>metal_deposition</t>
  </si>
  <si>
    <t>limit_of_detection</t>
  </si>
  <si>
    <t>cotton</t>
  </si>
  <si>
    <t>macrofoam</t>
  </si>
  <si>
    <t>maxwell</t>
  </si>
  <si>
    <t>batch_1</t>
  </si>
  <si>
    <t>batch_10</t>
  </si>
  <si>
    <t>batch_11</t>
  </si>
  <si>
    <t>batch_12</t>
  </si>
  <si>
    <t>batch_13</t>
  </si>
  <si>
    <t>batch_14</t>
  </si>
  <si>
    <t>batch_15</t>
  </si>
  <si>
    <t>batch_16</t>
  </si>
  <si>
    <t>batch_17</t>
  </si>
  <si>
    <t>batch_18</t>
  </si>
  <si>
    <t>batch_2</t>
  </si>
  <si>
    <t>batch_3</t>
  </si>
  <si>
    <t>batch_5</t>
  </si>
  <si>
    <t>batch_6</t>
  </si>
  <si>
    <t>batch_7</t>
  </si>
  <si>
    <t>batch_8</t>
  </si>
  <si>
    <t>batch_9</t>
  </si>
  <si>
    <t>lab</t>
  </si>
  <si>
    <t>saf_floor</t>
  </si>
  <si>
    <t>molec_cleanroom</t>
  </si>
  <si>
    <t>rep_1</t>
  </si>
  <si>
    <t>rep_2</t>
  </si>
  <si>
    <t>rep_4</t>
  </si>
  <si>
    <t>atcc</t>
  </si>
  <si>
    <t>mmc</t>
  </si>
  <si>
    <t>experiment_type</t>
  </si>
  <si>
    <t>sample_number</t>
  </si>
  <si>
    <t>unique_replicate_id</t>
  </si>
  <si>
    <t>environmental_sample</t>
  </si>
  <si>
    <t>processing_solution</t>
  </si>
  <si>
    <t>processing_volume_ul</t>
  </si>
  <si>
    <t>automated</t>
  </si>
  <si>
    <t>manual</t>
  </si>
  <si>
    <t>extraction_method</t>
  </si>
  <si>
    <t>extraction_handling</t>
  </si>
  <si>
    <t>mag_beads</t>
  </si>
  <si>
    <t>spin_column</t>
  </si>
  <si>
    <t>cell_count_estimate</t>
  </si>
  <si>
    <t>dna_eluent_volume_ul</t>
  </si>
  <si>
    <t>qpcr_volume_ul</t>
  </si>
  <si>
    <t>positive_control</t>
  </si>
  <si>
    <t>concentrated</t>
  </si>
  <si>
    <t>18-NTC-1</t>
  </si>
  <si>
    <t>qiagen</t>
  </si>
  <si>
    <t>12-PCc-400-Qi-4</t>
  </si>
  <si>
    <t>cq_mean_rxn</t>
  </si>
  <si>
    <t>cq_sd_rxn</t>
  </si>
  <si>
    <t>quantity_mean_ng_rxn</t>
  </si>
  <si>
    <t>quantity_sd_ng_rxn</t>
  </si>
  <si>
    <t>cq_se_rxn</t>
  </si>
  <si>
    <t>quantity_mean_sample</t>
  </si>
  <si>
    <t>16s_rrna_copy_rxn</t>
  </si>
  <si>
    <t>16s_rrna_copy_sample</t>
  </si>
  <si>
    <t>dry_sampling_blank</t>
  </si>
  <si>
    <t>wet_sampling_blank</t>
  </si>
  <si>
    <t>sample</t>
  </si>
  <si>
    <t>George Figure number</t>
  </si>
  <si>
    <t>Figure 2 [Bar 1]</t>
  </si>
  <si>
    <t>Figure 2 [Bar 2]</t>
  </si>
  <si>
    <t>Figure 2 [Bar 4]</t>
  </si>
  <si>
    <t>Figure 2 [Bar 3]</t>
  </si>
  <si>
    <t>contaminated - omit</t>
  </si>
  <si>
    <t>Figure 2 [Bar 5]</t>
  </si>
  <si>
    <t>Figure 2 [Bar 6]</t>
  </si>
  <si>
    <t>Figure 2 [Bar 7]</t>
  </si>
  <si>
    <t>Figure 2 [Bar 8]</t>
  </si>
  <si>
    <t>Figure 2 [Bar 9]</t>
  </si>
  <si>
    <t>Figure 2 [Bar 10]</t>
  </si>
  <si>
    <t>Figure 3A [Red Bar]</t>
  </si>
  <si>
    <t>Figure 3A [Teal Bar]</t>
  </si>
  <si>
    <t>Figure 2 [Bar 9]/ Figure 3 [Teal Bar; Water Control]</t>
  </si>
  <si>
    <t>Figure 2 [Bar 9]/ Figure 3 [TealBar ; Water Control]</t>
  </si>
  <si>
    <t>Figure 2 [Bar 9]/ Figure 3 [Red Bar; Water Control]</t>
  </si>
  <si>
    <t>Figure 2 [Bar 10], Figure 3 [NTC]</t>
  </si>
  <si>
    <t>Figure 3B [Red Bar, 2E+02], Figure 3C [2E+02]</t>
  </si>
  <si>
    <t>Figure 3B [Red Bar, 2E+03], Figure 3C [2E+03]</t>
  </si>
  <si>
    <t>Figure 3B [RedBar, 2E+04], Figure 3C [2E+04]</t>
  </si>
  <si>
    <t>Figure 3B [RedBar, 2E+05], Figure 3C [2E+05]</t>
  </si>
  <si>
    <t>Figure 3B [RedBar, 2E+06], Figure 3C [2E+06]</t>
  </si>
  <si>
    <t>Figure 4A [Blue Dots]</t>
  </si>
  <si>
    <t>Omit - (percent recovery over possible range)</t>
  </si>
  <si>
    <t>Figure 4A [Red Dots]</t>
  </si>
  <si>
    <t>Figure 4B [Blue Dots]</t>
  </si>
  <si>
    <t>Figure 4B [Red Dots]</t>
  </si>
  <si>
    <t>Figure 4C [Purple Dots]</t>
  </si>
  <si>
    <t>Figure 4C [Orange Dots]</t>
  </si>
  <si>
    <t>Figure 5A/5B [Blue Dots]</t>
  </si>
  <si>
    <t>Figure 5A/5B [Red Dots]</t>
  </si>
  <si>
    <t>Figure 5C/5D [Purple Dots]</t>
  </si>
  <si>
    <t>Figure 5C/5D [Orange Dots]</t>
  </si>
  <si>
    <t>Figure</t>
  </si>
  <si>
    <t>4B</t>
  </si>
  <si>
    <t>4A</t>
  </si>
  <si>
    <t>3B</t>
  </si>
  <si>
    <t>Figure 3B [Teal Bar, Reagent Control]</t>
  </si>
  <si>
    <t>3B/3C</t>
  </si>
  <si>
    <t>Figure 3B [Red Bar, Reagent Control]</t>
  </si>
  <si>
    <t>Figure 3B [Red Bar, 2E+04], Figure 3C [2E+04]</t>
  </si>
  <si>
    <t>Figure 3B [Red Bar, 2E+05], Figure 3C [2E+05]</t>
  </si>
  <si>
    <t>Figure 3B [Red Bar, 2E+06], Figure 3C [2E+06]</t>
  </si>
  <si>
    <t>Figure 3B [Teal Bar, 2E+02], Figure 3D [2E+02]</t>
  </si>
  <si>
    <t>Figure 3B [Teal Bar, 2E+03], Figure 3D [2E+03]</t>
  </si>
  <si>
    <t>Figure 3B [Teal Bar, 2E+04], Figure 3D [2E+04]</t>
  </si>
  <si>
    <t>Figure 3B [Teal Bar, 2E+05], Figure 3D [2E+05]</t>
  </si>
  <si>
    <t>Figure 3B [Teal Bar, 2E+06], Figure 3D [2E+06]</t>
  </si>
  <si>
    <t>3B/3D</t>
  </si>
  <si>
    <t>5A/5B</t>
  </si>
  <si>
    <t>5C/5D</t>
  </si>
  <si>
    <t>4C</t>
  </si>
  <si>
    <t>3A</t>
  </si>
  <si>
    <t>20</t>
  </si>
  <si>
    <t>29</t>
  </si>
  <si>
    <t>30</t>
  </si>
  <si>
    <t>31</t>
  </si>
  <si>
    <t>32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</si>
  <si>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</si>
  <si>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</si>
  <si>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</si>
  <si>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</si>
  <si>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</si>
  <si>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</si>
  <si>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</si>
  <si>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</si>
  <si>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</si>
  <si>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</si>
  <si>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</si>
  <si>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</si>
  <si>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</si>
  <si>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</si>
  <si>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</si>
  <si>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</si>
  <si>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</si>
  <si>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</si>
  <si>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</si>
  <si>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</si>
  <si>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</si>
  <si>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</si>
  <si>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</si>
  <si>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</si>
  <si>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</si>
  <si>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</si>
  <si>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</si>
  <si>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</si>
  <si>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</si>
  <si>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</si>
  <si>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134</t>
  </si>
  <si>
    <t>135</t>
  </si>
  <si>
    <t>136</t>
  </si>
  <si>
    <t>137</t>
  </si>
  <si>
    <t>146</t>
  </si>
  <si>
    <t>157</t>
  </si>
  <si>
    <t>160</t>
  </si>
  <si>
    <t>161</t>
  </si>
  <si>
    <t>176</t>
  </si>
  <si>
    <t>177</t>
  </si>
  <si>
    <t>178</t>
  </si>
  <si>
    <t>179</t>
  </si>
  <si>
    <t>182</t>
  </si>
  <si>
    <t>183</t>
  </si>
  <si>
    <t>184</t>
  </si>
  <si>
    <t>231</t>
  </si>
  <si>
    <t>232</t>
  </si>
  <si>
    <t>305</t>
  </si>
  <si>
    <t>306</t>
  </si>
  <si>
    <t>307</t>
  </si>
  <si>
    <t>308</t>
  </si>
  <si>
    <t>309</t>
  </si>
  <si>
    <t>310</t>
  </si>
  <si>
    <t>311</t>
  </si>
  <si>
    <t>312</t>
  </si>
  <si>
    <t>341</t>
  </si>
  <si>
    <t>346</t>
  </si>
  <si>
    <t>359</t>
  </si>
  <si>
    <t>361</t>
  </si>
  <si>
    <t>370</t>
  </si>
  <si>
    <t>371</t>
  </si>
  <si>
    <t>372</t>
  </si>
  <si>
    <t>375</t>
  </si>
  <si>
    <t>376</t>
  </si>
  <si>
    <t>391</t>
  </si>
  <si>
    <t>392</t>
  </si>
  <si>
    <t>393</t>
  </si>
  <si>
    <t>395</t>
  </si>
  <si>
    <t>396</t>
  </si>
  <si>
    <t>399</t>
  </si>
  <si>
    <t>400</t>
  </si>
  <si>
    <t>406</t>
  </si>
  <si>
    <t>418</t>
  </si>
  <si>
    <t>439</t>
  </si>
  <si>
    <t>441</t>
  </si>
  <si>
    <t>442</t>
  </si>
  <si>
    <t>443</t>
  </si>
  <si>
    <t>445</t>
  </si>
  <si>
    <t>446</t>
  </si>
  <si>
    <t>481</t>
  </si>
  <si>
    <t>484</t>
  </si>
  <si>
    <t>488</t>
  </si>
  <si>
    <t>489</t>
  </si>
  <si>
    <t>492</t>
  </si>
  <si>
    <t>Figure 4A Positive Control</t>
  </si>
  <si>
    <t>batch</t>
  </si>
  <si>
    <t>swab_type</t>
  </si>
  <si>
    <t>initial_cell</t>
  </si>
  <si>
    <t>cell_count_sample</t>
  </si>
  <si>
    <t>Percent Recovery</t>
  </si>
  <si>
    <t>Percent Retained</t>
  </si>
  <si>
    <t>Contaminated</t>
  </si>
  <si>
    <t>Yes</t>
  </si>
  <si>
    <t>Remove</t>
  </si>
  <si>
    <t>Need to scrap this experiment</t>
  </si>
  <si>
    <t>Data not reliable</t>
  </si>
  <si>
    <t>Recovered</t>
  </si>
  <si>
    <t>Retained</t>
  </si>
  <si>
    <t>Maxwell</t>
  </si>
  <si>
    <t>Cotton</t>
  </si>
  <si>
    <t>Macrofoam</t>
  </si>
  <si>
    <t>Both</t>
  </si>
  <si>
    <t>n = 13</t>
  </si>
  <si>
    <t>n = 14</t>
  </si>
  <si>
    <t>control</t>
  </si>
  <si>
    <t>16S rRNA copies / sample adjusted</t>
  </si>
  <si>
    <t>unique-replicate-id</t>
  </si>
  <si>
    <t>RUSH #</t>
  </si>
  <si>
    <t>2-Asc-NCw-R-1</t>
  </si>
  <si>
    <t>2-Msc-NR-R-1</t>
  </si>
  <si>
    <t>2-Msc-NR-R-2</t>
  </si>
  <si>
    <t>3-Msc-NR-R-1</t>
  </si>
  <si>
    <t>3-Msc-NR-R-2</t>
  </si>
  <si>
    <t>2-Asm-NCw-R-1</t>
  </si>
  <si>
    <t>2-Msm-NR-R-1</t>
  </si>
  <si>
    <t>2-Msm-NR-R-2</t>
  </si>
  <si>
    <t>3-Msm-NR-R-1</t>
  </si>
  <si>
    <t>3-Msm-NR-R-2</t>
  </si>
  <si>
    <t>2-Asc-NCm-R-1</t>
  </si>
  <si>
    <t>2-Msc-DCCA-R-1</t>
  </si>
  <si>
    <t>2-Msc-DCCA-R-2</t>
  </si>
  <si>
    <t>2-Msc-DCCA-R-3</t>
  </si>
  <si>
    <t>2-Msc-DCCA-R-4</t>
  </si>
  <si>
    <t>3-Msc-DCCA-R-1</t>
  </si>
  <si>
    <t>3-Msc-DCCA-R-2</t>
  </si>
  <si>
    <t>3-Msc-DCCA-R-3</t>
  </si>
  <si>
    <t>3-Msc-DCCA-R-4</t>
  </si>
  <si>
    <t>2-Asm-NCm-R-1</t>
  </si>
  <si>
    <t>2-Msc-DCMA-R-1</t>
  </si>
  <si>
    <t>2-Msc-DCMA-R-2</t>
  </si>
  <si>
    <t>2-Msc-DCMA-R-3</t>
  </si>
  <si>
    <t>2-Msc-DCMA-R-4</t>
  </si>
  <si>
    <t>3-Msc-DCMA-R-1</t>
  </si>
  <si>
    <t>3-Msc-DCMA-R-2</t>
  </si>
  <si>
    <t>3-Msc-DCMA-R-3</t>
  </si>
  <si>
    <t>3-Msc-DCMA-R-4</t>
  </si>
  <si>
    <t>2-Mt-NR-R-NC-1</t>
  </si>
  <si>
    <t>2-Mt-NR-R-NC-2</t>
  </si>
  <si>
    <t>3-Mt-NR-R-NC-1</t>
  </si>
  <si>
    <t>3-Mt-NR-R-NC-2</t>
  </si>
  <si>
    <t>8-NCw-Qi-1</t>
  </si>
  <si>
    <t>8-NCw-Ma-2</t>
  </si>
  <si>
    <t>NTC (dPCR Only)</t>
  </si>
  <si>
    <t>NTC-001</t>
  </si>
  <si>
    <t>NTC-002</t>
  </si>
  <si>
    <t>NTC-003</t>
  </si>
  <si>
    <t>NTC-004</t>
  </si>
  <si>
    <t>NTC</t>
  </si>
  <si>
    <t>Bar Name</t>
  </si>
  <si>
    <t xml:space="preserve">Cotton Device Control </t>
  </si>
  <si>
    <t>Macrofoam Device Control</t>
  </si>
  <si>
    <t>Cotton Environmental Control</t>
  </si>
  <si>
    <t>Cotton Dry + Metal</t>
  </si>
  <si>
    <t>Macrofoam Dry + Metal</t>
  </si>
  <si>
    <t>Cotton Wet + Metal</t>
  </si>
  <si>
    <t xml:space="preserve">Macrofoam Wet + Metal </t>
  </si>
  <si>
    <t>Water Only</t>
  </si>
  <si>
    <t>Conc. [cp/¬µL] (dPCR reaction)</t>
  </si>
  <si>
    <t>Copies in Orginal Sample </t>
  </si>
  <si>
    <t xml:space="preserve">Log10 (1uL dPCR copies/reaction) </t>
  </si>
  <si>
    <t>Final Dilution </t>
  </si>
  <si>
    <t>Total Copies in Orginal Sample (50uL) [dPCR copies*dil*50]</t>
  </si>
  <si>
    <t xml:space="preserve">Log10 (50uL dPCR copies/reaction) </t>
  </si>
  <si>
    <t>NTC-005</t>
  </si>
  <si>
    <t>NTC-006</t>
  </si>
  <si>
    <t>NTC-007</t>
  </si>
  <si>
    <t>NTC-008</t>
  </si>
  <si>
    <t>Figure 2 [Bar NTC]</t>
  </si>
  <si>
    <t>12-PCc-400-Qi-R-4</t>
  </si>
  <si>
    <t>RUSH ID#</t>
  </si>
  <si>
    <t>Copies in Orginal Sample (1uL*Dil)</t>
  </si>
  <si>
    <t>Figure 3B [Grey Bar, NTC]</t>
  </si>
  <si>
    <t xml:space="preserve">Qiacuity </t>
  </si>
  <si>
    <t xml:space="preserve">Orignal Amount (from PC Average) </t>
  </si>
  <si>
    <t>2-Asc-Re-R-1</t>
  </si>
  <si>
    <t>2-Asc-Re-R-2</t>
  </si>
  <si>
    <t>2-Asc-Re-R-3</t>
  </si>
  <si>
    <t>2-Asc-Re-R-4</t>
  </si>
  <si>
    <t>2-Asc-SHR-R-1</t>
  </si>
  <si>
    <t>2-Asc-SHR-R-2</t>
  </si>
  <si>
    <t>2-Asc-SHR-R-3</t>
  </si>
  <si>
    <t>2-Asm-Re-R-1</t>
  </si>
  <si>
    <t>2-Asm-Re-R-2</t>
  </si>
  <si>
    <t>2-Asm-Re-R-3</t>
  </si>
  <si>
    <t>2-Asm-Re-R-4</t>
  </si>
  <si>
    <t>2-Asm-SHR-R-1</t>
  </si>
  <si>
    <t>2-Asm-SHR-R-2</t>
  </si>
  <si>
    <t>2-Asm-SHR-R-3</t>
  </si>
  <si>
    <t>2-PCM-R-1</t>
  </si>
  <si>
    <t>2-PCM-R-2</t>
  </si>
  <si>
    <t>2-SHR-PCc-R-1</t>
  </si>
  <si>
    <t>2-SHR-PCn-R-1</t>
  </si>
  <si>
    <t>3-Asc-Re-R-1</t>
  </si>
  <si>
    <t>3-Asc-Re-R-2</t>
  </si>
  <si>
    <t>3-Asc-Re-R-3</t>
  </si>
  <si>
    <t>3-Asc-Re-R-4</t>
  </si>
  <si>
    <t>3-Asc-SHR-R-1</t>
  </si>
  <si>
    <t>3-Asc-SHR-R-2</t>
  </si>
  <si>
    <t>3-Asc-SHR-R-3</t>
  </si>
  <si>
    <t>3-Asm-Re-R-1</t>
  </si>
  <si>
    <t>3-Asm-Re-R-2</t>
  </si>
  <si>
    <t>3-Asm-Re-R-3</t>
  </si>
  <si>
    <t>3-Asm-Re-R-4</t>
  </si>
  <si>
    <t>3-Asm-SHR-R-1</t>
  </si>
  <si>
    <t>3-Asm-SHR-R-2</t>
  </si>
  <si>
    <t>3-Asm-SHR-R-3</t>
  </si>
  <si>
    <t>3-PCM-R-1</t>
  </si>
  <si>
    <t>3-PCM-R-2</t>
  </si>
  <si>
    <t>3-SHR-PCc-R-1</t>
  </si>
  <si>
    <t>3-SHR-PCn-R1</t>
  </si>
  <si>
    <t>GMCF Number</t>
  </si>
  <si>
    <t>Subject ID</t>
  </si>
  <si>
    <t xml:space="preserve">Sample Number </t>
  </si>
  <si>
    <t xml:space="preserve">Treatment </t>
  </si>
  <si>
    <t>Location</t>
  </si>
  <si>
    <t>DNA  Conc. (ng/uL)</t>
  </si>
  <si>
    <t xml:space="preserve">Miniseq PF Clusters </t>
  </si>
  <si>
    <t>Miniseq  % of Lane</t>
  </si>
  <si>
    <t xml:space="preserve">NovaSeq X PF Clusters </t>
  </si>
  <si>
    <t>NovaSeq X % of Lane</t>
  </si>
  <si>
    <t>Weight of liquid after InnovaPrep concentration (1m2 of surface area collected)</t>
  </si>
  <si>
    <t>Bacterial Conc. [cp/¬µL] (dPCR reaction)</t>
  </si>
  <si>
    <t>Bacterial  Partitions (Valid)</t>
  </si>
  <si>
    <t>Bacterial  Partitions (Positive)</t>
  </si>
  <si>
    <t>Bacterial  Copies in Orginal Sample (1uL)</t>
  </si>
  <si>
    <t>FINAL Dilution Factor</t>
  </si>
  <si>
    <t>Copies in Orginal Sample (50uL)[dPCR copies*dil*50]</t>
  </si>
  <si>
    <t>Bacterial Digital PCR conversion (1uL to 1m2) dPCR*50*[Column L/0.375]</t>
  </si>
  <si>
    <t>Fungal Conc. [cp/¬µL] (dPCR reaction)</t>
  </si>
  <si>
    <t>Fungal  Partitions (Valid)</t>
  </si>
  <si>
    <t>Fungal Partitions (Positive)</t>
  </si>
  <si>
    <t>Fungal Copies in Orginal Sample (1uL)</t>
  </si>
  <si>
    <t>Fungall Digital PCR conversion (1uL to 1m2) dPCR*50*[Column L/0.375]</t>
  </si>
  <si>
    <t>GMCF-2615-053</t>
  </si>
  <si>
    <t>C-HB-01-NP</t>
  </si>
  <si>
    <t>CL-001</t>
  </si>
  <si>
    <t>No PMA</t>
  </si>
  <si>
    <t>PHSF Highbay floor</t>
  </si>
  <si>
    <t>GMCF-2615-054</t>
  </si>
  <si>
    <t>C-HB-02-NP</t>
  </si>
  <si>
    <t>CL-002</t>
  </si>
  <si>
    <t>GMCF-2615-055</t>
  </si>
  <si>
    <t>C-HB-03-NP</t>
  </si>
  <si>
    <t>CL-003</t>
  </si>
  <si>
    <t>GMCF-2615-056</t>
  </si>
  <si>
    <t>C-HB-04-NP</t>
  </si>
  <si>
    <t>CL-004</t>
  </si>
  <si>
    <t>GMCF-2615-057</t>
  </si>
  <si>
    <t>C-HB-05-NP</t>
  </si>
  <si>
    <t>CL-005</t>
  </si>
  <si>
    <t>GMCF-2615-058</t>
  </si>
  <si>
    <t>C-FC-06-NP</t>
  </si>
  <si>
    <t>CL-006</t>
  </si>
  <si>
    <t>Field Control</t>
  </si>
  <si>
    <t>GMCF-2615-059</t>
  </si>
  <si>
    <t>C-HB-07-NP</t>
  </si>
  <si>
    <t>CL-007</t>
  </si>
  <si>
    <t>GMCF-2615-060</t>
  </si>
  <si>
    <t>C-AL-08-NP</t>
  </si>
  <si>
    <t>CL-008</t>
  </si>
  <si>
    <t>PHSF Airlock floor</t>
  </si>
  <si>
    <t>GMCF-2615-061</t>
  </si>
  <si>
    <t>C-AL-09-NP</t>
  </si>
  <si>
    <t>CL-009</t>
  </si>
  <si>
    <t>GMCF-2615-062</t>
  </si>
  <si>
    <t>C-AL-10-NP</t>
  </si>
  <si>
    <t>CL-010</t>
  </si>
  <si>
    <t>GMCF-2615-063</t>
  </si>
  <si>
    <t>C-AL-11-NP</t>
  </si>
  <si>
    <t>CL-011</t>
  </si>
  <si>
    <t>GMCF-2615-064</t>
  </si>
  <si>
    <t>C-AL-12-NP</t>
  </si>
  <si>
    <t>CL-012</t>
  </si>
  <si>
    <t>GMCF-2615-065</t>
  </si>
  <si>
    <t>C-FC-13-NP</t>
  </si>
  <si>
    <t>CL-013</t>
  </si>
  <si>
    <t>GMCF-2615-066</t>
  </si>
  <si>
    <t>C-PC-14-NP</t>
  </si>
  <si>
    <t>PC-002</t>
  </si>
  <si>
    <t>ATCC</t>
  </si>
  <si>
    <t>GMCF-2615-068</t>
  </si>
  <si>
    <t>Blank-2-NP</t>
  </si>
  <si>
    <t>Extraction Blank No PMA</t>
  </si>
  <si>
    <t>GMCF-2615-120</t>
  </si>
  <si>
    <t>C-HB-01-P</t>
  </si>
  <si>
    <t>PMA</t>
  </si>
  <si>
    <t>GMCF-2615-121</t>
  </si>
  <si>
    <t>C-HB-02-P</t>
  </si>
  <si>
    <t>GMCF-2615-122</t>
  </si>
  <si>
    <t>C-HB-03-P</t>
  </si>
  <si>
    <t>GMCF-2615-123</t>
  </si>
  <si>
    <t>C-HB-04-P</t>
  </si>
  <si>
    <t>GMCF-2615-124</t>
  </si>
  <si>
    <t>C-HB-05-P</t>
  </si>
  <si>
    <t>GMCF-2615-125</t>
  </si>
  <si>
    <t>C-FC-06-P</t>
  </si>
  <si>
    <t>GMCF-2615-126</t>
  </si>
  <si>
    <t>C-HB-07-P</t>
  </si>
  <si>
    <t>GMCF-2615-127</t>
  </si>
  <si>
    <t>C-AL-08-P</t>
  </si>
  <si>
    <t>GMCF-2615-128</t>
  </si>
  <si>
    <t>C-AL-09-P</t>
  </si>
  <si>
    <t>GMCF-2615-129</t>
  </si>
  <si>
    <t>C-AL-10-P</t>
  </si>
  <si>
    <t>GMCF-2615-130</t>
  </si>
  <si>
    <t>C-AL-11-P</t>
  </si>
  <si>
    <t>GMCF-2615-131</t>
  </si>
  <si>
    <t>C-AL-12-P</t>
  </si>
  <si>
    <t>GMCF-2615-132</t>
  </si>
  <si>
    <t>C-FC-13-P</t>
  </si>
  <si>
    <t>GMCF-2615-133</t>
  </si>
  <si>
    <t>C-PC-14-P</t>
  </si>
  <si>
    <t>GMCF-2615-135</t>
  </si>
  <si>
    <t>Blank-3-P</t>
  </si>
  <si>
    <t>Extraction Blank PMA</t>
  </si>
  <si>
    <t xml:space="preserve">Macrofoam Environmental 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</si>
</sst>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4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3A7D22"/>
      <name val="Calibri"/>
      <family val="2"/>
    </font>
    <font>
      <sz val="12"/>
      <color rgb="FFFF0000"/>
      <name val="Calibri"/>
      <family val="2"/>
    </font>
    <font>
      <sz val="12"/>
      <color rgb="FF3C7D22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12"/>
      <color theme="1"/>
      <name val="aptos narrow"/>
      <scheme val="minor"/>
    </font>
    <font>
      <sz val="12"/>
      <color theme="9" tint="-0.249977111117893"/>
      <name val="Calibri"/>
      <family val="2"/>
    </font>
    <font>
      <sz val="12"/>
      <name val="Calibri"/>
      <family val="2"/>
    </font>
    <font>
      <sz val="8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5" tint="0.3999755851924192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</font>
    <font>
      <sz val="12"/>
      <color theme="4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color rgb="FF0000FF"/>
      <name val="Calibri"/>
      <family val="2"/>
    </font>
    <font>
      <sz val="14"/>
      <color rgb="FFFF0000"/>
      <name val="Calibri"/>
      <family val="2"/>
    </font>
    <font>
      <sz val="14"/>
      <color theme="6"/>
      <name val="Calibri"/>
      <family val="2"/>
    </font>
    <font>
      <sz val="14"/>
      <color theme="3" tint="0.249977111117893"/>
      <name val="Calibri"/>
      <family val="2"/>
    </font>
    <font>
      <b/>
      <sz val="14"/>
      <color theme="3" tint="0.249977111117893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1CEEE"/>
        <bgColor rgb="FFF1CEEE"/>
      </patternFill>
    </fill>
    <fill>
      <patternFill patternType="solid">
        <fgColor rgb="FFC9DAF8"/>
        <bgColor rgb="FFC9DAF8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D9F2D0"/>
        <bgColor rgb="FFD9F2D0"/>
      </patternFill>
    </fill>
    <fill>
      <patternFill patternType="solid">
        <fgColor rgb="FF01DFEC"/>
        <bgColor rgb="FF01DFEC"/>
      </patternFill>
    </fill>
    <fill>
      <patternFill patternType="solid">
        <fgColor rgb="FFFC4747"/>
        <bgColor rgb="FFFC4747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FF704C"/>
        <bgColor rgb="FFFF704C"/>
      </patternFill>
    </fill>
    <fill>
      <patternFill patternType="solid">
        <fgColor rgb="FFDC90EF"/>
        <bgColor rgb="FFDC90EF"/>
      </patternFill>
    </fill>
    <fill>
      <patternFill patternType="solid">
        <fgColor rgb="FF95DCF7"/>
        <bgColor rgb="FF95DCF7"/>
      </patternFill>
    </fill>
    <fill>
      <patternFill patternType="solid">
        <fgColor rgb="FF8ED873"/>
        <bgColor rgb="FF8ED873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9DAF8"/>
      </patternFill>
    </fill>
    <fill>
      <patternFill patternType="solid">
        <fgColor rgb="FFFFFF00"/>
        <bgColor rgb="FFA6C9EB"/>
      </patternFill>
    </fill>
    <fill>
      <patternFill patternType="solid">
        <fgColor rgb="FFA6C9EB"/>
        <bgColor rgb="FFFFFF00"/>
      </patternFill>
    </fill>
    <fill>
      <patternFill patternType="solid">
        <fgColor theme="9" tint="0.39997558519241921"/>
        <bgColor rgb="FFC9DAF8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7B7B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B7B7B7"/>
      </patternFill>
    </fill>
    <fill>
      <patternFill patternType="solid">
        <fgColor rgb="FF92D050"/>
        <bgColor rgb="FFB7B7B7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2" fillId="0" borderId="2"/>
    <xf numFmtId="0" fontId="3" fillId="0" borderId="2"/>
    <xf numFmtId="0" fontId="3" fillId="0" borderId="2"/>
    <xf numFmtId="0" fontId="1" fillId="0" borderId="2"/>
  </cellStyleXfs>
  <cellXfs count="812">
    <xf numFmtId="0" fontId="0" fillId="0" borderId="0" xfId="0"/>
    <xf numFmtId="0" fontId="6" fillId="0" borderId="2" xfId="2" applyFont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20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21" xfId="2" applyFont="1" applyBorder="1" applyAlignment="1">
      <alignment horizontal="center"/>
    </xf>
    <xf numFmtId="0" fontId="6" fillId="7" borderId="20" xfId="2" applyFont="1" applyFill="1" applyBorder="1" applyAlignment="1">
      <alignment horizontal="center"/>
    </xf>
    <xf numFmtId="0" fontId="7" fillId="0" borderId="20" xfId="2" applyFont="1" applyBorder="1" applyAlignment="1">
      <alignment horizontal="center"/>
    </xf>
    <xf numFmtId="0" fontId="6" fillId="12" borderId="1" xfId="2" applyFont="1" applyFill="1" applyBorder="1" applyAlignment="1">
      <alignment horizontal="center"/>
    </xf>
    <xf numFmtId="0" fontId="6" fillId="7" borderId="1" xfId="2" applyFont="1" applyFill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11" fillId="14" borderId="1" xfId="2" applyFont="1" applyFill="1" applyBorder="1" applyAlignment="1">
      <alignment horizontal="center"/>
    </xf>
    <xf numFmtId="0" fontId="6" fillId="10" borderId="1" xfId="2" applyFont="1" applyFill="1" applyBorder="1" applyAlignment="1">
      <alignment horizontal="center"/>
    </xf>
    <xf numFmtId="0" fontId="6" fillId="5" borderId="1" xfId="2" applyFont="1" applyFill="1" applyBorder="1"/>
    <xf numFmtId="0" fontId="6" fillId="5" borderId="1" xfId="2" applyFont="1" applyFill="1" applyBorder="1" applyAlignment="1">
      <alignment horizontal="left"/>
    </xf>
    <xf numFmtId="0" fontId="6" fillId="9" borderId="1" xfId="2" applyFont="1" applyFill="1" applyBorder="1" applyAlignment="1">
      <alignment horizontal="center"/>
    </xf>
    <xf numFmtId="0" fontId="6" fillId="12" borderId="4" xfId="2" applyFont="1" applyFill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7" borderId="19" xfId="2" applyFont="1" applyFill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1" fillId="14" borderId="4" xfId="2" applyFont="1" applyFill="1" applyBorder="1" applyAlignment="1">
      <alignment horizontal="center"/>
    </xf>
    <xf numFmtId="0" fontId="6" fillId="12" borderId="18" xfId="2" applyFont="1" applyFill="1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6" fillId="7" borderId="18" xfId="2" applyFont="1" applyFill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11" fillId="14" borderId="18" xfId="2" applyFont="1" applyFill="1" applyBorder="1" applyAlignment="1">
      <alignment horizontal="center"/>
    </xf>
    <xf numFmtId="0" fontId="6" fillId="12" borderId="3" xfId="2" applyFont="1" applyFill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9" borderId="3" xfId="2" applyFont="1" applyFill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6" fillId="5" borderId="3" xfId="2" applyFont="1" applyFill="1" applyBorder="1"/>
    <xf numFmtId="0" fontId="6" fillId="11" borderId="18" xfId="2" applyFont="1" applyFill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6" fillId="11" borderId="1" xfId="2" applyFont="1" applyFill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6" fillId="0" borderId="24" xfId="2" applyFont="1" applyBorder="1" applyAlignment="1">
      <alignment horizontal="center"/>
    </xf>
    <xf numFmtId="0" fontId="6" fillId="12" borderId="8" xfId="2" applyFont="1" applyFill="1" applyBorder="1" applyAlignment="1">
      <alignment horizontal="center"/>
    </xf>
    <xf numFmtId="0" fontId="10" fillId="0" borderId="2" xfId="2" applyFont="1" applyAlignment="1">
      <alignment horizontal="center"/>
    </xf>
    <xf numFmtId="0" fontId="6" fillId="0" borderId="26" xfId="2" applyFont="1" applyBorder="1" applyAlignment="1">
      <alignment horizontal="center"/>
    </xf>
    <xf numFmtId="0" fontId="6" fillId="7" borderId="8" xfId="2" applyFont="1" applyFill="1" applyBorder="1" applyAlignment="1">
      <alignment horizontal="center"/>
    </xf>
    <xf numFmtId="0" fontId="11" fillId="14" borderId="8" xfId="2" applyFont="1" applyFill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6" fillId="0" borderId="19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6" fillId="9" borderId="15" xfId="2" applyFont="1" applyFill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23" xfId="2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6" fillId="20" borderId="1" xfId="2" applyFont="1" applyFill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6" fillId="7" borderId="4" xfId="2" applyFont="1" applyFill="1" applyBorder="1" applyAlignment="1">
      <alignment horizontal="center"/>
    </xf>
    <xf numFmtId="0" fontId="6" fillId="20" borderId="4" xfId="2" applyFont="1" applyFill="1" applyBorder="1" applyAlignment="1">
      <alignment horizontal="center"/>
    </xf>
    <xf numFmtId="0" fontId="6" fillId="18" borderId="3" xfId="2" applyFont="1" applyFill="1" applyBorder="1" applyAlignment="1">
      <alignment horizontal="center"/>
    </xf>
    <xf numFmtId="0" fontId="6" fillId="18" borderId="15" xfId="2" applyFont="1" applyFill="1" applyBorder="1" applyAlignment="1">
      <alignment horizontal="center"/>
    </xf>
    <xf numFmtId="0" fontId="6" fillId="18" borderId="1" xfId="2" applyFont="1" applyFill="1" applyBorder="1" applyAlignment="1">
      <alignment horizontal="center"/>
    </xf>
    <xf numFmtId="0" fontId="6" fillId="16" borderId="1" xfId="2" applyFont="1" applyFill="1" applyBorder="1" applyAlignment="1">
      <alignment horizontal="center"/>
    </xf>
    <xf numFmtId="0" fontId="6" fillId="19" borderId="1" xfId="2" applyFont="1" applyFill="1" applyBorder="1" applyAlignment="1">
      <alignment horizontal="center"/>
    </xf>
    <xf numFmtId="0" fontId="6" fillId="19" borderId="3" xfId="2" applyFont="1" applyFill="1" applyBorder="1" applyAlignment="1">
      <alignment horizontal="center"/>
    </xf>
    <xf numFmtId="0" fontId="6" fillId="17" borderId="20" xfId="2" applyFont="1" applyFill="1" applyBorder="1" applyAlignment="1">
      <alignment horizontal="center"/>
    </xf>
    <xf numFmtId="0" fontId="6" fillId="17" borderId="1" xfId="2" applyFont="1" applyFill="1" applyBorder="1" applyAlignment="1">
      <alignment horizontal="center"/>
    </xf>
    <xf numFmtId="0" fontId="6" fillId="17" borderId="4" xfId="2" applyFont="1" applyFill="1" applyBorder="1" applyAlignment="1">
      <alignment horizontal="center"/>
    </xf>
    <xf numFmtId="0" fontId="6" fillId="16" borderId="8" xfId="2" applyFont="1" applyFill="1" applyBorder="1" applyAlignment="1">
      <alignment horizontal="center"/>
    </xf>
    <xf numFmtId="0" fontId="6" fillId="15" borderId="1" xfId="2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9" borderId="6" xfId="2" applyFont="1" applyFill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15" borderId="4" xfId="2" applyFont="1" applyFill="1" applyBorder="1" applyAlignment="1">
      <alignment horizontal="center"/>
    </xf>
    <xf numFmtId="0" fontId="6" fillId="4" borderId="8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7" borderId="3" xfId="2" applyFont="1" applyFill="1" applyBorder="1" applyAlignment="1">
      <alignment horizontal="center"/>
    </xf>
    <xf numFmtId="0" fontId="11" fillId="14" borderId="2" xfId="2" applyFont="1" applyFill="1" applyAlignment="1">
      <alignment horizontal="center"/>
    </xf>
    <xf numFmtId="0" fontId="6" fillId="0" borderId="15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11" fillId="14" borderId="15" xfId="2" applyFont="1" applyFill="1" applyBorder="1" applyAlignment="1">
      <alignment horizontal="center"/>
    </xf>
    <xf numFmtId="0" fontId="6" fillId="4" borderId="18" xfId="2" applyFont="1" applyFill="1" applyBorder="1" applyAlignment="1">
      <alignment horizontal="center"/>
    </xf>
    <xf numFmtId="0" fontId="6" fillId="0" borderId="13" xfId="2" applyFont="1" applyBorder="1" applyAlignment="1">
      <alignment horizontal="center"/>
    </xf>
    <xf numFmtId="0" fontId="6" fillId="8" borderId="1" xfId="2" applyFont="1" applyFill="1" applyBorder="1" applyAlignment="1">
      <alignment horizontal="center"/>
    </xf>
    <xf numFmtId="0" fontId="9" fillId="0" borderId="20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9" fillId="0" borderId="25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6" fillId="8" borderId="18" xfId="2" applyFont="1" applyFill="1" applyBorder="1" applyAlignment="1">
      <alignment horizontal="center"/>
    </xf>
    <xf numFmtId="0" fontId="6" fillId="8" borderId="15" xfId="2" applyFont="1" applyFill="1" applyBorder="1" applyAlignment="1">
      <alignment horizontal="center"/>
    </xf>
    <xf numFmtId="0" fontId="6" fillId="0" borderId="17" xfId="2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0" fontId="6" fillId="11" borderId="8" xfId="2" applyFont="1" applyFill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4" fillId="2" borderId="4" xfId="2" applyFont="1" applyFill="1" applyBorder="1" applyAlignment="1">
      <alignment horizontal="center" wrapText="1"/>
    </xf>
    <xf numFmtId="0" fontId="4" fillId="2" borderId="24" xfId="2" applyFont="1" applyFill="1" applyBorder="1" applyAlignment="1">
      <alignment horizontal="center" wrapText="1"/>
    </xf>
    <xf numFmtId="0" fontId="13" fillId="0" borderId="1" xfId="2" applyFont="1" applyBorder="1" applyAlignment="1">
      <alignment horizontal="center"/>
    </xf>
    <xf numFmtId="0" fontId="6" fillId="9" borderId="7" xfId="2" applyFont="1" applyFill="1" applyBorder="1" applyAlignment="1">
      <alignment horizontal="center"/>
    </xf>
    <xf numFmtId="0" fontId="6" fillId="7" borderId="7" xfId="2" applyFont="1" applyFill="1" applyBorder="1" applyAlignment="1">
      <alignment horizontal="center"/>
    </xf>
    <xf numFmtId="0" fontId="6" fillId="11" borderId="15" xfId="2" applyFont="1" applyFill="1" applyBorder="1" applyAlignment="1">
      <alignment horizontal="center"/>
    </xf>
    <xf numFmtId="0" fontId="11" fillId="14" borderId="27" xfId="2" applyFont="1" applyFill="1" applyBorder="1" applyAlignment="1">
      <alignment horizontal="center"/>
    </xf>
    <xf numFmtId="0" fontId="7" fillId="0" borderId="27" xfId="2" applyFont="1" applyBorder="1" applyAlignment="1">
      <alignment horizontal="center"/>
    </xf>
    <xf numFmtId="0" fontId="7" fillId="0" borderId="31" xfId="2" applyFont="1" applyBorder="1" applyAlignment="1">
      <alignment horizontal="center"/>
    </xf>
    <xf numFmtId="0" fontId="6" fillId="12" borderId="27" xfId="2" applyFont="1" applyFill="1" applyBorder="1" applyAlignment="1">
      <alignment horizontal="center"/>
    </xf>
    <xf numFmtId="0" fontId="11" fillId="14" borderId="29" xfId="2" applyFont="1" applyFill="1" applyBorder="1" applyAlignment="1">
      <alignment horizontal="center"/>
    </xf>
    <xf numFmtId="0" fontId="7" fillId="0" borderId="32" xfId="2" applyFont="1" applyBorder="1" applyAlignment="1">
      <alignment horizontal="center"/>
    </xf>
    <xf numFmtId="0" fontId="6" fillId="12" borderId="28" xfId="2" applyFont="1" applyFill="1" applyBorder="1" applyAlignment="1">
      <alignment horizontal="center"/>
    </xf>
    <xf numFmtId="0" fontId="11" fillId="14" borderId="28" xfId="2" applyFont="1" applyFill="1" applyBorder="1" applyAlignment="1">
      <alignment horizontal="center"/>
    </xf>
    <xf numFmtId="0" fontId="6" fillId="0" borderId="38" xfId="2" applyFont="1" applyBorder="1" applyAlignment="1">
      <alignment horizontal="center"/>
    </xf>
    <xf numFmtId="0" fontId="6" fillId="0" borderId="34" xfId="2" applyFont="1" applyBorder="1" applyAlignment="1">
      <alignment horizontal="center"/>
    </xf>
    <xf numFmtId="0" fontId="6" fillId="0" borderId="39" xfId="2" applyFont="1" applyBorder="1" applyAlignment="1">
      <alignment horizontal="center"/>
    </xf>
    <xf numFmtId="0" fontId="6" fillId="0" borderId="42" xfId="2" applyFont="1" applyBorder="1" applyAlignment="1">
      <alignment horizontal="center"/>
    </xf>
    <xf numFmtId="0" fontId="6" fillId="0" borderId="27" xfId="2" applyFont="1" applyBorder="1" applyAlignment="1">
      <alignment horizontal="center"/>
    </xf>
    <xf numFmtId="0" fontId="6" fillId="0" borderId="28" xfId="2" applyFont="1" applyBorder="1" applyAlignment="1">
      <alignment horizontal="center"/>
    </xf>
    <xf numFmtId="0" fontId="4" fillId="2" borderId="28" xfId="2" applyFont="1" applyFill="1" applyBorder="1" applyAlignment="1">
      <alignment horizontal="center" wrapText="1"/>
    </xf>
    <xf numFmtId="0" fontId="6" fillId="24" borderId="1" xfId="2" applyFont="1" applyFill="1" applyBorder="1" applyAlignment="1">
      <alignment horizontal="center"/>
    </xf>
    <xf numFmtId="0" fontId="6" fillId="23" borderId="1" xfId="2" applyFont="1" applyFill="1" applyBorder="1" applyAlignment="1">
      <alignment horizontal="center"/>
    </xf>
    <xf numFmtId="0" fontId="14" fillId="0" borderId="7" xfId="2" applyFont="1" applyBorder="1" applyAlignment="1">
      <alignment horizontal="center"/>
    </xf>
    <xf numFmtId="0" fontId="6" fillId="7" borderId="22" xfId="2" applyFont="1" applyFill="1" applyBorder="1" applyAlignment="1">
      <alignment horizontal="center"/>
    </xf>
    <xf numFmtId="0" fontId="6" fillId="0" borderId="29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15" borderId="19" xfId="2" applyFont="1" applyFill="1" applyBorder="1" applyAlignment="1">
      <alignment horizontal="center"/>
    </xf>
    <xf numFmtId="0" fontId="6" fillId="20" borderId="34" xfId="2" applyFont="1" applyFill="1" applyBorder="1" applyAlignment="1">
      <alignment horizontal="center"/>
    </xf>
    <xf numFmtId="0" fontId="6" fillId="9" borderId="27" xfId="2" applyFont="1" applyFill="1" applyBorder="1" applyAlignment="1">
      <alignment horizontal="center"/>
    </xf>
    <xf numFmtId="0" fontId="6" fillId="10" borderId="27" xfId="2" applyFont="1" applyFill="1" applyBorder="1" applyAlignment="1">
      <alignment horizontal="center"/>
    </xf>
    <xf numFmtId="0" fontId="6" fillId="7" borderId="27" xfId="2" applyFont="1" applyFill="1" applyBorder="1" applyAlignment="1">
      <alignment horizontal="center"/>
    </xf>
    <xf numFmtId="0" fontId="10" fillId="0" borderId="27" xfId="2" applyFont="1" applyBorder="1" applyAlignment="1">
      <alignment horizontal="center"/>
    </xf>
    <xf numFmtId="0" fontId="6" fillId="9" borderId="29" xfId="2" applyFont="1" applyFill="1" applyBorder="1" applyAlignment="1">
      <alignment horizontal="center"/>
    </xf>
    <xf numFmtId="0" fontId="10" fillId="0" borderId="28" xfId="2" applyFont="1" applyBorder="1" applyAlignment="1">
      <alignment horizontal="center"/>
    </xf>
    <xf numFmtId="0" fontId="6" fillId="7" borderId="28" xfId="2" applyFont="1" applyFill="1" applyBorder="1" applyAlignment="1">
      <alignment horizontal="center"/>
    </xf>
    <xf numFmtId="0" fontId="6" fillId="9" borderId="19" xfId="2" applyFont="1" applyFill="1" applyBorder="1" applyAlignment="1">
      <alignment horizontal="center"/>
    </xf>
    <xf numFmtId="0" fontId="6" fillId="7" borderId="34" xfId="2" applyFont="1" applyFill="1" applyBorder="1" applyAlignment="1">
      <alignment horizontal="center"/>
    </xf>
    <xf numFmtId="0" fontId="6" fillId="0" borderId="41" xfId="2" applyFont="1" applyBorder="1" applyAlignment="1">
      <alignment horizontal="center"/>
    </xf>
    <xf numFmtId="0" fontId="6" fillId="5" borderId="15" xfId="2" applyFont="1" applyFill="1" applyBorder="1" applyAlignment="1">
      <alignment horizontal="left"/>
    </xf>
    <xf numFmtId="0" fontId="6" fillId="5" borderId="27" xfId="2" applyFont="1" applyFill="1" applyBorder="1" applyAlignment="1">
      <alignment horizontal="left"/>
    </xf>
    <xf numFmtId="0" fontId="6" fillId="5" borderId="29" xfId="2" applyFont="1" applyFill="1" applyBorder="1" applyAlignment="1">
      <alignment horizontal="left"/>
    </xf>
    <xf numFmtId="0" fontId="6" fillId="5" borderId="42" xfId="2" applyFont="1" applyFill="1" applyBorder="1"/>
    <xf numFmtId="0" fontId="6" fillId="0" borderId="44" xfId="2" applyFont="1" applyBorder="1" applyAlignment="1">
      <alignment horizontal="center"/>
    </xf>
    <xf numFmtId="0" fontId="6" fillId="0" borderId="46" xfId="2" applyFont="1" applyBorder="1" applyAlignment="1">
      <alignment horizontal="center"/>
    </xf>
    <xf numFmtId="0" fontId="6" fillId="0" borderId="47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6" fillId="0" borderId="30" xfId="2" applyFont="1" applyBorder="1" applyAlignment="1">
      <alignment horizontal="center"/>
    </xf>
    <xf numFmtId="0" fontId="6" fillId="0" borderId="48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6" fillId="11" borderId="34" xfId="2" applyFont="1" applyFill="1" applyBorder="1" applyAlignment="1">
      <alignment horizontal="center"/>
    </xf>
    <xf numFmtId="164" fontId="4" fillId="2" borderId="28" xfId="2" applyNumberFormat="1" applyFont="1" applyFill="1" applyBorder="1" applyAlignment="1">
      <alignment horizontal="center" wrapText="1"/>
    </xf>
    <xf numFmtId="164" fontId="6" fillId="3" borderId="15" xfId="2" applyNumberFormat="1" applyFont="1" applyFill="1" applyBorder="1" applyAlignment="1">
      <alignment horizontal="center"/>
    </xf>
    <xf numFmtId="164" fontId="6" fillId="3" borderId="1" xfId="2" applyNumberFormat="1" applyFont="1" applyFill="1" applyBorder="1" applyAlignment="1">
      <alignment horizontal="center"/>
    </xf>
    <xf numFmtId="164" fontId="6" fillId="3" borderId="8" xfId="2" applyNumberFormat="1" applyFont="1" applyFill="1" applyBorder="1" applyAlignment="1">
      <alignment horizontal="center"/>
    </xf>
    <xf numFmtId="164" fontId="6" fillId="3" borderId="3" xfId="2" applyNumberFormat="1" applyFont="1" applyFill="1" applyBorder="1" applyAlignment="1">
      <alignment horizontal="center"/>
    </xf>
    <xf numFmtId="164" fontId="6" fillId="3" borderId="18" xfId="2" applyNumberFormat="1" applyFont="1" applyFill="1" applyBorder="1" applyAlignment="1">
      <alignment horizontal="center"/>
    </xf>
    <xf numFmtId="164" fontId="6" fillId="3" borderId="4" xfId="2" applyNumberFormat="1" applyFont="1" applyFill="1" applyBorder="1" applyAlignment="1">
      <alignment horizontal="center"/>
    </xf>
    <xf numFmtId="164" fontId="6" fillId="3" borderId="20" xfId="2" applyNumberFormat="1" applyFont="1" applyFill="1" applyBorder="1" applyAlignment="1">
      <alignment horizontal="center"/>
    </xf>
    <xf numFmtId="164" fontId="10" fillId="3" borderId="1" xfId="2" applyNumberFormat="1" applyFont="1" applyFill="1" applyBorder="1" applyAlignment="1">
      <alignment horizontal="center"/>
    </xf>
    <xf numFmtId="164" fontId="10" fillId="3" borderId="8" xfId="2" applyNumberFormat="1" applyFont="1" applyFill="1" applyBorder="1" applyAlignment="1">
      <alignment horizontal="center"/>
    </xf>
    <xf numFmtId="164" fontId="6" fillId="3" borderId="6" xfId="2" applyNumberFormat="1" applyFont="1" applyFill="1" applyBorder="1" applyAlignment="1">
      <alignment horizontal="center"/>
    </xf>
    <xf numFmtId="164" fontId="6" fillId="3" borderId="27" xfId="2" applyNumberFormat="1" applyFont="1" applyFill="1" applyBorder="1" applyAlignment="1">
      <alignment horizontal="center"/>
    </xf>
    <xf numFmtId="164" fontId="6" fillId="3" borderId="28" xfId="2" applyNumberFormat="1" applyFont="1" applyFill="1" applyBorder="1" applyAlignment="1">
      <alignment horizontal="center"/>
    </xf>
    <xf numFmtId="164" fontId="6" fillId="3" borderId="29" xfId="2" applyNumberFormat="1" applyFont="1" applyFill="1" applyBorder="1" applyAlignment="1">
      <alignment horizontal="center"/>
    </xf>
    <xf numFmtId="164" fontId="10" fillId="3" borderId="18" xfId="2" applyNumberFormat="1" applyFont="1" applyFill="1" applyBorder="1" applyAlignment="1">
      <alignment horizontal="center"/>
    </xf>
    <xf numFmtId="164" fontId="10" fillId="3" borderId="3" xfId="2" applyNumberFormat="1" applyFont="1" applyFill="1" applyBorder="1" applyAlignment="1">
      <alignment horizontal="center"/>
    </xf>
    <xf numFmtId="164" fontId="10" fillId="3" borderId="4" xfId="2" applyNumberFormat="1" applyFont="1" applyFill="1" applyBorder="1" applyAlignment="1">
      <alignment horizontal="center"/>
    </xf>
    <xf numFmtId="0" fontId="6" fillId="0" borderId="32" xfId="2" applyFont="1" applyBorder="1" applyAlignment="1">
      <alignment horizontal="center"/>
    </xf>
    <xf numFmtId="0" fontId="6" fillId="0" borderId="31" xfId="2" applyFont="1" applyBorder="1" applyAlignment="1">
      <alignment horizontal="center"/>
    </xf>
    <xf numFmtId="0" fontId="12" fillId="0" borderId="0" xfId="0" applyFont="1"/>
    <xf numFmtId="2" fontId="4" fillId="2" borderId="44" xfId="2" applyNumberFormat="1" applyFont="1" applyFill="1" applyBorder="1" applyAlignment="1">
      <alignment horizontal="center" wrapText="1"/>
    </xf>
    <xf numFmtId="2" fontId="6" fillId="0" borderId="29" xfId="2" applyNumberFormat="1" applyFont="1" applyBorder="1" applyAlignment="1">
      <alignment horizontal="center"/>
    </xf>
    <xf numFmtId="2" fontId="6" fillId="0" borderId="27" xfId="2" applyNumberFormat="1" applyFont="1" applyBorder="1" applyAlignment="1">
      <alignment horizontal="center"/>
    </xf>
    <xf numFmtId="2" fontId="6" fillId="0" borderId="7" xfId="2" applyNumberFormat="1" applyFont="1" applyBorder="1" applyAlignment="1">
      <alignment horizontal="center"/>
    </xf>
    <xf numFmtId="2" fontId="6" fillId="0" borderId="17" xfId="2" applyNumberFormat="1" applyFont="1" applyBorder="1" applyAlignment="1">
      <alignment horizontal="center"/>
    </xf>
    <xf numFmtId="2" fontId="6" fillId="0" borderId="34" xfId="2" applyNumberFormat="1" applyFont="1" applyBorder="1" applyAlignment="1">
      <alignment horizontal="center"/>
    </xf>
    <xf numFmtId="2" fontId="6" fillId="0" borderId="28" xfId="2" applyNumberFormat="1" applyFont="1" applyBorder="1" applyAlignment="1">
      <alignment horizontal="center"/>
    </xf>
    <xf numFmtId="2" fontId="6" fillId="0" borderId="5" xfId="2" applyNumberFormat="1" applyFont="1" applyBorder="1" applyAlignment="1">
      <alignment horizontal="center"/>
    </xf>
    <xf numFmtId="2" fontId="6" fillId="0" borderId="2" xfId="2" applyNumberFormat="1" applyFont="1" applyAlignment="1">
      <alignment horizontal="center"/>
    </xf>
    <xf numFmtId="2" fontId="6" fillId="0" borderId="38" xfId="2" applyNumberFormat="1" applyFont="1" applyBorder="1" applyAlignment="1">
      <alignment horizontal="center"/>
    </xf>
    <xf numFmtId="2" fontId="6" fillId="0" borderId="54" xfId="2" applyNumberFormat="1" applyFont="1" applyBorder="1" applyAlignment="1">
      <alignment horizontal="center"/>
    </xf>
    <xf numFmtId="2" fontId="4" fillId="2" borderId="49" xfId="2" applyNumberFormat="1" applyFont="1" applyFill="1" applyBorder="1" applyAlignment="1">
      <alignment horizontal="center" wrapText="1"/>
    </xf>
    <xf numFmtId="2" fontId="6" fillId="0" borderId="41" xfId="2" applyNumberFormat="1" applyFont="1" applyBorder="1" applyAlignment="1">
      <alignment horizontal="center"/>
    </xf>
    <xf numFmtId="2" fontId="6" fillId="0" borderId="50" xfId="2" applyNumberFormat="1" applyFont="1" applyBorder="1" applyAlignment="1">
      <alignment horizontal="center"/>
    </xf>
    <xf numFmtId="2" fontId="6" fillId="0" borderId="52" xfId="2" applyNumberFormat="1" applyFont="1" applyBorder="1" applyAlignment="1">
      <alignment horizontal="center"/>
    </xf>
    <xf numFmtId="2" fontId="6" fillId="0" borderId="9" xfId="2" applyNumberFormat="1" applyFont="1" applyBorder="1" applyAlignment="1">
      <alignment horizontal="center"/>
    </xf>
    <xf numFmtId="2" fontId="6" fillId="0" borderId="55" xfId="2" applyNumberFormat="1" applyFont="1" applyBorder="1" applyAlignment="1">
      <alignment horizontal="center"/>
    </xf>
    <xf numFmtId="2" fontId="6" fillId="0" borderId="53" xfId="2" applyNumberFormat="1" applyFont="1" applyBorder="1" applyAlignment="1">
      <alignment horizontal="center"/>
    </xf>
    <xf numFmtId="2" fontId="6" fillId="0" borderId="19" xfId="2" applyNumberFormat="1" applyFont="1" applyBorder="1" applyAlignment="1">
      <alignment horizontal="center"/>
    </xf>
    <xf numFmtId="2" fontId="10" fillId="0" borderId="19" xfId="2" applyNumberFormat="1" applyFont="1" applyBorder="1" applyAlignment="1">
      <alignment horizontal="center"/>
    </xf>
    <xf numFmtId="2" fontId="10" fillId="0" borderId="7" xfId="2" applyNumberFormat="1" applyFont="1" applyBorder="1" applyAlignment="1">
      <alignment horizontal="center"/>
    </xf>
    <xf numFmtId="2" fontId="10" fillId="0" borderId="23" xfId="2" applyNumberFormat="1" applyFont="1" applyBorder="1" applyAlignment="1">
      <alignment horizontal="center"/>
    </xf>
    <xf numFmtId="2" fontId="6" fillId="0" borderId="11" xfId="2" applyNumberFormat="1" applyFont="1" applyBorder="1" applyAlignment="1">
      <alignment horizontal="center"/>
    </xf>
    <xf numFmtId="2" fontId="6" fillId="0" borderId="22" xfId="2" applyNumberFormat="1" applyFont="1" applyBorder="1" applyAlignment="1">
      <alignment horizontal="center"/>
    </xf>
    <xf numFmtId="49" fontId="4" fillId="2" borderId="45" xfId="2" applyNumberFormat="1" applyFont="1" applyFill="1" applyBorder="1" applyAlignment="1">
      <alignment horizontal="center"/>
    </xf>
    <xf numFmtId="49" fontId="4" fillId="6" borderId="16" xfId="2" applyNumberFormat="1" applyFont="1" applyFill="1" applyBorder="1" applyAlignment="1">
      <alignment horizontal="center"/>
    </xf>
    <xf numFmtId="49" fontId="4" fillId="6" borderId="6" xfId="2" applyNumberFormat="1" applyFont="1" applyFill="1" applyBorder="1" applyAlignment="1">
      <alignment horizontal="center"/>
    </xf>
    <xf numFmtId="49" fontId="4" fillId="6" borderId="34" xfId="2" applyNumberFormat="1" applyFont="1" applyFill="1" applyBorder="1" applyAlignment="1">
      <alignment horizontal="center"/>
    </xf>
    <xf numFmtId="49" fontId="4" fillId="6" borderId="36" xfId="2" applyNumberFormat="1" applyFont="1" applyFill="1" applyBorder="1" applyAlignment="1">
      <alignment horizontal="center"/>
    </xf>
    <xf numFmtId="2" fontId="4" fillId="2" borderId="43" xfId="2" applyNumberFormat="1" applyFont="1" applyFill="1" applyBorder="1" applyAlignment="1">
      <alignment horizontal="center" wrapText="1"/>
    </xf>
    <xf numFmtId="2" fontId="6" fillId="0" borderId="26" xfId="2" applyNumberFormat="1" applyFont="1" applyBorder="1" applyAlignment="1">
      <alignment horizontal="center"/>
    </xf>
    <xf numFmtId="2" fontId="6" fillId="0" borderId="46" xfId="2" applyNumberFormat="1" applyFont="1" applyBorder="1" applyAlignment="1">
      <alignment horizontal="center"/>
    </xf>
    <xf numFmtId="2" fontId="6" fillId="0" borderId="47" xfId="2" applyNumberFormat="1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34" xfId="2" applyFont="1" applyBorder="1" applyAlignment="1">
      <alignment horizontal="center"/>
    </xf>
    <xf numFmtId="0" fontId="10" fillId="0" borderId="29" xfId="2" applyFont="1" applyBorder="1" applyAlignment="1">
      <alignment horizontal="center"/>
    </xf>
    <xf numFmtId="11" fontId="6" fillId="0" borderId="7" xfId="2" applyNumberFormat="1" applyFont="1" applyBorder="1" applyAlignment="1">
      <alignment horizontal="center"/>
    </xf>
    <xf numFmtId="11" fontId="6" fillId="0" borderId="1" xfId="2" applyNumberFormat="1" applyFont="1" applyBorder="1" applyAlignment="1">
      <alignment horizontal="center"/>
    </xf>
    <xf numFmtId="11" fontId="6" fillId="0" borderId="17" xfId="2" applyNumberFormat="1" applyFont="1" applyBorder="1" applyAlignment="1">
      <alignment horizontal="center"/>
    </xf>
    <xf numFmtId="11" fontId="6" fillId="0" borderId="2" xfId="2" applyNumberFormat="1" applyFont="1" applyAlignment="1">
      <alignment horizontal="center"/>
    </xf>
    <xf numFmtId="11" fontId="6" fillId="0" borderId="35" xfId="2" applyNumberFormat="1" applyFont="1" applyBorder="1" applyAlignment="1">
      <alignment horizontal="center"/>
    </xf>
    <xf numFmtId="11" fontId="14" fillId="0" borderId="17" xfId="2" applyNumberFormat="1" applyFont="1" applyBorder="1" applyAlignment="1">
      <alignment horizontal="center"/>
    </xf>
    <xf numFmtId="2" fontId="6" fillId="0" borderId="30" xfId="2" applyNumberFormat="1" applyFont="1" applyBorder="1" applyAlignment="1">
      <alignment horizontal="center"/>
    </xf>
    <xf numFmtId="0" fontId="6" fillId="0" borderId="54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11" fontId="6" fillId="0" borderId="27" xfId="2" applyNumberFormat="1" applyFont="1" applyBorder="1" applyAlignment="1">
      <alignment horizontal="center"/>
    </xf>
    <xf numFmtId="11" fontId="6" fillId="0" borderId="29" xfId="2" applyNumberFormat="1" applyFont="1" applyBorder="1" applyAlignment="1">
      <alignment horizontal="center"/>
    </xf>
    <xf numFmtId="11" fontId="6" fillId="0" borderId="34" xfId="2" applyNumberFormat="1" applyFont="1" applyBorder="1" applyAlignment="1">
      <alignment horizontal="center"/>
    </xf>
    <xf numFmtId="11" fontId="6" fillId="0" borderId="28" xfId="2" applyNumberFormat="1" applyFont="1" applyBorder="1" applyAlignment="1">
      <alignment horizontal="center"/>
    </xf>
    <xf numFmtId="0" fontId="6" fillId="0" borderId="58" xfId="2" applyFont="1" applyBorder="1" applyAlignment="1">
      <alignment horizontal="center"/>
    </xf>
    <xf numFmtId="11" fontId="6" fillId="0" borderId="40" xfId="2" applyNumberFormat="1" applyFont="1" applyBorder="1" applyAlignment="1">
      <alignment horizontal="center"/>
    </xf>
    <xf numFmtId="11" fontId="14" fillId="0" borderId="27" xfId="2" applyNumberFormat="1" applyFont="1" applyBorder="1" applyAlignment="1">
      <alignment horizontal="center"/>
    </xf>
    <xf numFmtId="11" fontId="6" fillId="0" borderId="15" xfId="2" applyNumberFormat="1" applyFont="1" applyBorder="1" applyAlignment="1">
      <alignment horizontal="center"/>
    </xf>
    <xf numFmtId="11" fontId="6" fillId="0" borderId="31" xfId="2" applyNumberFormat="1" applyFont="1" applyBorder="1" applyAlignment="1">
      <alignment horizontal="center"/>
    </xf>
    <xf numFmtId="11" fontId="6" fillId="0" borderId="26" xfId="2" applyNumberFormat="1" applyFont="1" applyBorder="1" applyAlignment="1">
      <alignment horizontal="center"/>
    </xf>
    <xf numFmtId="11" fontId="6" fillId="0" borderId="15" xfId="2" applyNumberFormat="1" applyFont="1" applyBorder="1" applyAlignment="1">
      <alignment horizontal="center" wrapText="1"/>
    </xf>
    <xf numFmtId="11" fontId="14" fillId="0" borderId="28" xfId="2" applyNumberFormat="1" applyFont="1" applyBorder="1" applyAlignment="1">
      <alignment horizontal="center"/>
    </xf>
    <xf numFmtId="11" fontId="6" fillId="0" borderId="17" xfId="2" applyNumberFormat="1" applyFont="1" applyBorder="1" applyAlignment="1">
      <alignment horizontal="center" wrapText="1"/>
    </xf>
    <xf numFmtId="11" fontId="6" fillId="0" borderId="26" xfId="2" applyNumberFormat="1" applyFont="1" applyBorder="1" applyAlignment="1">
      <alignment horizontal="center" wrapText="1"/>
    </xf>
    <xf numFmtId="11" fontId="6" fillId="21" borderId="17" xfId="2" applyNumberFormat="1" applyFont="1" applyFill="1" applyBorder="1" applyAlignment="1">
      <alignment horizontal="center"/>
    </xf>
    <xf numFmtId="164" fontId="10" fillId="3" borderId="28" xfId="2" applyNumberFormat="1" applyFont="1" applyFill="1" applyBorder="1" applyAlignment="1">
      <alignment horizontal="center"/>
    </xf>
    <xf numFmtId="2" fontId="6" fillId="0" borderId="35" xfId="2" applyNumberFormat="1" applyFont="1" applyBorder="1" applyAlignment="1">
      <alignment horizontal="center"/>
    </xf>
    <xf numFmtId="2" fontId="6" fillId="0" borderId="58" xfId="2" applyNumberFormat="1" applyFont="1" applyBorder="1" applyAlignment="1">
      <alignment horizontal="center"/>
    </xf>
    <xf numFmtId="164" fontId="10" fillId="3" borderId="27" xfId="2" applyNumberFormat="1" applyFont="1" applyFill="1" applyBorder="1" applyAlignment="1">
      <alignment horizontal="center"/>
    </xf>
    <xf numFmtId="2" fontId="6" fillId="0" borderId="32" xfId="2" applyNumberFormat="1" applyFont="1" applyBorder="1" applyAlignment="1">
      <alignment horizontal="center"/>
    </xf>
    <xf numFmtId="2" fontId="6" fillId="0" borderId="31" xfId="2" applyNumberFormat="1" applyFont="1" applyBorder="1" applyAlignment="1">
      <alignment horizontal="center"/>
    </xf>
    <xf numFmtId="11" fontId="4" fillId="2" borderId="43" xfId="2" applyNumberFormat="1" applyFont="1" applyFill="1" applyBorder="1" applyAlignment="1">
      <alignment horizontal="center" wrapText="1"/>
    </xf>
    <xf numFmtId="11" fontId="4" fillId="2" borderId="37" xfId="2" applyNumberFormat="1" applyFont="1" applyFill="1" applyBorder="1" applyAlignment="1">
      <alignment horizontal="center" wrapText="1"/>
    </xf>
    <xf numFmtId="2" fontId="6" fillId="0" borderId="59" xfId="2" applyNumberFormat="1" applyFont="1" applyBorder="1" applyAlignment="1">
      <alignment horizontal="center"/>
    </xf>
    <xf numFmtId="11" fontId="6" fillId="0" borderId="32" xfId="2" applyNumberFormat="1" applyFont="1" applyBorder="1" applyAlignment="1">
      <alignment horizontal="center"/>
    </xf>
    <xf numFmtId="11" fontId="14" fillId="0" borderId="31" xfId="2" applyNumberFormat="1" applyFont="1" applyBorder="1" applyAlignment="1">
      <alignment horizontal="center"/>
    </xf>
    <xf numFmtId="11" fontId="14" fillId="0" borderId="57" xfId="2" applyNumberFormat="1" applyFont="1" applyBorder="1" applyAlignment="1">
      <alignment horizontal="center"/>
    </xf>
    <xf numFmtId="11" fontId="6" fillId="0" borderId="32" xfId="2" applyNumberFormat="1" applyFont="1" applyBorder="1" applyAlignment="1">
      <alignment horizontal="center" wrapText="1"/>
    </xf>
    <xf numFmtId="11" fontId="6" fillId="0" borderId="57" xfId="2" applyNumberFormat="1" applyFont="1" applyBorder="1" applyAlignment="1">
      <alignment horizontal="center"/>
    </xf>
    <xf numFmtId="11" fontId="6" fillId="0" borderId="31" xfId="2" applyNumberFormat="1" applyFont="1" applyBorder="1" applyAlignment="1">
      <alignment horizontal="center" wrapText="1"/>
    </xf>
    <xf numFmtId="11" fontId="6" fillId="21" borderId="27" xfId="2" applyNumberFormat="1" applyFont="1" applyFill="1" applyBorder="1" applyAlignment="1">
      <alignment horizontal="center"/>
    </xf>
    <xf numFmtId="164" fontId="6" fillId="3" borderId="36" xfId="2" applyNumberFormat="1" applyFont="1" applyFill="1" applyBorder="1" applyAlignment="1">
      <alignment horizontal="center"/>
    </xf>
    <xf numFmtId="0" fontId="8" fillId="0" borderId="35" xfId="2" applyFont="1" applyBorder="1" applyAlignment="1">
      <alignment horizontal="center"/>
    </xf>
    <xf numFmtId="0" fontId="10" fillId="0" borderId="15" xfId="2" applyFont="1" applyBorder="1" applyAlignment="1">
      <alignment horizontal="center"/>
    </xf>
    <xf numFmtId="0" fontId="6" fillId="27" borderId="28" xfId="2" applyFont="1" applyFill="1" applyBorder="1" applyAlignment="1">
      <alignment horizontal="center"/>
    </xf>
    <xf numFmtId="0" fontId="6" fillId="27" borderId="1" xfId="2" applyFont="1" applyFill="1" applyBorder="1" applyAlignment="1">
      <alignment horizontal="center"/>
    </xf>
    <xf numFmtId="0" fontId="6" fillId="27" borderId="8" xfId="2" applyFont="1" applyFill="1" applyBorder="1" applyAlignment="1">
      <alignment horizontal="center"/>
    </xf>
    <xf numFmtId="0" fontId="6" fillId="27" borderId="7" xfId="2" applyFont="1" applyFill="1" applyBorder="1" applyAlignment="1">
      <alignment horizontal="center"/>
    </xf>
    <xf numFmtId="0" fontId="6" fillId="27" borderId="40" xfId="2" applyFont="1" applyFill="1" applyBorder="1" applyAlignment="1">
      <alignment horizontal="center"/>
    </xf>
    <xf numFmtId="0" fontId="6" fillId="27" borderId="27" xfId="2" applyFont="1" applyFill="1" applyBorder="1" applyAlignment="1">
      <alignment horizontal="center"/>
    </xf>
    <xf numFmtId="0" fontId="6" fillId="0" borderId="64" xfId="2" applyFont="1" applyBorder="1" applyAlignment="1">
      <alignment horizontal="center"/>
    </xf>
    <xf numFmtId="2" fontId="6" fillId="0" borderId="67" xfId="2" applyNumberFormat="1" applyFont="1" applyBorder="1" applyAlignment="1">
      <alignment horizontal="center"/>
    </xf>
    <xf numFmtId="11" fontId="6" fillId="0" borderId="18" xfId="2" applyNumberFormat="1" applyFont="1" applyBorder="1" applyAlignment="1">
      <alignment horizontal="center"/>
    </xf>
    <xf numFmtId="11" fontId="6" fillId="0" borderId="25" xfId="2" applyNumberFormat="1" applyFont="1" applyBorder="1" applyAlignment="1">
      <alignment horizontal="center"/>
    </xf>
    <xf numFmtId="11" fontId="6" fillId="0" borderId="58" xfId="2" applyNumberFormat="1" applyFont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68" xfId="2" applyFont="1" applyFill="1" applyBorder="1" applyAlignment="1">
      <alignment horizontal="center"/>
    </xf>
    <xf numFmtId="0" fontId="10" fillId="0" borderId="68" xfId="2" applyFont="1" applyBorder="1" applyAlignment="1">
      <alignment horizontal="center"/>
    </xf>
    <xf numFmtId="0" fontId="6" fillId="0" borderId="68" xfId="2" applyFont="1" applyBorder="1" applyAlignment="1">
      <alignment horizontal="center"/>
    </xf>
    <xf numFmtId="0" fontId="6" fillId="0" borderId="69" xfId="2" applyFont="1" applyBorder="1" applyAlignment="1">
      <alignment horizontal="center"/>
    </xf>
    <xf numFmtId="0" fontId="6" fillId="7" borderId="68" xfId="2" applyFont="1" applyFill="1" applyBorder="1" applyAlignment="1">
      <alignment horizontal="center"/>
    </xf>
    <xf numFmtId="11" fontId="6" fillId="0" borderId="65" xfId="2" applyNumberFormat="1" applyFont="1" applyBorder="1" applyAlignment="1">
      <alignment horizontal="center"/>
    </xf>
    <xf numFmtId="49" fontId="4" fillId="6" borderId="70" xfId="2" applyNumberFormat="1" applyFont="1" applyFill="1" applyBorder="1" applyAlignment="1">
      <alignment horizontal="center"/>
    </xf>
    <xf numFmtId="164" fontId="6" fillId="3" borderId="56" xfId="2" applyNumberFormat="1" applyFont="1" applyFill="1" applyBorder="1" applyAlignment="1">
      <alignment horizontal="center"/>
    </xf>
    <xf numFmtId="11" fontId="6" fillId="0" borderId="36" xfId="2" applyNumberFormat="1" applyFont="1" applyBorder="1" applyAlignment="1">
      <alignment horizontal="center"/>
    </xf>
    <xf numFmtId="11" fontId="4" fillId="2" borderId="4" xfId="2" applyNumberFormat="1" applyFont="1" applyFill="1" applyBorder="1" applyAlignment="1">
      <alignment horizontal="center" wrapText="1"/>
    </xf>
    <xf numFmtId="11" fontId="6" fillId="0" borderId="16" xfId="2" applyNumberFormat="1" applyFont="1" applyBorder="1" applyAlignment="1">
      <alignment horizontal="center"/>
    </xf>
    <xf numFmtId="11" fontId="6" fillId="0" borderId="54" xfId="2" applyNumberFormat="1" applyFont="1" applyBorder="1" applyAlignment="1">
      <alignment horizontal="center"/>
    </xf>
    <xf numFmtId="11" fontId="6" fillId="0" borderId="39" xfId="2" applyNumberFormat="1" applyFont="1" applyBorder="1" applyAlignment="1">
      <alignment horizontal="center"/>
    </xf>
    <xf numFmtId="11" fontId="6" fillId="0" borderId="69" xfId="2" applyNumberFormat="1" applyFont="1" applyBorder="1" applyAlignment="1">
      <alignment horizontal="center"/>
    </xf>
    <xf numFmtId="11" fontId="6" fillId="0" borderId="64" xfId="2" applyNumberFormat="1" applyFont="1" applyBorder="1" applyAlignment="1">
      <alignment horizontal="center"/>
    </xf>
    <xf numFmtId="11" fontId="6" fillId="0" borderId="52" xfId="2" applyNumberFormat="1" applyFont="1" applyBorder="1" applyAlignment="1">
      <alignment horizontal="center"/>
    </xf>
    <xf numFmtId="11" fontId="6" fillId="0" borderId="47" xfId="2" applyNumberFormat="1" applyFont="1" applyBorder="1" applyAlignment="1">
      <alignment horizontal="center"/>
    </xf>
    <xf numFmtId="11" fontId="6" fillId="26" borderId="28" xfId="2" applyNumberFormat="1" applyFont="1" applyFill="1" applyBorder="1" applyAlignment="1">
      <alignment horizontal="center"/>
    </xf>
    <xf numFmtId="11" fontId="6" fillId="26" borderId="42" xfId="2" applyNumberFormat="1" applyFont="1" applyFill="1" applyBorder="1" applyAlignment="1">
      <alignment horizontal="center"/>
    </xf>
    <xf numFmtId="11" fontId="14" fillId="0" borderId="47" xfId="2" applyNumberFormat="1" applyFont="1" applyBorder="1" applyAlignment="1">
      <alignment horizontal="center"/>
    </xf>
    <xf numFmtId="11" fontId="14" fillId="0" borderId="27" xfId="0" applyNumberFormat="1" applyFont="1" applyBorder="1" applyAlignment="1">
      <alignment horizontal="center"/>
    </xf>
    <xf numFmtId="11" fontId="14" fillId="0" borderId="47" xfId="0" applyNumberFormat="1" applyFont="1" applyBorder="1" applyAlignment="1">
      <alignment horizontal="center"/>
    </xf>
    <xf numFmtId="11" fontId="14" fillId="0" borderId="16" xfId="2" applyNumberFormat="1" applyFont="1" applyBorder="1" applyAlignment="1">
      <alignment horizontal="center"/>
    </xf>
    <xf numFmtId="11" fontId="6" fillId="21" borderId="47" xfId="2" applyNumberFormat="1" applyFont="1" applyFill="1" applyBorder="1" applyAlignment="1">
      <alignment horizontal="center"/>
    </xf>
    <xf numFmtId="11" fontId="6" fillId="0" borderId="53" xfId="2" applyNumberFormat="1" applyFont="1" applyBorder="1" applyAlignment="1">
      <alignment horizontal="center"/>
    </xf>
    <xf numFmtId="11" fontId="6" fillId="0" borderId="46" xfId="2" applyNumberFormat="1" applyFont="1" applyBorder="1" applyAlignment="1">
      <alignment horizontal="center"/>
    </xf>
    <xf numFmtId="11" fontId="6" fillId="0" borderId="59" xfId="2" applyNumberFormat="1" applyFont="1" applyBorder="1" applyAlignment="1">
      <alignment horizontal="center"/>
    </xf>
    <xf numFmtId="11" fontId="6" fillId="0" borderId="42" xfId="2" applyNumberFormat="1" applyFont="1" applyBorder="1" applyAlignment="1">
      <alignment horizontal="center"/>
    </xf>
    <xf numFmtId="11" fontId="6" fillId="26" borderId="29" xfId="2" applyNumberFormat="1" applyFont="1" applyFill="1" applyBorder="1" applyAlignment="1">
      <alignment horizontal="center"/>
    </xf>
    <xf numFmtId="11" fontId="6" fillId="26" borderId="16" xfId="2" applyNumberFormat="1" applyFont="1" applyFill="1" applyBorder="1" applyAlignment="1">
      <alignment horizontal="center"/>
    </xf>
    <xf numFmtId="11" fontId="6" fillId="26" borderId="27" xfId="2" applyNumberFormat="1" applyFont="1" applyFill="1" applyBorder="1" applyAlignment="1">
      <alignment horizontal="center"/>
    </xf>
    <xf numFmtId="11" fontId="6" fillId="0" borderId="30" xfId="2" applyNumberFormat="1" applyFont="1" applyBorder="1" applyAlignment="1">
      <alignment horizontal="center"/>
    </xf>
    <xf numFmtId="11" fontId="4" fillId="2" borderId="49" xfId="2" applyNumberFormat="1" applyFont="1" applyFill="1" applyBorder="1" applyAlignment="1">
      <alignment horizontal="center" wrapText="1"/>
    </xf>
    <xf numFmtId="11" fontId="6" fillId="0" borderId="71" xfId="2" applyNumberFormat="1" applyFont="1" applyBorder="1" applyAlignment="1">
      <alignment horizontal="center"/>
    </xf>
    <xf numFmtId="11" fontId="4" fillId="2" borderId="42" xfId="2" applyNumberFormat="1" applyFont="1" applyFill="1" applyBorder="1" applyAlignment="1">
      <alignment horizontal="center" wrapText="1"/>
    </xf>
    <xf numFmtId="11" fontId="14" fillId="0" borderId="30" xfId="2" applyNumberFormat="1" applyFont="1" applyBorder="1" applyAlignment="1">
      <alignment horizontal="center"/>
    </xf>
    <xf numFmtId="11" fontId="6" fillId="21" borderId="54" xfId="2" applyNumberFormat="1" applyFont="1" applyFill="1" applyBorder="1" applyAlignment="1">
      <alignment horizontal="center"/>
    </xf>
    <xf numFmtId="11" fontId="14" fillId="0" borderId="54" xfId="2" applyNumberFormat="1" applyFont="1" applyBorder="1" applyAlignment="1">
      <alignment horizontal="center"/>
    </xf>
    <xf numFmtId="11" fontId="6" fillId="0" borderId="38" xfId="2" applyNumberFormat="1" applyFont="1" applyBorder="1" applyAlignment="1">
      <alignment horizontal="center"/>
    </xf>
    <xf numFmtId="11" fontId="6" fillId="28" borderId="27" xfId="2" applyNumberFormat="1" applyFont="1" applyFill="1" applyBorder="1" applyAlignment="1">
      <alignment horizontal="center"/>
    </xf>
    <xf numFmtId="11" fontId="6" fillId="28" borderId="16" xfId="2" applyNumberFormat="1" applyFont="1" applyFill="1" applyBorder="1" applyAlignment="1">
      <alignment horizontal="center"/>
    </xf>
    <xf numFmtId="11" fontId="6" fillId="28" borderId="31" xfId="2" applyNumberFormat="1" applyFont="1" applyFill="1" applyBorder="1" applyAlignment="1">
      <alignment horizontal="center"/>
    </xf>
    <xf numFmtId="11" fontId="6" fillId="28" borderId="28" xfId="2" applyNumberFormat="1" applyFont="1" applyFill="1" applyBorder="1" applyAlignment="1">
      <alignment horizontal="center"/>
    </xf>
    <xf numFmtId="11" fontId="6" fillId="28" borderId="30" xfId="2" applyNumberFormat="1" applyFont="1" applyFill="1" applyBorder="1" applyAlignment="1">
      <alignment horizontal="center"/>
    </xf>
    <xf numFmtId="11" fontId="6" fillId="28" borderId="29" xfId="2" applyNumberFormat="1" applyFont="1" applyFill="1" applyBorder="1" applyAlignment="1">
      <alignment horizontal="center"/>
    </xf>
    <xf numFmtId="11" fontId="6" fillId="28" borderId="47" xfId="2" applyNumberFormat="1" applyFont="1" applyFill="1" applyBorder="1" applyAlignment="1">
      <alignment horizontal="center"/>
    </xf>
    <xf numFmtId="11" fontId="14" fillId="28" borderId="27" xfId="0" applyNumberFormat="1" applyFont="1" applyFill="1" applyBorder="1" applyAlignment="1">
      <alignment horizontal="center"/>
    </xf>
    <xf numFmtId="11" fontId="14" fillId="28" borderId="47" xfId="0" applyNumberFormat="1" applyFont="1" applyFill="1" applyBorder="1" applyAlignment="1">
      <alignment horizontal="center"/>
    </xf>
    <xf numFmtId="11" fontId="14" fillId="28" borderId="27" xfId="2" applyNumberFormat="1" applyFont="1" applyFill="1" applyBorder="1" applyAlignment="1">
      <alignment horizontal="center"/>
    </xf>
    <xf numFmtId="11" fontId="14" fillId="28" borderId="16" xfId="2" applyNumberFormat="1" applyFont="1" applyFill="1" applyBorder="1" applyAlignment="1">
      <alignment horizontal="center"/>
    </xf>
    <xf numFmtId="11" fontId="6" fillId="28" borderId="36" xfId="2" applyNumberFormat="1" applyFont="1" applyFill="1" applyBorder="1" applyAlignment="1">
      <alignment horizontal="center"/>
    </xf>
    <xf numFmtId="11" fontId="14" fillId="28" borderId="29" xfId="2" applyNumberFormat="1" applyFont="1" applyFill="1" applyBorder="1" applyAlignment="1">
      <alignment horizontal="center"/>
    </xf>
    <xf numFmtId="11" fontId="14" fillId="28" borderId="17" xfId="2" applyNumberFormat="1" applyFont="1" applyFill="1" applyBorder="1" applyAlignment="1">
      <alignment horizontal="center"/>
    </xf>
    <xf numFmtId="11" fontId="14" fillId="28" borderId="54" xfId="2" applyNumberFormat="1" applyFont="1" applyFill="1" applyBorder="1" applyAlignment="1">
      <alignment horizontal="center"/>
    </xf>
    <xf numFmtId="11" fontId="14" fillId="28" borderId="47" xfId="2" applyNumberFormat="1" applyFont="1" applyFill="1" applyBorder="1" applyAlignment="1">
      <alignment horizontal="center"/>
    </xf>
    <xf numFmtId="11" fontId="6" fillId="28" borderId="42" xfId="2" applyNumberFormat="1" applyFont="1" applyFill="1" applyBorder="1" applyAlignment="1">
      <alignment horizontal="center"/>
    </xf>
    <xf numFmtId="11" fontId="14" fillId="28" borderId="28" xfId="2" applyNumberFormat="1" applyFont="1" applyFill="1" applyBorder="1" applyAlignment="1">
      <alignment horizontal="center"/>
    </xf>
    <xf numFmtId="11" fontId="14" fillId="28" borderId="36" xfId="2" applyNumberFormat="1" applyFont="1" applyFill="1" applyBorder="1" applyAlignment="1">
      <alignment horizontal="center"/>
    </xf>
    <xf numFmtId="11" fontId="14" fillId="28" borderId="31" xfId="2" applyNumberFormat="1" applyFont="1" applyFill="1" applyBorder="1" applyAlignment="1">
      <alignment horizontal="center" wrapText="1"/>
    </xf>
    <xf numFmtId="11" fontId="6" fillId="28" borderId="35" xfId="2" applyNumberFormat="1" applyFont="1" applyFill="1" applyBorder="1" applyAlignment="1">
      <alignment horizontal="center"/>
    </xf>
    <xf numFmtId="11" fontId="6" fillId="28" borderId="64" xfId="2" applyNumberFormat="1" applyFont="1" applyFill="1" applyBorder="1" applyAlignment="1">
      <alignment horizontal="center"/>
    </xf>
    <xf numFmtId="0" fontId="6" fillId="28" borderId="1" xfId="2" applyFont="1" applyFill="1" applyBorder="1" applyAlignment="1">
      <alignment horizontal="center"/>
    </xf>
    <xf numFmtId="0" fontId="10" fillId="28" borderId="1" xfId="2" applyFont="1" applyFill="1" applyBorder="1" applyAlignment="1">
      <alignment horizontal="center"/>
    </xf>
    <xf numFmtId="0" fontId="10" fillId="28" borderId="8" xfId="2" applyFont="1" applyFill="1" applyBorder="1" applyAlignment="1">
      <alignment horizontal="center"/>
    </xf>
    <xf numFmtId="0" fontId="6" fillId="28" borderId="8" xfId="2" applyFont="1" applyFill="1" applyBorder="1" applyAlignment="1">
      <alignment horizontal="center"/>
    </xf>
    <xf numFmtId="11" fontId="6" fillId="0" borderId="10" xfId="2" applyNumberFormat="1" applyFont="1" applyBorder="1" applyAlignment="1">
      <alignment horizontal="center"/>
    </xf>
    <xf numFmtId="0" fontId="6" fillId="5" borderId="3" xfId="2" applyFont="1" applyFill="1" applyBorder="1" applyAlignment="1">
      <alignment horizontal="left"/>
    </xf>
    <xf numFmtId="2" fontId="6" fillId="0" borderId="51" xfId="2" applyNumberFormat="1" applyFont="1" applyBorder="1" applyAlignment="1">
      <alignment horizontal="center"/>
    </xf>
    <xf numFmtId="0" fontId="6" fillId="5" borderId="6" xfId="2" applyFont="1" applyFill="1" applyBorder="1" applyAlignment="1">
      <alignment horizontal="left"/>
    </xf>
    <xf numFmtId="0" fontId="6" fillId="5" borderId="7" xfId="2" applyFont="1" applyFill="1" applyBorder="1" applyAlignment="1">
      <alignment horizontal="left"/>
    </xf>
    <xf numFmtId="0" fontId="6" fillId="5" borderId="22" xfId="2" applyFont="1" applyFill="1" applyBorder="1" applyAlignment="1">
      <alignment horizontal="left"/>
    </xf>
    <xf numFmtId="2" fontId="6" fillId="0" borderId="66" xfId="2" applyNumberFormat="1" applyFont="1" applyBorder="1" applyAlignment="1">
      <alignment horizontal="center"/>
    </xf>
    <xf numFmtId="0" fontId="6" fillId="5" borderId="68" xfId="2" applyFont="1" applyFill="1" applyBorder="1" applyAlignment="1">
      <alignment horizontal="left"/>
    </xf>
    <xf numFmtId="0" fontId="6" fillId="5" borderId="8" xfId="2" applyFont="1" applyFill="1" applyBorder="1" applyAlignment="1">
      <alignment horizontal="left"/>
    </xf>
    <xf numFmtId="0" fontId="6" fillId="5" borderId="18" xfId="2" applyFont="1" applyFill="1" applyBorder="1" applyAlignment="1">
      <alignment horizontal="left"/>
    </xf>
    <xf numFmtId="0" fontId="6" fillId="5" borderId="5" xfId="2" applyFont="1" applyFill="1" applyBorder="1" applyAlignment="1">
      <alignment horizontal="left"/>
    </xf>
    <xf numFmtId="0" fontId="2" fillId="0" borderId="46" xfId="2" applyFont="1" applyBorder="1" applyAlignment="1">
      <alignment horizontal="center"/>
    </xf>
    <xf numFmtId="0" fontId="6" fillId="5" borderId="14" xfId="2" applyFont="1" applyFill="1" applyBorder="1" applyAlignment="1">
      <alignment horizontal="left"/>
    </xf>
    <xf numFmtId="0" fontId="6" fillId="22" borderId="1" xfId="2" applyFont="1" applyFill="1" applyBorder="1" applyAlignment="1">
      <alignment horizontal="left"/>
    </xf>
    <xf numFmtId="0" fontId="6" fillId="13" borderId="1" xfId="2" applyFont="1" applyFill="1" applyBorder="1" applyAlignment="1">
      <alignment horizontal="left"/>
    </xf>
    <xf numFmtId="0" fontId="6" fillId="5" borderId="19" xfId="2" applyFont="1" applyFill="1" applyBorder="1" applyAlignment="1">
      <alignment horizontal="left"/>
    </xf>
    <xf numFmtId="0" fontId="6" fillId="5" borderId="24" xfId="2" applyFont="1" applyFill="1" applyBorder="1" applyAlignment="1">
      <alignment horizontal="left"/>
    </xf>
    <xf numFmtId="0" fontId="6" fillId="25" borderId="1" xfId="2" applyFont="1" applyFill="1" applyBorder="1" applyAlignment="1">
      <alignment horizontal="left"/>
    </xf>
    <xf numFmtId="0" fontId="6" fillId="25" borderId="8" xfId="2" applyFont="1" applyFill="1" applyBorder="1" applyAlignment="1">
      <alignment horizontal="left"/>
    </xf>
    <xf numFmtId="0" fontId="6" fillId="13" borderId="24" xfId="2" applyFont="1" applyFill="1" applyBorder="1" applyAlignment="1">
      <alignment horizontal="left"/>
    </xf>
    <xf numFmtId="0" fontId="6" fillId="13" borderId="9" xfId="2" applyFont="1" applyFill="1" applyBorder="1" applyAlignment="1">
      <alignment horizontal="left"/>
    </xf>
    <xf numFmtId="0" fontId="6" fillId="5" borderId="34" xfId="2" applyFont="1" applyFill="1" applyBorder="1" applyAlignment="1">
      <alignment horizontal="left"/>
    </xf>
    <xf numFmtId="0" fontId="2" fillId="0" borderId="2" xfId="2" applyFont="1" applyAlignment="1">
      <alignment horizontal="center"/>
    </xf>
    <xf numFmtId="0" fontId="2" fillId="0" borderId="27" xfId="2" applyFont="1" applyBorder="1" applyAlignment="1">
      <alignment horizontal="center"/>
    </xf>
    <xf numFmtId="0" fontId="6" fillId="5" borderId="40" xfId="2" applyFont="1" applyFill="1" applyBorder="1" applyAlignment="1">
      <alignment horizontal="left"/>
    </xf>
    <xf numFmtId="0" fontId="6" fillId="5" borderId="46" xfId="2" applyFont="1" applyFill="1" applyBorder="1" applyAlignment="1">
      <alignment horizontal="left"/>
    </xf>
    <xf numFmtId="0" fontId="6" fillId="5" borderId="47" xfId="2" applyFont="1" applyFill="1" applyBorder="1" applyAlignment="1">
      <alignment horizontal="left"/>
    </xf>
    <xf numFmtId="0" fontId="10" fillId="5" borderId="47" xfId="2" applyFont="1" applyFill="1" applyBorder="1" applyAlignment="1">
      <alignment horizontal="left"/>
    </xf>
    <xf numFmtId="0" fontId="10" fillId="5" borderId="30" xfId="2" applyFont="1" applyFill="1" applyBorder="1" applyAlignment="1">
      <alignment horizontal="left"/>
    </xf>
    <xf numFmtId="0" fontId="6" fillId="5" borderId="39" xfId="2" applyFont="1" applyFill="1" applyBorder="1" applyAlignment="1">
      <alignment horizontal="left"/>
    </xf>
    <xf numFmtId="2" fontId="2" fillId="0" borderId="27" xfId="2" applyNumberFormat="1" applyFont="1" applyBorder="1" applyAlignment="1">
      <alignment horizontal="center"/>
    </xf>
    <xf numFmtId="0" fontId="6" fillId="5" borderId="18" xfId="2" applyFont="1" applyFill="1" applyBorder="1"/>
    <xf numFmtId="0" fontId="6" fillId="5" borderId="27" xfId="2" applyFont="1" applyFill="1" applyBorder="1"/>
    <xf numFmtId="0" fontId="10" fillId="5" borderId="28" xfId="2" applyFont="1" applyFill="1" applyBorder="1" applyAlignment="1">
      <alignment horizontal="left"/>
    </xf>
    <xf numFmtId="49" fontId="12" fillId="0" borderId="0" xfId="0" applyNumberFormat="1" applyFont="1"/>
    <xf numFmtId="2" fontId="12" fillId="0" borderId="0" xfId="0" applyNumberFormat="1" applyFont="1"/>
    <xf numFmtId="11" fontId="12" fillId="0" borderId="0" xfId="0" applyNumberFormat="1" applyFont="1"/>
    <xf numFmtId="0" fontId="2" fillId="0" borderId="2" xfId="2" applyFont="1"/>
    <xf numFmtId="0" fontId="6" fillId="0" borderId="56" xfId="2" applyFont="1" applyBorder="1" applyAlignment="1">
      <alignment horizontal="center"/>
    </xf>
    <xf numFmtId="0" fontId="4" fillId="0" borderId="2" xfId="2" applyFont="1" applyAlignment="1">
      <alignment horizontal="right"/>
    </xf>
    <xf numFmtId="2" fontId="4" fillId="0" borderId="29" xfId="2" applyNumberFormat="1" applyFont="1" applyBorder="1" applyAlignment="1">
      <alignment horizontal="center"/>
    </xf>
    <xf numFmtId="2" fontId="4" fillId="0" borderId="27" xfId="2" applyNumberFormat="1" applyFont="1" applyBorder="1" applyAlignment="1">
      <alignment horizontal="center"/>
    </xf>
    <xf numFmtId="2" fontId="5" fillId="0" borderId="27" xfId="2" applyNumberFormat="1" applyFont="1" applyBorder="1" applyAlignment="1">
      <alignment horizontal="center"/>
    </xf>
    <xf numFmtId="2" fontId="4" fillId="0" borderId="58" xfId="2" applyNumberFormat="1" applyFont="1" applyBorder="1" applyAlignment="1">
      <alignment horizontal="center"/>
    </xf>
    <xf numFmtId="2" fontId="4" fillId="0" borderId="28" xfId="2" applyNumberFormat="1" applyFont="1" applyBorder="1" applyAlignment="1">
      <alignment horizontal="center"/>
    </xf>
    <xf numFmtId="2" fontId="5" fillId="0" borderId="29" xfId="2" applyNumberFormat="1" applyFont="1" applyBorder="1" applyAlignment="1">
      <alignment horizontal="center"/>
    </xf>
    <xf numFmtId="0" fontId="6" fillId="0" borderId="61" xfId="2" applyFont="1" applyBorder="1" applyAlignment="1">
      <alignment horizontal="center"/>
    </xf>
    <xf numFmtId="0" fontId="6" fillId="0" borderId="62" xfId="2" applyFont="1" applyBorder="1" applyAlignment="1">
      <alignment horizontal="center"/>
    </xf>
    <xf numFmtId="2" fontId="4" fillId="0" borderId="60" xfId="2" applyNumberFormat="1" applyFont="1" applyBorder="1" applyAlignment="1">
      <alignment horizontal="center"/>
    </xf>
    <xf numFmtId="0" fontId="6" fillId="0" borderId="72" xfId="2" applyFont="1" applyBorder="1" applyAlignment="1">
      <alignment horizontal="center"/>
    </xf>
    <xf numFmtId="2" fontId="10" fillId="0" borderId="27" xfId="0" applyNumberFormat="1" applyFont="1" applyBorder="1" applyAlignment="1">
      <alignment horizontal="center"/>
    </xf>
    <xf numFmtId="2" fontId="10" fillId="0" borderId="28" xfId="0" applyNumberFormat="1" applyFont="1" applyBorder="1" applyAlignment="1">
      <alignment horizontal="center"/>
    </xf>
    <xf numFmtId="0" fontId="4" fillId="29" borderId="24" xfId="2" applyFont="1" applyFill="1" applyBorder="1" applyAlignment="1">
      <alignment horizontal="center" wrapText="1"/>
    </xf>
    <xf numFmtId="11" fontId="8" fillId="0" borderId="27" xfId="2" applyNumberFormat="1" applyFont="1" applyBorder="1" applyAlignment="1">
      <alignment horizontal="center"/>
    </xf>
    <xf numFmtId="164" fontId="8" fillId="3" borderId="1" xfId="2" applyNumberFormat="1" applyFont="1" applyFill="1" applyBorder="1" applyAlignment="1">
      <alignment horizontal="center"/>
    </xf>
    <xf numFmtId="11" fontId="8" fillId="0" borderId="29" xfId="2" applyNumberFormat="1" applyFont="1" applyBorder="1" applyAlignment="1">
      <alignment horizontal="center"/>
    </xf>
    <xf numFmtId="164" fontId="8" fillId="3" borderId="15" xfId="2" applyNumberFormat="1" applyFont="1" applyFill="1" applyBorder="1" applyAlignment="1">
      <alignment horizontal="center"/>
    </xf>
    <xf numFmtId="0" fontId="6" fillId="0" borderId="53" xfId="2" applyFont="1" applyBorder="1" applyAlignment="1">
      <alignment horizontal="center"/>
    </xf>
    <xf numFmtId="0" fontId="8" fillId="0" borderId="2" xfId="2" applyFont="1" applyAlignment="1">
      <alignment horizontal="center"/>
    </xf>
    <xf numFmtId="0" fontId="6" fillId="0" borderId="52" xfId="2" applyFont="1" applyBorder="1" applyAlignment="1">
      <alignment horizontal="center"/>
    </xf>
    <xf numFmtId="0" fontId="8" fillId="0" borderId="52" xfId="2" applyFont="1" applyBorder="1" applyAlignment="1">
      <alignment horizontal="center"/>
    </xf>
    <xf numFmtId="0" fontId="6" fillId="0" borderId="71" xfId="2" applyFont="1" applyBorder="1" applyAlignment="1">
      <alignment horizontal="center"/>
    </xf>
    <xf numFmtId="0" fontId="6" fillId="28" borderId="52" xfId="2" applyFont="1" applyFill="1" applyBorder="1" applyAlignment="1">
      <alignment horizontal="center"/>
    </xf>
    <xf numFmtId="0" fontId="6" fillId="28" borderId="54" xfId="2" applyFont="1" applyFill="1" applyBorder="1" applyAlignment="1">
      <alignment horizontal="center"/>
    </xf>
    <xf numFmtId="0" fontId="6" fillId="28" borderId="64" xfId="2" applyFont="1" applyFill="1" applyBorder="1" applyAlignment="1">
      <alignment horizontal="center"/>
    </xf>
    <xf numFmtId="0" fontId="6" fillId="21" borderId="54" xfId="2" applyFont="1" applyFill="1" applyBorder="1" applyAlignment="1">
      <alignment horizontal="center"/>
    </xf>
    <xf numFmtId="0" fontId="6" fillId="21" borderId="52" xfId="2" applyFont="1" applyFill="1" applyBorder="1" applyAlignment="1">
      <alignment horizontal="center"/>
    </xf>
    <xf numFmtId="0" fontId="6" fillId="0" borderId="51" xfId="2" applyFont="1" applyBorder="1" applyAlignment="1">
      <alignment horizontal="center"/>
    </xf>
    <xf numFmtId="11" fontId="6" fillId="0" borderId="51" xfId="2" applyNumberFormat="1" applyFont="1" applyBorder="1" applyAlignment="1">
      <alignment horizontal="center"/>
    </xf>
    <xf numFmtId="0" fontId="14" fillId="28" borderId="54" xfId="2" applyFont="1" applyFill="1" applyBorder="1" applyAlignment="1">
      <alignment horizontal="center"/>
    </xf>
    <xf numFmtId="0" fontId="6" fillId="28" borderId="53" xfId="2" applyFont="1" applyFill="1" applyBorder="1" applyAlignment="1">
      <alignment horizontal="center"/>
    </xf>
    <xf numFmtId="11" fontId="4" fillId="29" borderId="63" xfId="2" applyNumberFormat="1" applyFont="1" applyFill="1" applyBorder="1" applyAlignment="1">
      <alignment horizontal="center" wrapText="1"/>
    </xf>
    <xf numFmtId="11" fontId="4" fillId="0" borderId="27" xfId="2" applyNumberFormat="1" applyFont="1" applyBorder="1" applyAlignment="1">
      <alignment horizontal="center"/>
    </xf>
    <xf numFmtId="11" fontId="4" fillId="0" borderId="29" xfId="2" applyNumberFormat="1" applyFont="1" applyBorder="1" applyAlignment="1">
      <alignment horizontal="center"/>
    </xf>
    <xf numFmtId="0" fontId="12" fillId="0" borderId="31" xfId="0" applyFont="1" applyBorder="1"/>
    <xf numFmtId="0" fontId="17" fillId="0" borderId="31" xfId="0" applyFont="1" applyBorder="1"/>
    <xf numFmtId="0" fontId="16" fillId="0" borderId="31" xfId="0" applyFont="1" applyBorder="1"/>
    <xf numFmtId="0" fontId="12" fillId="0" borderId="2" xfId="0" applyFont="1" applyBorder="1"/>
    <xf numFmtId="11" fontId="12" fillId="0" borderId="2" xfId="0" applyNumberFormat="1" applyFont="1" applyBorder="1"/>
    <xf numFmtId="0" fontId="10" fillId="0" borderId="27" xfId="0" applyFont="1" applyBorder="1" applyAlignment="1">
      <alignment horizontal="center"/>
    </xf>
    <xf numFmtId="0" fontId="8" fillId="0" borderId="27" xfId="2" applyFont="1" applyBorder="1" applyAlignment="1">
      <alignment horizontal="center"/>
    </xf>
    <xf numFmtId="0" fontId="6" fillId="28" borderId="27" xfId="2" applyFont="1" applyFill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6" fillId="21" borderId="27" xfId="2" applyFont="1" applyFill="1" applyBorder="1" applyAlignment="1">
      <alignment horizontal="center"/>
    </xf>
    <xf numFmtId="0" fontId="14" fillId="28" borderId="27" xfId="2" applyFont="1" applyFill="1" applyBorder="1" applyAlignment="1">
      <alignment horizontal="center"/>
    </xf>
    <xf numFmtId="0" fontId="12" fillId="0" borderId="32" xfId="0" applyFont="1" applyBorder="1"/>
    <xf numFmtId="0" fontId="17" fillId="0" borderId="57" xfId="0" applyFont="1" applyBorder="1"/>
    <xf numFmtId="0" fontId="8" fillId="0" borderId="29" xfId="2" applyFont="1" applyBorder="1" applyAlignment="1">
      <alignment horizontal="center"/>
    </xf>
    <xf numFmtId="0" fontId="16" fillId="0" borderId="32" xfId="0" applyFont="1" applyBorder="1"/>
    <xf numFmtId="0" fontId="12" fillId="0" borderId="57" xfId="0" applyFont="1" applyBorder="1"/>
    <xf numFmtId="0" fontId="6" fillId="28" borderId="28" xfId="2" applyFont="1" applyFill="1" applyBorder="1" applyAlignment="1">
      <alignment horizontal="center"/>
    </xf>
    <xf numFmtId="0" fontId="17" fillId="0" borderId="32" xfId="0" applyFont="1" applyBorder="1"/>
    <xf numFmtId="0" fontId="6" fillId="28" borderId="29" xfId="2" applyFont="1" applyFill="1" applyBorder="1" applyAlignment="1">
      <alignment horizontal="center"/>
    </xf>
    <xf numFmtId="11" fontId="12" fillId="0" borderId="27" xfId="0" applyNumberFormat="1" applyFont="1" applyBorder="1" applyAlignment="1">
      <alignment horizontal="center"/>
    </xf>
    <xf numFmtId="11" fontId="4" fillId="2" borderId="28" xfId="2" applyNumberFormat="1" applyFont="1" applyFill="1" applyBorder="1" applyAlignment="1">
      <alignment horizontal="center" wrapText="1"/>
    </xf>
    <xf numFmtId="11" fontId="4" fillId="2" borderId="57" xfId="2" applyNumberFormat="1" applyFont="1" applyFill="1" applyBorder="1" applyAlignment="1">
      <alignment horizontal="center" wrapText="1"/>
    </xf>
    <xf numFmtId="164" fontId="5" fillId="2" borderId="28" xfId="0" applyNumberFormat="1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2" fontId="5" fillId="2" borderId="49" xfId="0" applyNumberFormat="1" applyFont="1" applyFill="1" applyBorder="1" applyAlignment="1">
      <alignment horizontal="center" wrapText="1"/>
    </xf>
    <xf numFmtId="11" fontId="5" fillId="30" borderId="63" xfId="0" applyNumberFormat="1" applyFont="1" applyFill="1" applyBorder="1" applyAlignment="1">
      <alignment horizontal="center" wrapText="1"/>
    </xf>
    <xf numFmtId="11" fontId="5" fillId="2" borderId="49" xfId="0" applyNumberFormat="1" applyFont="1" applyFill="1" applyBorder="1" applyAlignment="1">
      <alignment horizontal="center" wrapText="1"/>
    </xf>
    <xf numFmtId="11" fontId="5" fillId="2" borderId="28" xfId="0" applyNumberFormat="1" applyFont="1" applyFill="1" applyBorder="1" applyAlignment="1">
      <alignment horizontal="center" wrapText="1"/>
    </xf>
    <xf numFmtId="11" fontId="5" fillId="2" borderId="71" xfId="0" applyNumberFormat="1" applyFont="1" applyFill="1" applyBorder="1" applyAlignment="1">
      <alignment horizontal="center" wrapText="1"/>
    </xf>
    <xf numFmtId="11" fontId="5" fillId="2" borderId="57" xfId="0" applyNumberFormat="1" applyFont="1" applyFill="1" applyBorder="1" applyAlignment="1">
      <alignment horizontal="center" wrapText="1"/>
    </xf>
    <xf numFmtId="164" fontId="10" fillId="3" borderId="73" xfId="0" applyNumberFormat="1" applyFont="1" applyFill="1" applyBorder="1" applyAlignment="1">
      <alignment horizontal="center"/>
    </xf>
    <xf numFmtId="49" fontId="5" fillId="6" borderId="40" xfId="0" applyNumberFormat="1" applyFont="1" applyFill="1" applyBorder="1" applyAlignment="1">
      <alignment horizontal="center"/>
    </xf>
    <xf numFmtId="0" fontId="10" fillId="4" borderId="40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5" borderId="40" xfId="0" applyFont="1" applyFill="1" applyBorder="1" applyAlignment="1">
      <alignment horizontal="left"/>
    </xf>
    <xf numFmtId="0" fontId="10" fillId="0" borderId="71" xfId="0" applyFont="1" applyBorder="1" applyAlignment="1">
      <alignment horizontal="center"/>
    </xf>
    <xf numFmtId="0" fontId="10" fillId="7" borderId="37" xfId="0" applyFont="1" applyFill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2" fontId="10" fillId="0" borderId="71" xfId="0" applyNumberFormat="1" applyFont="1" applyBorder="1" applyAlignment="1">
      <alignment horizontal="center"/>
    </xf>
    <xf numFmtId="2" fontId="10" fillId="0" borderId="60" xfId="0" applyNumberFormat="1" applyFont="1" applyBorder="1" applyAlignment="1">
      <alignment horizontal="center"/>
    </xf>
    <xf numFmtId="11" fontId="10" fillId="0" borderId="74" xfId="0" applyNumberFormat="1" applyFont="1" applyBorder="1" applyAlignment="1">
      <alignment horizontal="center"/>
    </xf>
    <xf numFmtId="11" fontId="10" fillId="0" borderId="60" xfId="0" applyNumberFormat="1" applyFont="1" applyBorder="1" applyAlignment="1">
      <alignment horizontal="center"/>
    </xf>
    <xf numFmtId="0" fontId="17" fillId="0" borderId="74" xfId="0" applyFont="1" applyBorder="1"/>
    <xf numFmtId="164" fontId="10" fillId="3" borderId="15" xfId="0" applyNumberFormat="1" applyFont="1" applyFill="1" applyBorder="1" applyAlignment="1">
      <alignment horizontal="center"/>
    </xf>
    <xf numFmtId="49" fontId="5" fillId="6" borderId="54" xfId="0" applyNumberFormat="1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5" borderId="15" xfId="0" applyFont="1" applyFill="1" applyBorder="1" applyAlignment="1">
      <alignment horizontal="left"/>
    </xf>
    <xf numFmtId="0" fontId="10" fillId="9" borderId="15" xfId="0" applyFont="1" applyFill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2" fontId="10" fillId="0" borderId="51" xfId="0" applyNumberFormat="1" applyFont="1" applyBorder="1" applyAlignment="1">
      <alignment horizontal="center"/>
    </xf>
    <xf numFmtId="2" fontId="10" fillId="0" borderId="29" xfId="0" applyNumberFormat="1" applyFont="1" applyBorder="1" applyAlignment="1">
      <alignment horizontal="center"/>
    </xf>
    <xf numFmtId="11" fontId="10" fillId="0" borderId="32" xfId="0" applyNumberFormat="1" applyFont="1" applyBorder="1" applyAlignment="1">
      <alignment horizontal="center"/>
    </xf>
    <xf numFmtId="11" fontId="10" fillId="0" borderId="29" xfId="0" applyNumberFormat="1" applyFont="1" applyBorder="1" applyAlignment="1">
      <alignment horizontal="center"/>
    </xf>
    <xf numFmtId="0" fontId="10" fillId="24" borderId="15" xfId="0" applyFont="1" applyFill="1" applyBorder="1" applyAlignment="1">
      <alignment horizontal="center"/>
    </xf>
    <xf numFmtId="0" fontId="10" fillId="23" borderId="15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left"/>
    </xf>
    <xf numFmtId="0" fontId="10" fillId="9" borderId="17" xfId="0" applyFont="1" applyFill="1" applyBorder="1" applyAlignment="1">
      <alignment horizontal="center"/>
    </xf>
    <xf numFmtId="0" fontId="10" fillId="0" borderId="51" xfId="0" applyFont="1" applyBorder="1" applyAlignment="1">
      <alignment horizontal="center"/>
    </xf>
    <xf numFmtId="2" fontId="10" fillId="0" borderId="54" xfId="0" applyNumberFormat="1" applyFont="1" applyBorder="1" applyAlignment="1">
      <alignment horizontal="center"/>
    </xf>
    <xf numFmtId="11" fontId="14" fillId="31" borderId="29" xfId="0" applyNumberFormat="1" applyFont="1" applyFill="1" applyBorder="1" applyAlignment="1">
      <alignment horizontal="center"/>
    </xf>
    <xf numFmtId="0" fontId="10" fillId="31" borderId="51" xfId="0" applyFont="1" applyFill="1" applyBorder="1" applyAlignment="1">
      <alignment horizontal="center"/>
    </xf>
    <xf numFmtId="0" fontId="10" fillId="31" borderId="29" xfId="0" applyFont="1" applyFill="1" applyBorder="1" applyAlignment="1">
      <alignment horizontal="center"/>
    </xf>
    <xf numFmtId="0" fontId="10" fillId="10" borderId="17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left"/>
    </xf>
    <xf numFmtId="0" fontId="10" fillId="7" borderId="17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75" xfId="0" applyNumberFormat="1" applyFont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0" fillId="31" borderId="17" xfId="0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2" fontId="10" fillId="0" borderId="31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2" fontId="10" fillId="0" borderId="41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1" fontId="10" fillId="31" borderId="29" xfId="0" applyNumberFormat="1" applyFont="1" applyFill="1" applyBorder="1" applyAlignment="1">
      <alignment horizontal="center"/>
    </xf>
    <xf numFmtId="0" fontId="10" fillId="31" borderId="54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4" fontId="10" fillId="3" borderId="25" xfId="0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5" borderId="25" xfId="0" applyFont="1" applyFill="1" applyBorder="1" applyAlignment="1">
      <alignment horizontal="left"/>
    </xf>
    <xf numFmtId="0" fontId="10" fillId="7" borderId="25" xfId="0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164" fontId="10" fillId="3" borderId="20" xfId="0" applyNumberFormat="1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/>
    </xf>
    <xf numFmtId="0" fontId="10" fillId="31" borderId="23" xfId="0" applyFont="1" applyFill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5" borderId="23" xfId="0" applyFont="1" applyFill="1" applyBorder="1" applyAlignment="1">
      <alignment horizontal="left"/>
    </xf>
    <xf numFmtId="0" fontId="10" fillId="7" borderId="23" xfId="0" applyFont="1" applyFill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0" fontId="11" fillId="14" borderId="15" xfId="0" applyFont="1" applyFill="1" applyBorder="1" applyAlignment="1">
      <alignment horizontal="center"/>
    </xf>
    <xf numFmtId="49" fontId="5" fillId="6" borderId="71" xfId="0" applyNumberFormat="1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/>
    </xf>
    <xf numFmtId="0" fontId="10" fillId="31" borderId="20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2" fontId="10" fillId="0" borderId="53" xfId="0" applyNumberFormat="1" applyFont="1" applyBorder="1" applyAlignment="1">
      <alignment horizontal="center"/>
    </xf>
    <xf numFmtId="11" fontId="14" fillId="31" borderId="60" xfId="0" applyNumberFormat="1" applyFont="1" applyFill="1" applyBorder="1" applyAlignment="1">
      <alignment horizontal="center"/>
    </xf>
    <xf numFmtId="0" fontId="10" fillId="31" borderId="71" xfId="0" applyFont="1" applyFill="1" applyBorder="1" applyAlignment="1">
      <alignment horizontal="center"/>
    </xf>
    <xf numFmtId="0" fontId="10" fillId="31" borderId="60" xfId="0" applyFont="1" applyFill="1" applyBorder="1" applyAlignment="1">
      <alignment horizontal="center"/>
    </xf>
    <xf numFmtId="2" fontId="10" fillId="0" borderId="17" xfId="0" applyNumberFormat="1" applyFont="1" applyBorder="1" applyAlignment="1">
      <alignment horizontal="center"/>
    </xf>
    <xf numFmtId="11" fontId="14" fillId="0" borderId="29" xfId="0" applyNumberFormat="1" applyFont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2" fontId="10" fillId="0" borderId="40" xfId="0" applyNumberFormat="1" applyFont="1" applyBorder="1" applyAlignment="1">
      <alignment horizontal="center"/>
    </xf>
    <xf numFmtId="11" fontId="10" fillId="31" borderId="60" xfId="0" applyNumberFormat="1" applyFont="1" applyFill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0" fontId="10" fillId="20" borderId="4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2" fontId="10" fillId="0" borderId="11" xfId="0" applyNumberFormat="1" applyFont="1" applyBorder="1" applyAlignment="1">
      <alignment horizontal="center"/>
    </xf>
    <xf numFmtId="2" fontId="10" fillId="0" borderId="50" xfId="0" applyNumberFormat="1" applyFont="1" applyBorder="1" applyAlignment="1">
      <alignment horizontal="center"/>
    </xf>
    <xf numFmtId="2" fontId="10" fillId="0" borderId="32" xfId="0" applyNumberFormat="1" applyFont="1" applyBorder="1" applyAlignment="1">
      <alignment horizontal="center"/>
    </xf>
    <xf numFmtId="164" fontId="10" fillId="3" borderId="16" xfId="0" applyNumberFormat="1" applyFont="1" applyFill="1" applyBorder="1" applyAlignment="1">
      <alignment horizontal="center"/>
    </xf>
    <xf numFmtId="49" fontId="5" fillId="6" borderId="16" xfId="0" applyNumberFormat="1" applyFont="1" applyFill="1" applyBorder="1" applyAlignment="1">
      <alignment horizontal="center"/>
    </xf>
    <xf numFmtId="0" fontId="10" fillId="20" borderId="1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left"/>
    </xf>
    <xf numFmtId="0" fontId="10" fillId="7" borderId="7" xfId="0" applyFont="1" applyFill="1" applyBorder="1" applyAlignment="1">
      <alignment horizontal="center"/>
    </xf>
    <xf numFmtId="0" fontId="10" fillId="20" borderId="15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18" fillId="0" borderId="32" xfId="0" applyFont="1" applyBorder="1" applyAlignment="1">
      <alignment horizontal="center"/>
    </xf>
    <xf numFmtId="164" fontId="10" fillId="3" borderId="29" xfId="0" applyNumberFormat="1" applyFont="1" applyFill="1" applyBorder="1" applyAlignment="1">
      <alignment horizontal="center"/>
    </xf>
    <xf numFmtId="0" fontId="10" fillId="12" borderId="29" xfId="0" applyFont="1" applyFill="1" applyBorder="1" applyAlignment="1">
      <alignment horizontal="center"/>
    </xf>
    <xf numFmtId="164" fontId="10" fillId="3" borderId="60" xfId="0" applyNumberFormat="1" applyFont="1" applyFill="1" applyBorder="1" applyAlignment="1">
      <alignment horizontal="center"/>
    </xf>
    <xf numFmtId="49" fontId="5" fillId="6" borderId="74" xfId="0" applyNumberFormat="1" applyFont="1" applyFill="1" applyBorder="1" applyAlignment="1">
      <alignment horizontal="center"/>
    </xf>
    <xf numFmtId="0" fontId="10" fillId="12" borderId="74" xfId="0" applyFont="1" applyFill="1" applyBorder="1" applyAlignment="1">
      <alignment horizontal="center"/>
    </xf>
    <xf numFmtId="0" fontId="10" fillId="31" borderId="40" xfId="0" applyFont="1" applyFill="1" applyBorder="1" applyAlignment="1">
      <alignment horizontal="center"/>
    </xf>
    <xf numFmtId="0" fontId="10" fillId="7" borderId="40" xfId="0" applyFont="1" applyFill="1" applyBorder="1" applyAlignment="1">
      <alignment horizontal="center"/>
    </xf>
    <xf numFmtId="0" fontId="11" fillId="14" borderId="29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0" fillId="5" borderId="51" xfId="0" applyFont="1" applyFill="1" applyBorder="1" applyAlignment="1">
      <alignment horizontal="left"/>
    </xf>
    <xf numFmtId="0" fontId="10" fillId="9" borderId="32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7" borderId="32" xfId="0" applyFont="1" applyFill="1" applyBorder="1" applyAlignment="1">
      <alignment horizontal="center"/>
    </xf>
    <xf numFmtId="0" fontId="10" fillId="31" borderId="32" xfId="0" applyFont="1" applyFill="1" applyBorder="1" applyAlignment="1">
      <alignment horizontal="center"/>
    </xf>
    <xf numFmtId="0" fontId="11" fillId="14" borderId="74" xfId="0" applyFont="1" applyFill="1" applyBorder="1" applyAlignment="1">
      <alignment horizontal="center"/>
    </xf>
    <xf numFmtId="0" fontId="10" fillId="31" borderId="74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left"/>
    </xf>
    <xf numFmtId="0" fontId="10" fillId="7" borderId="74" xfId="0" applyFont="1" applyFill="1" applyBorder="1" applyAlignment="1">
      <alignment horizontal="center"/>
    </xf>
    <xf numFmtId="0" fontId="10" fillId="0" borderId="74" xfId="0" applyFont="1" applyBorder="1" applyAlignment="1">
      <alignment horizontal="center"/>
    </xf>
    <xf numFmtId="0" fontId="10" fillId="5" borderId="17" xfId="0" applyFont="1" applyFill="1" applyBorder="1"/>
    <xf numFmtId="0" fontId="10" fillId="5" borderId="74" xfId="0" applyFont="1" applyFill="1" applyBorder="1" applyAlignment="1">
      <alignment horizontal="left"/>
    </xf>
    <xf numFmtId="2" fontId="10" fillId="0" borderId="74" xfId="0" applyNumberFormat="1" applyFont="1" applyBorder="1" applyAlignment="1">
      <alignment horizontal="center"/>
    </xf>
    <xf numFmtId="0" fontId="4" fillId="2" borderId="43" xfId="2" applyFont="1" applyFill="1" applyBorder="1" applyAlignment="1">
      <alignment horizontal="center" wrapText="1"/>
    </xf>
    <xf numFmtId="49" fontId="4" fillId="2" borderId="49" xfId="2" applyNumberFormat="1" applyFont="1" applyFill="1" applyBorder="1" applyAlignment="1">
      <alignment horizontal="center"/>
    </xf>
    <xf numFmtId="0" fontId="4" fillId="2" borderId="63" xfId="2" applyFont="1" applyFill="1" applyBorder="1" applyAlignment="1">
      <alignment horizontal="center" wrapText="1"/>
    </xf>
    <xf numFmtId="0" fontId="4" fillId="29" borderId="63" xfId="2" applyFont="1" applyFill="1" applyBorder="1" applyAlignment="1">
      <alignment horizontal="center" wrapText="1"/>
    </xf>
    <xf numFmtId="11" fontId="4" fillId="2" borderId="76" xfId="2" applyNumberFormat="1" applyFont="1" applyFill="1" applyBorder="1" applyAlignment="1">
      <alignment horizontal="center" wrapText="1"/>
    </xf>
    <xf numFmtId="0" fontId="4" fillId="29" borderId="43" xfId="2" applyFont="1" applyFill="1" applyBorder="1" applyAlignment="1">
      <alignment horizontal="center" wrapText="1"/>
    </xf>
    <xf numFmtId="49" fontId="5" fillId="2" borderId="49" xfId="0" applyNumberFormat="1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 wrapText="1"/>
    </xf>
    <xf numFmtId="0" fontId="5" fillId="2" borderId="77" xfId="0" applyFont="1" applyFill="1" applyBorder="1" applyAlignment="1">
      <alignment horizontal="center" wrapText="1"/>
    </xf>
    <xf numFmtId="0" fontId="5" fillId="2" borderId="43" xfId="0" applyFont="1" applyFill="1" applyBorder="1" applyAlignment="1">
      <alignment horizontal="center" wrapText="1"/>
    </xf>
    <xf numFmtId="0" fontId="5" fillId="2" borderId="63" xfId="0" applyFont="1" applyFill="1" applyBorder="1" applyAlignment="1">
      <alignment horizontal="center" wrapText="1"/>
    </xf>
    <xf numFmtId="0" fontId="5" fillId="30" borderId="77" xfId="0" applyFont="1" applyFill="1" applyBorder="1" applyAlignment="1">
      <alignment horizontal="center" wrapText="1"/>
    </xf>
    <xf numFmtId="164" fontId="4" fillId="2" borderId="80" xfId="4" applyNumberFormat="1" applyFont="1" applyFill="1" applyBorder="1" applyAlignment="1">
      <alignment horizontal="center" wrapText="1"/>
    </xf>
    <xf numFmtId="49" fontId="4" fillId="2" borderId="81" xfId="4" applyNumberFormat="1" applyFont="1" applyFill="1" applyBorder="1" applyAlignment="1">
      <alignment horizontal="center"/>
    </xf>
    <xf numFmtId="0" fontId="4" fillId="2" borderId="82" xfId="4" applyFont="1" applyFill="1" applyBorder="1" applyAlignment="1">
      <alignment horizontal="center" wrapText="1"/>
    </xf>
    <xf numFmtId="0" fontId="4" fillId="2" borderId="83" xfId="4" applyFont="1" applyFill="1" applyBorder="1" applyAlignment="1">
      <alignment horizontal="center" wrapText="1"/>
    </xf>
    <xf numFmtId="11" fontId="4" fillId="2" borderId="83" xfId="4" applyNumberFormat="1" applyFont="1" applyFill="1" applyBorder="1" applyAlignment="1">
      <alignment horizontal="center" wrapText="1"/>
    </xf>
    <xf numFmtId="11" fontId="4" fillId="2" borderId="84" xfId="4" applyNumberFormat="1" applyFont="1" applyFill="1" applyBorder="1" applyAlignment="1">
      <alignment horizontal="center" wrapText="1"/>
    </xf>
    <xf numFmtId="2" fontId="4" fillId="2" borderId="85" xfId="4" applyNumberFormat="1" applyFont="1" applyFill="1" applyBorder="1" applyAlignment="1">
      <alignment horizontal="center" wrapText="1"/>
    </xf>
    <xf numFmtId="11" fontId="4" fillId="2" borderId="78" xfId="4" applyNumberFormat="1" applyFont="1" applyFill="1" applyBorder="1" applyAlignment="1">
      <alignment horizontal="center" wrapText="1"/>
    </xf>
    <xf numFmtId="2" fontId="4" fillId="2" borderId="78" xfId="4" applyNumberFormat="1" applyFont="1" applyFill="1" applyBorder="1" applyAlignment="1">
      <alignment horizontal="center" wrapText="1"/>
    </xf>
    <xf numFmtId="11" fontId="4" fillId="2" borderId="86" xfId="4" applyNumberFormat="1" applyFont="1" applyFill="1" applyBorder="1" applyAlignment="1">
      <alignment horizontal="center" wrapText="1"/>
    </xf>
    <xf numFmtId="0" fontId="12" fillId="0" borderId="2" xfId="1"/>
    <xf numFmtId="0" fontId="6" fillId="0" borderId="54" xfId="4" applyFont="1" applyBorder="1" applyAlignment="1">
      <alignment horizontal="center"/>
    </xf>
    <xf numFmtId="2" fontId="19" fillId="0" borderId="27" xfId="1" applyNumberFormat="1" applyFont="1" applyBorder="1" applyAlignment="1">
      <alignment horizontal="center"/>
    </xf>
    <xf numFmtId="0" fontId="12" fillId="0" borderId="87" xfId="1" applyBorder="1" applyAlignment="1">
      <alignment horizontal="center"/>
    </xf>
    <xf numFmtId="164" fontId="6" fillId="3" borderId="88" xfId="4" applyNumberFormat="1" applyFont="1" applyFill="1" applyBorder="1" applyAlignment="1">
      <alignment horizontal="center"/>
    </xf>
    <xf numFmtId="49" fontId="4" fillId="6" borderId="6" xfId="4" applyNumberFormat="1" applyFont="1" applyFill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6" fillId="0" borderId="6" xfId="4" applyFont="1" applyBorder="1" applyAlignment="1">
      <alignment horizontal="center"/>
    </xf>
    <xf numFmtId="0" fontId="6" fillId="5" borderId="1" xfId="4" applyFont="1" applyFill="1" applyBorder="1" applyAlignment="1">
      <alignment horizontal="left"/>
    </xf>
    <xf numFmtId="0" fontId="6" fillId="0" borderId="27" xfId="4" applyFont="1" applyBorder="1" applyAlignment="1">
      <alignment horizontal="center"/>
    </xf>
    <xf numFmtId="0" fontId="6" fillId="0" borderId="7" xfId="4" applyFont="1" applyBorder="1" applyAlignment="1">
      <alignment horizontal="center"/>
    </xf>
    <xf numFmtId="11" fontId="4" fillId="32" borderId="27" xfId="4" applyNumberFormat="1" applyFont="1" applyFill="1" applyBorder="1" applyAlignment="1">
      <alignment horizontal="center"/>
    </xf>
    <xf numFmtId="11" fontId="6" fillId="32" borderId="27" xfId="4" applyNumberFormat="1" applyFont="1" applyFill="1" applyBorder="1" applyAlignment="1">
      <alignment horizontal="center"/>
    </xf>
    <xf numFmtId="2" fontId="6" fillId="0" borderId="27" xfId="4" applyNumberFormat="1" applyFont="1" applyBorder="1" applyAlignment="1">
      <alignment horizontal="center"/>
    </xf>
    <xf numFmtId="2" fontId="6" fillId="0" borderId="47" xfId="4" applyNumberFormat="1" applyFont="1" applyBorder="1" applyAlignment="1">
      <alignment horizontal="center"/>
    </xf>
    <xf numFmtId="11" fontId="6" fillId="0" borderId="27" xfId="4" applyNumberFormat="1" applyFont="1" applyBorder="1" applyAlignment="1">
      <alignment horizontal="center"/>
    </xf>
    <xf numFmtId="0" fontId="12" fillId="0" borderId="89" xfId="1" applyBorder="1" applyAlignment="1">
      <alignment horizontal="center"/>
    </xf>
    <xf numFmtId="0" fontId="6" fillId="9" borderId="1" xfId="4" applyFont="1" applyFill="1" applyBorder="1" applyAlignment="1">
      <alignment horizontal="center"/>
    </xf>
    <xf numFmtId="0" fontId="6" fillId="0" borderId="38" xfId="4" applyFont="1" applyBorder="1" applyAlignment="1">
      <alignment horizontal="center"/>
    </xf>
    <xf numFmtId="11" fontId="4" fillId="0" borderId="27" xfId="4" applyNumberFormat="1" applyFont="1" applyBorder="1" applyAlignment="1">
      <alignment horizontal="center"/>
    </xf>
    <xf numFmtId="2" fontId="12" fillId="0" borderId="27" xfId="1" applyNumberFormat="1" applyBorder="1" applyAlignment="1">
      <alignment horizontal="center"/>
    </xf>
    <xf numFmtId="0" fontId="6" fillId="10" borderId="1" xfId="4" applyFont="1" applyFill="1" applyBorder="1" applyAlignment="1">
      <alignment horizontal="center"/>
    </xf>
    <xf numFmtId="164" fontId="6" fillId="3" borderId="90" xfId="4" applyNumberFormat="1" applyFont="1" applyFill="1" applyBorder="1" applyAlignment="1">
      <alignment horizontal="center"/>
    </xf>
    <xf numFmtId="49" fontId="4" fillId="6" borderId="39" xfId="4" applyNumberFormat="1" applyFont="1" applyFill="1" applyBorder="1" applyAlignment="1">
      <alignment horizontal="center"/>
    </xf>
    <xf numFmtId="0" fontId="7" fillId="0" borderId="18" xfId="4" applyFont="1" applyBorder="1" applyAlignment="1">
      <alignment horizontal="center"/>
    </xf>
    <xf numFmtId="0" fontId="6" fillId="0" borderId="13" xfId="4" applyFont="1" applyBorder="1" applyAlignment="1">
      <alignment horizontal="center"/>
    </xf>
    <xf numFmtId="0" fontId="6" fillId="5" borderId="18" xfId="4" applyFont="1" applyFill="1" applyBorder="1" applyAlignment="1">
      <alignment horizontal="left"/>
    </xf>
    <xf numFmtId="0" fontId="6" fillId="10" borderId="18" xfId="4" applyFont="1" applyFill="1" applyBorder="1" applyAlignment="1">
      <alignment horizontal="center"/>
    </xf>
    <xf numFmtId="0" fontId="6" fillId="0" borderId="58" xfId="4" applyFont="1" applyBorder="1" applyAlignment="1">
      <alignment horizontal="center"/>
    </xf>
    <xf numFmtId="0" fontId="6" fillId="0" borderId="22" xfId="4" applyFont="1" applyBorder="1" applyAlignment="1">
      <alignment horizontal="center"/>
    </xf>
    <xf numFmtId="0" fontId="6" fillId="0" borderId="41" xfId="4" applyFont="1" applyBorder="1" applyAlignment="1">
      <alignment horizontal="center"/>
    </xf>
    <xf numFmtId="11" fontId="4" fillId="0" borderId="58" xfId="4" applyNumberFormat="1" applyFont="1" applyBorder="1" applyAlignment="1">
      <alignment horizontal="center"/>
    </xf>
    <xf numFmtId="11" fontId="6" fillId="0" borderId="58" xfId="4" applyNumberFormat="1" applyFont="1" applyBorder="1" applyAlignment="1">
      <alignment horizontal="center"/>
    </xf>
    <xf numFmtId="2" fontId="6" fillId="0" borderId="58" xfId="4" applyNumberFormat="1" applyFont="1" applyBorder="1" applyAlignment="1">
      <alignment horizontal="center"/>
    </xf>
    <xf numFmtId="2" fontId="6" fillId="0" borderId="59" xfId="4" applyNumberFormat="1" applyFont="1" applyBorder="1" applyAlignment="1">
      <alignment horizontal="center"/>
    </xf>
    <xf numFmtId="0" fontId="6" fillId="0" borderId="2" xfId="4" applyFont="1" applyAlignment="1">
      <alignment horizontal="center"/>
    </xf>
    <xf numFmtId="164" fontId="6" fillId="3" borderId="91" xfId="4" applyNumberFormat="1" applyFont="1" applyFill="1" applyBorder="1" applyAlignment="1">
      <alignment horizontal="center"/>
    </xf>
    <xf numFmtId="49" fontId="4" fillId="6" borderId="27" xfId="4" applyNumberFormat="1" applyFont="1" applyFill="1" applyBorder="1" applyAlignment="1">
      <alignment horizontal="center"/>
    </xf>
    <xf numFmtId="0" fontId="7" fillId="0" borderId="27" xfId="4" applyFont="1" applyBorder="1" applyAlignment="1">
      <alignment horizontal="center"/>
    </xf>
    <xf numFmtId="0" fontId="6" fillId="5" borderId="27" xfId="4" applyFont="1" applyFill="1" applyBorder="1" applyAlignment="1">
      <alignment horizontal="left"/>
    </xf>
    <xf numFmtId="0" fontId="6" fillId="7" borderId="27" xfId="4" applyFont="1" applyFill="1" applyBorder="1" applyAlignment="1">
      <alignment horizontal="center"/>
    </xf>
    <xf numFmtId="0" fontId="6" fillId="0" borderId="47" xfId="4" applyFont="1" applyBorder="1" applyAlignment="1">
      <alignment horizontal="center"/>
    </xf>
    <xf numFmtId="164" fontId="6" fillId="3" borderId="92" xfId="4" applyNumberFormat="1" applyFont="1" applyFill="1" applyBorder="1" applyAlignment="1">
      <alignment horizontal="center"/>
    </xf>
    <xf numFmtId="49" fontId="4" fillId="6" borderId="28" xfId="4" applyNumberFormat="1" applyFont="1" applyFill="1" applyBorder="1" applyAlignment="1">
      <alignment horizontal="center"/>
    </xf>
    <xf numFmtId="0" fontId="7" fillId="0" borderId="28" xfId="4" applyFont="1" applyBorder="1" applyAlignment="1">
      <alignment horizontal="center"/>
    </xf>
    <xf numFmtId="0" fontId="6" fillId="0" borderId="28" xfId="4" applyFont="1" applyBorder="1" applyAlignment="1">
      <alignment horizontal="center"/>
    </xf>
    <xf numFmtId="0" fontId="6" fillId="5" borderId="28" xfId="4" applyFont="1" applyFill="1" applyBorder="1" applyAlignment="1">
      <alignment horizontal="left"/>
    </xf>
    <xf numFmtId="0" fontId="6" fillId="7" borderId="28" xfId="4" applyFont="1" applyFill="1" applyBorder="1" applyAlignment="1">
      <alignment horizontal="center"/>
    </xf>
    <xf numFmtId="0" fontId="6" fillId="32" borderId="28" xfId="4" applyFont="1" applyFill="1" applyBorder="1" applyAlignment="1">
      <alignment horizontal="center"/>
    </xf>
    <xf numFmtId="11" fontId="4" fillId="32" borderId="28" xfId="4" applyNumberFormat="1" applyFont="1" applyFill="1" applyBorder="1" applyAlignment="1">
      <alignment horizontal="center"/>
    </xf>
    <xf numFmtId="11" fontId="6" fillId="32" borderId="28" xfId="4" applyNumberFormat="1" applyFont="1" applyFill="1" applyBorder="1" applyAlignment="1">
      <alignment horizontal="center"/>
    </xf>
    <xf numFmtId="2" fontId="6" fillId="0" borderId="28" xfId="4" applyNumberFormat="1" applyFont="1" applyBorder="1" applyAlignment="1">
      <alignment horizontal="center"/>
    </xf>
    <xf numFmtId="11" fontId="6" fillId="0" borderId="28" xfId="4" applyNumberFormat="1" applyFont="1" applyBorder="1" applyAlignment="1">
      <alignment horizontal="center"/>
    </xf>
    <xf numFmtId="0" fontId="6" fillId="0" borderId="30" xfId="4" applyFont="1" applyBorder="1" applyAlignment="1">
      <alignment horizontal="center"/>
    </xf>
    <xf numFmtId="2" fontId="19" fillId="0" borderId="28" xfId="1" applyNumberFormat="1" applyFont="1" applyBorder="1" applyAlignment="1">
      <alignment horizontal="center"/>
    </xf>
    <xf numFmtId="164" fontId="6" fillId="3" borderId="93" xfId="4" applyNumberFormat="1" applyFont="1" applyFill="1" applyBorder="1" applyAlignment="1">
      <alignment horizontal="center"/>
    </xf>
    <xf numFmtId="49" fontId="4" fillId="6" borderId="79" xfId="4" applyNumberFormat="1" applyFont="1" applyFill="1" applyBorder="1" applyAlignment="1">
      <alignment horizontal="center"/>
    </xf>
    <xf numFmtId="0" fontId="7" fillId="0" borderId="79" xfId="4" applyFont="1" applyBorder="1" applyAlignment="1">
      <alignment horizontal="center"/>
    </xf>
    <xf numFmtId="0" fontId="6" fillId="0" borderId="79" xfId="4" applyFont="1" applyBorder="1" applyAlignment="1">
      <alignment horizontal="center"/>
    </xf>
    <xf numFmtId="0" fontId="6" fillId="5" borderId="79" xfId="4" applyFont="1" applyFill="1" applyBorder="1" applyAlignment="1">
      <alignment horizontal="left"/>
    </xf>
    <xf numFmtId="0" fontId="6" fillId="9" borderId="79" xfId="4" applyFont="1" applyFill="1" applyBorder="1" applyAlignment="1">
      <alignment horizontal="center"/>
    </xf>
    <xf numFmtId="0" fontId="6" fillId="21" borderId="79" xfId="4" applyFont="1" applyFill="1" applyBorder="1" applyAlignment="1">
      <alignment horizontal="center"/>
    </xf>
    <xf numFmtId="11" fontId="4" fillId="0" borderId="79" xfId="4" applyNumberFormat="1" applyFont="1" applyBorder="1" applyAlignment="1">
      <alignment horizontal="center"/>
    </xf>
    <xf numFmtId="11" fontId="6" fillId="0" borderId="79" xfId="4" applyNumberFormat="1" applyFont="1" applyBorder="1" applyAlignment="1">
      <alignment horizontal="center"/>
    </xf>
    <xf numFmtId="2" fontId="6" fillId="0" borderId="79" xfId="4" applyNumberFormat="1" applyFont="1" applyBorder="1" applyAlignment="1">
      <alignment horizontal="center"/>
    </xf>
    <xf numFmtId="0" fontId="6" fillId="0" borderId="94" xfId="4" applyFont="1" applyBorder="1" applyAlignment="1">
      <alignment horizontal="center"/>
    </xf>
    <xf numFmtId="2" fontId="16" fillId="0" borderId="79" xfId="1" applyNumberFormat="1" applyFont="1" applyBorder="1" applyAlignment="1">
      <alignment horizontal="center"/>
    </xf>
    <xf numFmtId="0" fontId="16" fillId="0" borderId="95" xfId="1" applyFont="1" applyBorder="1" applyAlignment="1">
      <alignment horizontal="center"/>
    </xf>
    <xf numFmtId="0" fontId="6" fillId="9" borderId="27" xfId="4" applyFont="1" applyFill="1" applyBorder="1" applyAlignment="1">
      <alignment horizontal="center"/>
    </xf>
    <xf numFmtId="0" fontId="4" fillId="6" borderId="27" xfId="4" applyFont="1" applyFill="1" applyBorder="1" applyAlignment="1">
      <alignment horizontal="center"/>
    </xf>
    <xf numFmtId="0" fontId="6" fillId="32" borderId="27" xfId="4" applyFont="1" applyFill="1" applyBorder="1" applyAlignment="1">
      <alignment horizontal="center"/>
    </xf>
    <xf numFmtId="0" fontId="19" fillId="0" borderId="28" xfId="1" applyFont="1" applyBorder="1" applyAlignment="1">
      <alignment horizontal="center"/>
    </xf>
    <xf numFmtId="0" fontId="10" fillId="0" borderId="79" xfId="4" applyFont="1" applyBorder="1" applyAlignment="1">
      <alignment horizontal="center"/>
    </xf>
    <xf numFmtId="11" fontId="6" fillId="27" borderId="79" xfId="4" applyNumberFormat="1" applyFont="1" applyFill="1" applyBorder="1" applyAlignment="1">
      <alignment horizontal="center"/>
    </xf>
    <xf numFmtId="11" fontId="6" fillId="33" borderId="79" xfId="4" applyNumberFormat="1" applyFont="1" applyFill="1" applyBorder="1" applyAlignment="1">
      <alignment horizontal="center"/>
    </xf>
    <xf numFmtId="11" fontId="14" fillId="28" borderId="79" xfId="4" applyNumberFormat="1" applyFont="1" applyFill="1" applyBorder="1" applyAlignment="1">
      <alignment horizontal="center"/>
    </xf>
    <xf numFmtId="0" fontId="6" fillId="28" borderId="94" xfId="4" applyFont="1" applyFill="1" applyBorder="1" applyAlignment="1">
      <alignment horizontal="center"/>
    </xf>
    <xf numFmtId="0" fontId="12" fillId="21" borderId="95" xfId="1" applyFill="1" applyBorder="1" applyAlignment="1">
      <alignment horizontal="center"/>
    </xf>
    <xf numFmtId="0" fontId="10" fillId="0" borderId="27" xfId="4" applyFont="1" applyBorder="1" applyAlignment="1">
      <alignment horizontal="center"/>
    </xf>
    <xf numFmtId="0" fontId="12" fillId="21" borderId="89" xfId="1" applyFill="1" applyBorder="1" applyAlignment="1">
      <alignment horizontal="center"/>
    </xf>
    <xf numFmtId="0" fontId="6" fillId="10" borderId="27" xfId="4" applyFont="1" applyFill="1" applyBorder="1" applyAlignment="1">
      <alignment horizontal="center"/>
    </xf>
    <xf numFmtId="11" fontId="6" fillId="27" borderId="27" xfId="4" applyNumberFormat="1" applyFont="1" applyFill="1" applyBorder="1" applyAlignment="1">
      <alignment horizontal="center"/>
    </xf>
    <xf numFmtId="0" fontId="10" fillId="32" borderId="27" xfId="4" applyFont="1" applyFill="1" applyBorder="1" applyAlignment="1">
      <alignment horizontal="center"/>
    </xf>
    <xf numFmtId="0" fontId="8" fillId="0" borderId="27" xfId="4" applyFont="1" applyBorder="1" applyAlignment="1">
      <alignment horizontal="center"/>
    </xf>
    <xf numFmtId="0" fontId="8" fillId="0" borderId="28" xfId="4" applyFont="1" applyBorder="1" applyAlignment="1">
      <alignment horizontal="center"/>
    </xf>
    <xf numFmtId="0" fontId="10" fillId="0" borderId="28" xfId="4" applyFont="1" applyBorder="1" applyAlignment="1">
      <alignment horizontal="center"/>
    </xf>
    <xf numFmtId="0" fontId="10" fillId="32" borderId="28" xfId="4" applyFont="1" applyFill="1" applyBorder="1" applyAlignment="1">
      <alignment horizontal="center"/>
    </xf>
    <xf numFmtId="0" fontId="12" fillId="21" borderId="96" xfId="1" applyFill="1" applyBorder="1" applyAlignment="1">
      <alignment horizontal="center"/>
    </xf>
    <xf numFmtId="11" fontId="6" fillId="28" borderId="79" xfId="4" applyNumberFormat="1" applyFont="1" applyFill="1" applyBorder="1" applyAlignment="1">
      <alignment horizontal="center"/>
    </xf>
    <xf numFmtId="2" fontId="19" fillId="0" borderId="29" xfId="1" applyNumberFormat="1" applyFont="1" applyBorder="1" applyAlignment="1">
      <alignment horizontal="center"/>
    </xf>
    <xf numFmtId="164" fontId="10" fillId="3" borderId="91" xfId="4" applyNumberFormat="1" applyFont="1" applyFill="1" applyBorder="1" applyAlignment="1">
      <alignment horizontal="center"/>
    </xf>
    <xf numFmtId="11" fontId="6" fillId="7" borderId="27" xfId="4" applyNumberFormat="1" applyFont="1" applyFill="1" applyBorder="1" applyAlignment="1">
      <alignment horizontal="center"/>
    </xf>
    <xf numFmtId="11" fontId="6" fillId="33" borderId="27" xfId="4" applyNumberFormat="1" applyFont="1" applyFill="1" applyBorder="1" applyAlignment="1">
      <alignment horizontal="center"/>
    </xf>
    <xf numFmtId="11" fontId="6" fillId="28" borderId="27" xfId="4" applyNumberFormat="1" applyFont="1" applyFill="1" applyBorder="1" applyAlignment="1">
      <alignment horizontal="center"/>
    </xf>
    <xf numFmtId="0" fontId="6" fillId="28" borderId="47" xfId="4" applyFont="1" applyFill="1" applyBorder="1" applyAlignment="1">
      <alignment horizontal="center"/>
    </xf>
    <xf numFmtId="164" fontId="10" fillId="3" borderId="92" xfId="4" applyNumberFormat="1" applyFont="1" applyFill="1" applyBorder="1" applyAlignment="1">
      <alignment horizontal="center"/>
    </xf>
    <xf numFmtId="0" fontId="12" fillId="0" borderId="96" xfId="1" applyBorder="1" applyAlignment="1">
      <alignment horizontal="center"/>
    </xf>
    <xf numFmtId="49" fontId="12" fillId="0" borderId="2" xfId="1" applyNumberFormat="1"/>
    <xf numFmtId="0" fontId="4" fillId="0" borderId="2" xfId="4" applyFont="1" applyAlignment="1">
      <alignment horizontal="right"/>
    </xf>
    <xf numFmtId="11" fontId="12" fillId="0" borderId="2" xfId="1" applyNumberFormat="1"/>
    <xf numFmtId="2" fontId="12" fillId="0" borderId="2" xfId="1" applyNumberFormat="1"/>
    <xf numFmtId="11" fontId="6" fillId="0" borderId="2" xfId="4" applyNumberFormat="1" applyFont="1" applyAlignment="1">
      <alignment horizontal="center"/>
    </xf>
    <xf numFmtId="2" fontId="12" fillId="0" borderId="2" xfId="1" applyNumberFormat="1" applyAlignment="1">
      <alignment horizontal="center"/>
    </xf>
    <xf numFmtId="0" fontId="12" fillId="0" borderId="2" xfId="1" applyAlignment="1">
      <alignment horizontal="center"/>
    </xf>
    <xf numFmtId="0" fontId="12" fillId="0" borderId="58" xfId="1" applyBorder="1"/>
    <xf numFmtId="0" fontId="12" fillId="34" borderId="98" xfId="1" applyFill="1" applyBorder="1"/>
    <xf numFmtId="2" fontId="12" fillId="34" borderId="79" xfId="1" applyNumberFormat="1" applyFill="1" applyBorder="1" applyAlignment="1">
      <alignment horizontal="center"/>
    </xf>
    <xf numFmtId="2" fontId="12" fillId="34" borderId="95" xfId="1" applyNumberFormat="1" applyFill="1" applyBorder="1" applyAlignment="1">
      <alignment horizontal="center"/>
    </xf>
    <xf numFmtId="0" fontId="12" fillId="34" borderId="57" xfId="1" applyFill="1" applyBorder="1"/>
    <xf numFmtId="2" fontId="12" fillId="34" borderId="28" xfId="1" applyNumberFormat="1" applyFill="1" applyBorder="1" applyAlignment="1">
      <alignment horizontal="center"/>
    </xf>
    <xf numFmtId="2" fontId="12" fillId="34" borderId="96" xfId="1" applyNumberFormat="1" applyFill="1" applyBorder="1" applyAlignment="1">
      <alignment horizontal="center"/>
    </xf>
    <xf numFmtId="0" fontId="12" fillId="26" borderId="98" xfId="1" applyFill="1" applyBorder="1"/>
    <xf numFmtId="2" fontId="12" fillId="26" borderId="79" xfId="1" applyNumberFormat="1" applyFill="1" applyBorder="1" applyAlignment="1">
      <alignment horizontal="center"/>
    </xf>
    <xf numFmtId="2" fontId="12" fillId="26" borderId="95" xfId="1" applyNumberFormat="1" applyFill="1" applyBorder="1" applyAlignment="1">
      <alignment horizontal="center"/>
    </xf>
    <xf numFmtId="0" fontId="12" fillId="26" borderId="57" xfId="1" applyFill="1" applyBorder="1"/>
    <xf numFmtId="2" fontId="12" fillId="26" borderId="28" xfId="1" applyNumberFormat="1" applyFill="1" applyBorder="1" applyAlignment="1">
      <alignment horizontal="center"/>
    </xf>
    <xf numFmtId="2" fontId="12" fillId="26" borderId="96" xfId="1" applyNumberFormat="1" applyFill="1" applyBorder="1" applyAlignment="1">
      <alignment horizontal="center"/>
    </xf>
    <xf numFmtId="0" fontId="1" fillId="0" borderId="2" xfId="4"/>
    <xf numFmtId="164" fontId="4" fillId="2" borderId="58" xfId="4" applyNumberFormat="1" applyFont="1" applyFill="1" applyBorder="1" applyAlignment="1">
      <alignment horizontal="center" wrapText="1"/>
    </xf>
    <xf numFmtId="49" fontId="4" fillId="2" borderId="58" xfId="4" applyNumberFormat="1" applyFont="1" applyFill="1" applyBorder="1" applyAlignment="1">
      <alignment horizontal="center"/>
    </xf>
    <xf numFmtId="0" fontId="4" fillId="2" borderId="58" xfId="4" applyFont="1" applyFill="1" applyBorder="1" applyAlignment="1">
      <alignment horizontal="center" wrapText="1"/>
    </xf>
    <xf numFmtId="2" fontId="4" fillId="2" borderId="58" xfId="4" applyNumberFormat="1" applyFont="1" applyFill="1" applyBorder="1" applyAlignment="1">
      <alignment horizontal="center" wrapText="1"/>
    </xf>
    <xf numFmtId="11" fontId="4" fillId="2" borderId="58" xfId="4" applyNumberFormat="1" applyFont="1" applyFill="1" applyBorder="1" applyAlignment="1">
      <alignment horizontal="center" wrapText="1"/>
    </xf>
    <xf numFmtId="0" fontId="6" fillId="8" borderId="79" xfId="4" applyFont="1" applyFill="1" applyBorder="1" applyAlignment="1">
      <alignment horizontal="center"/>
    </xf>
    <xf numFmtId="0" fontId="6" fillId="0" borderId="100" xfId="4" applyFont="1" applyBorder="1" applyAlignment="1">
      <alignment horizontal="center"/>
    </xf>
    <xf numFmtId="2" fontId="1" fillId="0" borderId="101" xfId="4" applyNumberFormat="1" applyBorder="1" applyAlignment="1">
      <alignment horizontal="center"/>
    </xf>
    <xf numFmtId="0" fontId="6" fillId="8" borderId="27" xfId="4" applyFont="1" applyFill="1" applyBorder="1" applyAlignment="1">
      <alignment horizontal="center"/>
    </xf>
    <xf numFmtId="2" fontId="1" fillId="0" borderId="87" xfId="4" applyNumberFormat="1" applyBorder="1" applyAlignment="1">
      <alignment horizontal="center"/>
    </xf>
    <xf numFmtId="11" fontId="6" fillId="35" borderId="27" xfId="4" applyNumberFormat="1" applyFont="1" applyFill="1" applyBorder="1" applyAlignment="1">
      <alignment horizontal="center"/>
    </xf>
    <xf numFmtId="2" fontId="1" fillId="0" borderId="89" xfId="4" applyNumberFormat="1" applyBorder="1" applyAlignment="1">
      <alignment horizontal="center"/>
    </xf>
    <xf numFmtId="0" fontId="6" fillId="24" borderId="27" xfId="4" applyFont="1" applyFill="1" applyBorder="1" applyAlignment="1">
      <alignment horizontal="center"/>
    </xf>
    <xf numFmtId="0" fontId="6" fillId="36" borderId="27" xfId="4" applyFont="1" applyFill="1" applyBorder="1" applyAlignment="1">
      <alignment horizontal="center"/>
    </xf>
    <xf numFmtId="2" fontId="1" fillId="0" borderId="96" xfId="4" applyNumberFormat="1" applyBorder="1" applyAlignment="1">
      <alignment horizontal="center"/>
    </xf>
    <xf numFmtId="11" fontId="6" fillId="35" borderId="79" xfId="4" applyNumberFormat="1" applyFont="1" applyFill="1" applyBorder="1" applyAlignment="1">
      <alignment horizontal="center"/>
    </xf>
    <xf numFmtId="2" fontId="1" fillId="0" borderId="95" xfId="4" applyNumberFormat="1" applyBorder="1" applyAlignment="1">
      <alignment horizontal="center"/>
    </xf>
    <xf numFmtId="11" fontId="4" fillId="0" borderId="28" xfId="4" applyNumberFormat="1" applyFont="1" applyBorder="1" applyAlignment="1">
      <alignment horizontal="center"/>
    </xf>
    <xf numFmtId="0" fontId="6" fillId="18" borderId="79" xfId="4" applyFont="1" applyFill="1" applyBorder="1" applyAlignment="1">
      <alignment horizontal="center"/>
    </xf>
    <xf numFmtId="0" fontId="6" fillId="19" borderId="79" xfId="4" applyFont="1" applyFill="1" applyBorder="1" applyAlignment="1">
      <alignment horizontal="center"/>
    </xf>
    <xf numFmtId="0" fontId="6" fillId="18" borderId="27" xfId="4" applyFont="1" applyFill="1" applyBorder="1" applyAlignment="1">
      <alignment horizontal="center"/>
    </xf>
    <xf numFmtId="0" fontId="6" fillId="19" borderId="27" xfId="4" applyFont="1" applyFill="1" applyBorder="1" applyAlignment="1">
      <alignment horizontal="center"/>
    </xf>
    <xf numFmtId="0" fontId="6" fillId="16" borderId="27" xfId="4" applyFont="1" applyFill="1" applyBorder="1" applyAlignment="1">
      <alignment horizontal="center"/>
    </xf>
    <xf numFmtId="2" fontId="1" fillId="0" borderId="2" xfId="4" applyNumberFormat="1" applyAlignment="1">
      <alignment horizontal="center"/>
    </xf>
    <xf numFmtId="0" fontId="6" fillId="37" borderId="27" xfId="4" applyFont="1" applyFill="1" applyBorder="1" applyAlignment="1">
      <alignment horizontal="center"/>
    </xf>
    <xf numFmtId="164" fontId="6" fillId="3" borderId="102" xfId="4" applyNumberFormat="1" applyFont="1" applyFill="1" applyBorder="1" applyAlignment="1">
      <alignment horizontal="center"/>
    </xf>
    <xf numFmtId="49" fontId="4" fillId="6" borderId="58" xfId="4" applyNumberFormat="1" applyFont="1" applyFill="1" applyBorder="1" applyAlignment="1">
      <alignment horizontal="center"/>
    </xf>
    <xf numFmtId="0" fontId="6" fillId="8" borderId="58" xfId="4" applyFont="1" applyFill="1" applyBorder="1" applyAlignment="1">
      <alignment horizontal="center"/>
    </xf>
    <xf numFmtId="0" fontId="7" fillId="0" borderId="58" xfId="4" applyFont="1" applyBorder="1" applyAlignment="1">
      <alignment horizontal="center"/>
    </xf>
    <xf numFmtId="0" fontId="6" fillId="5" borderId="58" xfId="4" applyFont="1" applyFill="1" applyBorder="1" applyAlignment="1">
      <alignment horizontal="left"/>
    </xf>
    <xf numFmtId="0" fontId="6" fillId="7" borderId="58" xfId="4" applyFont="1" applyFill="1" applyBorder="1" applyAlignment="1">
      <alignment horizontal="center"/>
    </xf>
    <xf numFmtId="0" fontId="6" fillId="36" borderId="58" xfId="4" applyFont="1" applyFill="1" applyBorder="1" applyAlignment="1">
      <alignment horizontal="center"/>
    </xf>
    <xf numFmtId="2" fontId="1" fillId="0" borderId="103" xfId="4" applyNumberFormat="1" applyBorder="1" applyAlignment="1">
      <alignment horizontal="center"/>
    </xf>
    <xf numFmtId="0" fontId="6" fillId="18" borderId="28" xfId="4" applyFont="1" applyFill="1" applyBorder="1" applyAlignment="1">
      <alignment horizontal="center"/>
    </xf>
    <xf numFmtId="0" fontId="6" fillId="37" borderId="28" xfId="4" applyFont="1" applyFill="1" applyBorder="1" applyAlignment="1">
      <alignment horizontal="center"/>
    </xf>
    <xf numFmtId="0" fontId="10" fillId="37" borderId="27" xfId="4" applyFont="1" applyFill="1" applyBorder="1" applyAlignment="1">
      <alignment horizontal="center"/>
    </xf>
    <xf numFmtId="0" fontId="10" fillId="37" borderId="28" xfId="4" applyFont="1" applyFill="1" applyBorder="1" applyAlignment="1">
      <alignment horizontal="center"/>
    </xf>
    <xf numFmtId="0" fontId="8" fillId="5" borderId="6" xfId="2" applyFont="1" applyFill="1" applyBorder="1" applyAlignment="1">
      <alignment horizontal="left"/>
    </xf>
    <xf numFmtId="0" fontId="6" fillId="5" borderId="7" xfId="2" applyFont="1" applyFill="1" applyBorder="1"/>
    <xf numFmtId="0" fontId="8" fillId="5" borderId="7" xfId="2" applyFont="1" applyFill="1" applyBorder="1" applyAlignment="1">
      <alignment horizontal="left"/>
    </xf>
    <xf numFmtId="0" fontId="8" fillId="5" borderId="1" xfId="2" applyFont="1" applyFill="1" applyBorder="1" applyAlignment="1">
      <alignment horizontal="left"/>
    </xf>
    <xf numFmtId="0" fontId="17" fillId="0" borderId="7" xfId="0" applyFont="1" applyBorder="1"/>
    <xf numFmtId="0" fontId="0" fillId="0" borderId="7" xfId="0" applyBorder="1"/>
    <xf numFmtId="0" fontId="0" fillId="0" borderId="22" xfId="0" applyBorder="1"/>
    <xf numFmtId="0" fontId="0" fillId="0" borderId="27" xfId="0" applyBorder="1"/>
    <xf numFmtId="0" fontId="0" fillId="0" borderId="1" xfId="0" applyBorder="1"/>
    <xf numFmtId="0" fontId="17" fillId="0" borderId="1" xfId="0" applyFont="1" applyBorder="1"/>
    <xf numFmtId="0" fontId="6" fillId="5" borderId="2" xfId="2" applyFont="1" applyFill="1" applyAlignment="1">
      <alignment horizontal="left"/>
    </xf>
    <xf numFmtId="0" fontId="6" fillId="5" borderId="2" xfId="2" applyFont="1" applyFill="1"/>
    <xf numFmtId="0" fontId="8" fillId="5" borderId="2" xfId="2" applyFont="1" applyFill="1" applyAlignment="1">
      <alignment horizontal="left"/>
    </xf>
    <xf numFmtId="11" fontId="4" fillId="2" borderId="27" xfId="2" applyNumberFormat="1" applyFont="1" applyFill="1" applyBorder="1" applyAlignment="1">
      <alignment horizontal="center" wrapText="1"/>
    </xf>
    <xf numFmtId="165" fontId="0" fillId="0" borderId="0" xfId="0" applyNumberFormat="1"/>
    <xf numFmtId="0" fontId="4" fillId="38" borderId="24" xfId="2" applyFont="1" applyFill="1" applyBorder="1" applyAlignment="1">
      <alignment horizontal="center" wrapText="1"/>
    </xf>
    <xf numFmtId="11" fontId="4" fillId="38" borderId="27" xfId="2" applyNumberFormat="1" applyFont="1" applyFill="1" applyBorder="1" applyAlignment="1">
      <alignment horizontal="center" wrapText="1"/>
    </xf>
    <xf numFmtId="0" fontId="17" fillId="0" borderId="104" xfId="0" applyFont="1" applyBorder="1"/>
    <xf numFmtId="0" fontId="20" fillId="0" borderId="0" xfId="0" applyFont="1"/>
    <xf numFmtId="1" fontId="0" fillId="39" borderId="0" xfId="0" applyNumberFormat="1" applyFill="1"/>
    <xf numFmtId="0" fontId="0" fillId="39" borderId="0" xfId="0" applyFill="1"/>
    <xf numFmtId="0" fontId="4" fillId="40" borderId="24" xfId="2" applyFont="1" applyFill="1" applyBorder="1" applyAlignment="1">
      <alignment horizontal="center" wrapText="1"/>
    </xf>
    <xf numFmtId="0" fontId="20" fillId="34" borderId="0" xfId="0" applyFont="1" applyFill="1"/>
    <xf numFmtId="0" fontId="21" fillId="0" borderId="14" xfId="0" applyFont="1" applyBorder="1"/>
    <xf numFmtId="0" fontId="21" fillId="0" borderId="7" xfId="0" applyFont="1" applyBorder="1"/>
    <xf numFmtId="0" fontId="6" fillId="20" borderId="1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" fontId="20" fillId="0" borderId="0" xfId="0" applyNumberFormat="1" applyFont="1"/>
    <xf numFmtId="165" fontId="0" fillId="39" borderId="0" xfId="0" applyNumberFormat="1" applyFill="1"/>
    <xf numFmtId="0" fontId="4" fillId="41" borderId="24" xfId="2" applyFont="1" applyFill="1" applyBorder="1" applyAlignment="1">
      <alignment horizontal="center" wrapText="1"/>
    </xf>
    <xf numFmtId="0" fontId="20" fillId="42" borderId="0" xfId="0" applyFont="1" applyFill="1"/>
    <xf numFmtId="1" fontId="20" fillId="42" borderId="0" xfId="0" applyNumberFormat="1" applyFont="1" applyFill="1"/>
    <xf numFmtId="0" fontId="23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27" xfId="0" applyFont="1" applyBorder="1" applyAlignment="1">
      <alignment horizontal="center" wrapText="1"/>
    </xf>
    <xf numFmtId="1" fontId="23" fillId="43" borderId="27" xfId="0" applyNumberFormat="1" applyFont="1" applyFill="1" applyBorder="1" applyAlignment="1">
      <alignment horizontal="center" wrapText="1"/>
    </xf>
    <xf numFmtId="0" fontId="23" fillId="43" borderId="27" xfId="0" applyFont="1" applyFill="1" applyBorder="1" applyAlignment="1">
      <alignment horizontal="center" wrapText="1"/>
    </xf>
    <xf numFmtId="3" fontId="23" fillId="43" borderId="27" xfId="0" applyNumberFormat="1" applyFont="1" applyFill="1" applyBorder="1" applyAlignment="1">
      <alignment horizontal="center" wrapText="1"/>
    </xf>
    <xf numFmtId="4" fontId="23" fillId="43" borderId="27" xfId="0" applyNumberFormat="1" applyFont="1" applyFill="1" applyBorder="1" applyAlignment="1">
      <alignment horizontal="center" wrapText="1"/>
    </xf>
    <xf numFmtId="3" fontId="23" fillId="43" borderId="0" xfId="0" applyNumberFormat="1" applyFont="1" applyFill="1" applyAlignment="1">
      <alignment wrapText="1"/>
    </xf>
    <xf numFmtId="3" fontId="25" fillId="43" borderId="27" xfId="0" applyNumberFormat="1" applyFont="1" applyFill="1" applyBorder="1" applyAlignment="1">
      <alignment horizontal="center" wrapText="1"/>
    </xf>
    <xf numFmtId="3" fontId="25" fillId="0" borderId="27" xfId="0" applyNumberFormat="1" applyFont="1" applyBorder="1" applyAlignment="1">
      <alignment horizontal="center" wrapText="1"/>
    </xf>
    <xf numFmtId="1" fontId="23" fillId="44" borderId="27" xfId="0" applyNumberFormat="1" applyFont="1" applyFill="1" applyBorder="1" applyAlignment="1">
      <alignment horizontal="center" wrapText="1"/>
    </xf>
    <xf numFmtId="0" fontId="23" fillId="44" borderId="27" xfId="0" applyFont="1" applyFill="1" applyBorder="1" applyAlignment="1">
      <alignment horizontal="center" wrapText="1"/>
    </xf>
    <xf numFmtId="3" fontId="23" fillId="44" borderId="27" xfId="0" applyNumberFormat="1" applyFont="1" applyFill="1" applyBorder="1" applyAlignment="1">
      <alignment horizontal="center" wrapText="1"/>
    </xf>
    <xf numFmtId="4" fontId="23" fillId="44" borderId="27" xfId="0" applyNumberFormat="1" applyFont="1" applyFill="1" applyBorder="1" applyAlignment="1">
      <alignment horizontal="center" wrapText="1"/>
    </xf>
    <xf numFmtId="3" fontId="23" fillId="44" borderId="0" xfId="0" applyNumberFormat="1" applyFont="1" applyFill="1" applyAlignment="1">
      <alignment wrapText="1"/>
    </xf>
    <xf numFmtId="0" fontId="25" fillId="44" borderId="58" xfId="0" applyFont="1" applyFill="1" applyBorder="1" applyAlignment="1">
      <alignment horizontal="center" wrapText="1"/>
    </xf>
    <xf numFmtId="0" fontId="26" fillId="0" borderId="27" xfId="0" applyFont="1" applyBorder="1" applyAlignment="1">
      <alignment horizontal="center"/>
    </xf>
    <xf numFmtId="2" fontId="26" fillId="0" borderId="27" xfId="0" applyNumberFormat="1" applyFont="1" applyBorder="1" applyAlignment="1">
      <alignment horizontal="center"/>
    </xf>
    <xf numFmtId="0" fontId="27" fillId="0" borderId="27" xfId="0" applyFont="1" applyBorder="1"/>
    <xf numFmtId="0" fontId="28" fillId="0" borderId="27" xfId="0" applyFont="1" applyBorder="1"/>
    <xf numFmtId="0" fontId="29" fillId="0" borderId="27" xfId="0" applyFont="1" applyBorder="1" applyAlignment="1">
      <alignment horizontal="center"/>
    </xf>
    <xf numFmtId="1" fontId="28" fillId="0" borderId="27" xfId="0" applyNumberFormat="1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3" fontId="27" fillId="0" borderId="27" xfId="0" applyNumberFormat="1" applyFont="1" applyBorder="1"/>
    <xf numFmtId="0" fontId="23" fillId="0" borderId="27" xfId="0" applyFont="1" applyBorder="1" applyAlignment="1">
      <alignment horizontal="center"/>
    </xf>
    <xf numFmtId="2" fontId="28" fillId="0" borderId="27" xfId="0" applyNumberFormat="1" applyFont="1" applyBorder="1" applyAlignment="1">
      <alignment horizontal="center"/>
    </xf>
    <xf numFmtId="3" fontId="26" fillId="0" borderId="27" xfId="0" applyNumberFormat="1" applyFont="1" applyBorder="1" applyAlignment="1">
      <alignment horizontal="center"/>
    </xf>
    <xf numFmtId="0" fontId="28" fillId="0" borderId="0" xfId="0" applyFont="1"/>
    <xf numFmtId="3" fontId="25" fillId="39" borderId="27" xfId="0" applyNumberFormat="1" applyFont="1" applyFill="1" applyBorder="1" applyAlignment="1">
      <alignment horizontal="center" wrapText="1"/>
    </xf>
    <xf numFmtId="0" fontId="28" fillId="39" borderId="27" xfId="0" applyFont="1" applyFill="1" applyBorder="1"/>
    <xf numFmtId="0" fontId="25" fillId="39" borderId="58" xfId="0" applyFont="1" applyFill="1" applyBorder="1" applyAlignment="1">
      <alignment horizontal="center" wrapText="1"/>
    </xf>
    <xf numFmtId="0" fontId="30" fillId="0" borderId="27" xfId="0" applyFont="1" applyBorder="1" applyAlignment="1">
      <alignment horizontal="center"/>
    </xf>
    <xf numFmtId="1" fontId="28" fillId="39" borderId="27" xfId="0" applyNumberFormat="1" applyFont="1" applyFill="1" applyBorder="1"/>
    <xf numFmtId="0" fontId="31" fillId="0" borderId="27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34" borderId="97" xfId="1" applyFill="1" applyBorder="1" applyAlignment="1">
      <alignment horizontal="center" vertical="center"/>
    </xf>
    <xf numFmtId="0" fontId="12" fillId="34" borderId="99" xfId="1" applyFill="1" applyBorder="1" applyAlignment="1">
      <alignment horizontal="center" vertical="center"/>
    </xf>
    <xf numFmtId="0" fontId="12" fillId="26" borderId="97" xfId="1" applyFill="1" applyBorder="1" applyAlignment="1">
      <alignment horizontal="center" vertical="center"/>
    </xf>
    <xf numFmtId="0" fontId="12" fillId="26" borderId="99" xfId="1" applyFill="1" applyBorder="1" applyAlignment="1">
      <alignment horizontal="center" vertical="center"/>
    </xf>
  </cellXfs>
  <cellStyles count="5">
    <cellStyle name="Normal" xfId="0" builtinId="0"/>
    <cellStyle name="Normal 2" xfId="1" xr:uid="{403495BC-605C-DD4E-B21A-E72BCA97C9C6}"/>
    <cellStyle name="Normal 2 2" xfId="2" xr:uid="{FA3D5423-5A30-B240-A28A-D12E7BEF7D07}"/>
    <cellStyle name="Normal 2 2 2" xfId="4" xr:uid="{AED0D387-510A-D641-B29B-747B76CCAEBD}"/>
    <cellStyle name="Normal 3" xfId="3" xr:uid="{58DE22F2-C9EA-2340-892D-5C59F0DC941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B7B7"/>
      <color rgb="FFFF0200"/>
      <color rgb="FFD9D9D9"/>
      <color rgb="FFCADAF9"/>
      <color rgb="FFA6C9EB"/>
      <color rgb="FF62FFD1"/>
      <color rgb="FFFF6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53D2-1B24-8647-9A24-533591AE7F0A}">
  <sheetPr filterMode="1"/>
  <dimension ref="A1:AI854"/>
  <sheetViews>
    <sheetView zoomScale="91" workbookViewId="0">
      <pane xSplit="12" ySplit="1" topLeftCell="O42" activePane="bottomRight" state="frozen"/>
      <selection pane="topRight" activeCell="M1" sqref="M1"/>
      <selection pane="bottomLeft" activeCell="A2" sqref="A2"/>
      <selection pane="bottomRight" activeCell="A424" sqref="A424:AI425"/>
    </sheetView>
  </sheetViews>
  <sheetFormatPr defaultColWidth="10.796875" defaultRowHeight="15.6" x14ac:dyDescent="0.3"/>
  <cols>
    <col min="1" max="1" width="11.19921875" style="162" bestFit="1" customWidth="1"/>
    <col min="2" max="2" width="14.5" style="353" bestFit="1" customWidth="1"/>
    <col min="3" max="3" width="19.296875" style="162" bestFit="1" customWidth="1"/>
    <col min="4" max="4" width="13" style="162" bestFit="1" customWidth="1"/>
    <col min="5" max="5" width="23.5" style="162" bestFit="1" customWidth="1"/>
    <col min="6" max="6" width="24" style="162" bestFit="1" customWidth="1"/>
    <col min="7" max="7" width="14.19921875" style="162" bestFit="1" customWidth="1"/>
    <col min="8" max="8" width="18.69921875" style="162" customWidth="1"/>
    <col min="9" max="9" width="19" style="162" customWidth="1"/>
    <col min="10" max="10" width="16.19921875" style="162" customWidth="1"/>
    <col min="11" max="11" width="15.69921875" style="162" customWidth="1"/>
    <col min="12" max="12" width="32" style="162" bestFit="1" customWidth="1"/>
    <col min="13" max="13" width="12.796875" style="162" customWidth="1"/>
    <col min="14" max="14" width="23.796875" style="162" customWidth="1"/>
    <col min="15" max="15" width="16.296875" style="162" bestFit="1" customWidth="1"/>
    <col min="16" max="16" width="12" style="162" customWidth="1"/>
    <col min="17" max="17" width="10.19921875" style="162" customWidth="1"/>
    <col min="18" max="18" width="17.796875" style="162" customWidth="1"/>
    <col min="19" max="19" width="21.796875" style="354" customWidth="1"/>
    <col min="20" max="20" width="17.19921875" style="354" customWidth="1"/>
    <col min="21" max="21" width="16" style="162" customWidth="1"/>
    <col min="22" max="22" width="17.5" style="355" customWidth="1"/>
    <col min="23" max="23" width="19.69921875" style="355" customWidth="1"/>
    <col min="24" max="24" width="19" style="354" hidden="1" customWidth="1"/>
    <col min="25" max="25" width="15.796875" style="354" hidden="1" customWidth="1"/>
    <col min="26" max="27" width="15.296875" style="355" hidden="1" customWidth="1"/>
    <col min="28" max="31" width="15.296875" style="356" hidden="1" customWidth="1"/>
    <col min="32" max="32" width="15.296875" style="356" customWidth="1"/>
    <col min="33" max="33" width="15.296875" style="355" customWidth="1"/>
    <col min="34" max="34" width="12" style="397" bestFit="1" customWidth="1"/>
    <col min="35" max="35" width="46.796875" style="396" bestFit="1" customWidth="1"/>
    <col min="36" max="16384" width="10.796875" style="162"/>
  </cols>
  <sheetData>
    <row r="1" spans="1:35" ht="43.95" customHeight="1" thickBot="1" x14ac:dyDescent="0.35">
      <c r="A1" s="143" t="s">
        <v>3</v>
      </c>
      <c r="B1" s="187" t="s">
        <v>579</v>
      </c>
      <c r="C1" s="92" t="s">
        <v>578</v>
      </c>
      <c r="D1" s="92" t="s">
        <v>489</v>
      </c>
      <c r="E1" s="92" t="s">
        <v>586</v>
      </c>
      <c r="F1" s="92" t="s">
        <v>587</v>
      </c>
      <c r="G1" s="93" t="s">
        <v>492</v>
      </c>
      <c r="H1" s="92" t="s">
        <v>580</v>
      </c>
      <c r="I1" s="93" t="s">
        <v>516</v>
      </c>
      <c r="J1" s="92" t="s">
        <v>494</v>
      </c>
      <c r="K1" s="93" t="s">
        <v>515</v>
      </c>
      <c r="L1" s="92" t="s">
        <v>4</v>
      </c>
      <c r="M1" s="93" t="s">
        <v>594</v>
      </c>
      <c r="N1" s="93" t="s">
        <v>581</v>
      </c>
      <c r="O1" s="93" t="s">
        <v>513</v>
      </c>
      <c r="P1" s="93" t="s">
        <v>493</v>
      </c>
      <c r="Q1" s="93" t="s">
        <v>495</v>
      </c>
      <c r="R1" s="112" t="s">
        <v>582</v>
      </c>
      <c r="S1" s="174" t="s">
        <v>583</v>
      </c>
      <c r="T1" s="192" t="s">
        <v>540</v>
      </c>
      <c r="U1" s="371" t="s">
        <v>491</v>
      </c>
      <c r="V1" s="390" t="s">
        <v>490</v>
      </c>
      <c r="W1" s="286" t="s">
        <v>590</v>
      </c>
      <c r="X1" s="163" t="s">
        <v>591</v>
      </c>
      <c r="Y1" s="163" t="s">
        <v>592</v>
      </c>
      <c r="Z1" s="263" t="s">
        <v>600</v>
      </c>
      <c r="AA1" s="230" t="s">
        <v>603</v>
      </c>
      <c r="AB1" s="229" t="s">
        <v>601</v>
      </c>
      <c r="AC1" s="230" t="s">
        <v>598</v>
      </c>
      <c r="AD1" s="230" t="s">
        <v>599</v>
      </c>
      <c r="AE1" s="288" t="s">
        <v>602</v>
      </c>
      <c r="AF1" s="413" t="s">
        <v>604</v>
      </c>
      <c r="AG1" s="288" t="s">
        <v>605</v>
      </c>
      <c r="AH1" s="413" t="s">
        <v>643</v>
      </c>
      <c r="AI1" s="414" t="s">
        <v>609</v>
      </c>
    </row>
    <row r="2" spans="1:35" hidden="1" x14ac:dyDescent="0.3">
      <c r="A2" s="144">
        <v>45217</v>
      </c>
      <c r="B2" s="188">
        <v>1</v>
      </c>
      <c r="C2" s="71" t="s">
        <v>549</v>
      </c>
      <c r="D2" s="30" t="s">
        <v>552</v>
      </c>
      <c r="E2" s="28" t="s">
        <v>588</v>
      </c>
      <c r="F2" s="28" t="s">
        <v>584</v>
      </c>
      <c r="G2" s="17" t="s">
        <v>553</v>
      </c>
      <c r="H2" s="320" t="s">
        <v>5</v>
      </c>
      <c r="I2" s="28" t="s">
        <v>517</v>
      </c>
      <c r="J2" s="73" t="s">
        <v>0</v>
      </c>
      <c r="K2" s="28" t="s">
        <v>531</v>
      </c>
      <c r="L2" s="72" t="s">
        <v>593</v>
      </c>
      <c r="M2" s="72" t="s">
        <v>531</v>
      </c>
      <c r="N2" s="28" t="s">
        <v>532</v>
      </c>
      <c r="O2" s="28" t="s">
        <v>570</v>
      </c>
      <c r="P2" s="17" t="s">
        <v>573</v>
      </c>
      <c r="Q2" s="36" t="s">
        <v>0</v>
      </c>
      <c r="R2" s="117" t="s">
        <v>519</v>
      </c>
      <c r="S2" s="321">
        <v>100</v>
      </c>
      <c r="T2" s="164" t="s">
        <v>0</v>
      </c>
      <c r="U2" s="36" t="s">
        <v>576</v>
      </c>
      <c r="V2" s="359">
        <v>20000000</v>
      </c>
      <c r="W2" s="209">
        <v>51766096.430830121</v>
      </c>
      <c r="X2" s="227">
        <v>50</v>
      </c>
      <c r="Y2" s="164">
        <v>2</v>
      </c>
      <c r="Z2" s="319">
        <v>35.200945572964486</v>
      </c>
      <c r="AA2" s="209">
        <v>880.02363932411208</v>
      </c>
      <c r="AB2" s="209">
        <v>3.0315624669163497</v>
      </c>
      <c r="AC2" s="201">
        <v>12.545500000000001</v>
      </c>
      <c r="AD2" s="201">
        <v>0.13829</v>
      </c>
      <c r="AE2" s="265">
        <v>7.9839999999999994E-2</v>
      </c>
      <c r="AF2" s="209">
        <v>48454175.146380119</v>
      </c>
      <c r="AG2" s="206">
        <v>1211354378.659503</v>
      </c>
      <c r="AH2" s="117"/>
      <c r="AI2" s="404"/>
    </row>
    <row r="3" spans="1:35" hidden="1" x14ac:dyDescent="0.3">
      <c r="A3" s="145">
        <v>45217</v>
      </c>
      <c r="B3" s="189">
        <v>2</v>
      </c>
      <c r="C3" s="70" t="s">
        <v>549</v>
      </c>
      <c r="D3" s="10" t="s">
        <v>552</v>
      </c>
      <c r="E3" s="2" t="s">
        <v>588</v>
      </c>
      <c r="F3" s="2" t="s">
        <v>584</v>
      </c>
      <c r="G3" s="67" t="s">
        <v>553</v>
      </c>
      <c r="H3" s="322" t="s">
        <v>6</v>
      </c>
      <c r="I3" s="2" t="s">
        <v>517</v>
      </c>
      <c r="J3" s="9" t="s">
        <v>0</v>
      </c>
      <c r="K3" s="2" t="s">
        <v>531</v>
      </c>
      <c r="L3" s="67" t="s">
        <v>593</v>
      </c>
      <c r="M3" s="67" t="s">
        <v>532</v>
      </c>
      <c r="N3" s="2" t="s">
        <v>532</v>
      </c>
      <c r="O3" s="2" t="s">
        <v>570</v>
      </c>
      <c r="P3" s="67" t="s">
        <v>573</v>
      </c>
      <c r="Q3" s="67" t="s">
        <v>0</v>
      </c>
      <c r="R3" s="110" t="s">
        <v>519</v>
      </c>
      <c r="S3" s="177">
        <v>100</v>
      </c>
      <c r="T3" s="165" t="s">
        <v>0</v>
      </c>
      <c r="U3" s="67" t="s">
        <v>576</v>
      </c>
      <c r="V3" s="360">
        <v>2000000</v>
      </c>
      <c r="W3" s="208">
        <v>10274540.418774299</v>
      </c>
      <c r="X3" s="228">
        <v>50</v>
      </c>
      <c r="Y3" s="165">
        <v>2</v>
      </c>
      <c r="Z3" s="292">
        <v>6.9866874847665237</v>
      </c>
      <c r="AA3" s="208">
        <v>174.66718711916309</v>
      </c>
      <c r="AB3" s="208">
        <v>0.71935066351631349</v>
      </c>
      <c r="AC3" s="201">
        <v>15.151999999999999</v>
      </c>
      <c r="AD3" s="201">
        <v>0.16372</v>
      </c>
      <c r="AE3" s="265">
        <v>9.4530000000000003E-2</v>
      </c>
      <c r="AF3" s="208">
        <v>9617189.9240088854</v>
      </c>
      <c r="AG3" s="206">
        <v>240429748.10022211</v>
      </c>
      <c r="AH3" s="110"/>
      <c r="AI3" s="393"/>
    </row>
    <row r="4" spans="1:35" hidden="1" x14ac:dyDescent="0.3">
      <c r="A4" s="145">
        <v>45217</v>
      </c>
      <c r="B4" s="189">
        <v>3</v>
      </c>
      <c r="C4" s="70" t="s">
        <v>549</v>
      </c>
      <c r="D4" s="10" t="s">
        <v>552</v>
      </c>
      <c r="E4" s="2" t="s">
        <v>588</v>
      </c>
      <c r="F4" s="2" t="s">
        <v>584</v>
      </c>
      <c r="G4" s="67" t="s">
        <v>553</v>
      </c>
      <c r="H4" s="322" t="s">
        <v>7</v>
      </c>
      <c r="I4" s="2" t="s">
        <v>517</v>
      </c>
      <c r="J4" s="9" t="s">
        <v>0</v>
      </c>
      <c r="K4" s="2" t="s">
        <v>531</v>
      </c>
      <c r="L4" s="67" t="s">
        <v>593</v>
      </c>
      <c r="M4" s="67" t="s">
        <v>532</v>
      </c>
      <c r="N4" s="2" t="s">
        <v>532</v>
      </c>
      <c r="O4" s="2" t="s">
        <v>570</v>
      </c>
      <c r="P4" s="67" t="s">
        <v>573</v>
      </c>
      <c r="Q4" s="67" t="s">
        <v>0</v>
      </c>
      <c r="R4" s="110" t="s">
        <v>519</v>
      </c>
      <c r="S4" s="177">
        <v>100</v>
      </c>
      <c r="T4" s="165" t="s">
        <v>0</v>
      </c>
      <c r="U4" s="67" t="s">
        <v>576</v>
      </c>
      <c r="V4" s="360">
        <v>200000</v>
      </c>
      <c r="W4" s="208">
        <v>632857.26025730406</v>
      </c>
      <c r="X4" s="228">
        <v>50</v>
      </c>
      <c r="Y4" s="165">
        <v>2</v>
      </c>
      <c r="Z4" s="199">
        <v>0.43034293697496678</v>
      </c>
      <c r="AA4" s="265">
        <v>10.75857342437417</v>
      </c>
      <c r="AB4" s="215">
        <v>1.8468995834479588E-2</v>
      </c>
      <c r="AC4" s="215">
        <v>19.6372</v>
      </c>
      <c r="AD4" s="215">
        <v>6.8809999999999996E-2</v>
      </c>
      <c r="AE4" s="264">
        <v>3.9730000000000001E-2</v>
      </c>
      <c r="AF4" s="208">
        <v>592367.9521043218</v>
      </c>
      <c r="AG4" s="206">
        <v>14809198.802608045</v>
      </c>
      <c r="AH4" s="110"/>
      <c r="AI4" s="393"/>
    </row>
    <row r="5" spans="1:35" hidden="1" x14ac:dyDescent="0.3">
      <c r="A5" s="145">
        <v>45217</v>
      </c>
      <c r="B5" s="189">
        <v>4</v>
      </c>
      <c r="C5" s="70" t="s">
        <v>549</v>
      </c>
      <c r="D5" s="10" t="s">
        <v>552</v>
      </c>
      <c r="E5" s="2" t="s">
        <v>588</v>
      </c>
      <c r="F5" s="2" t="s">
        <v>584</v>
      </c>
      <c r="G5" s="67" t="s">
        <v>553</v>
      </c>
      <c r="H5" s="322" t="s">
        <v>8</v>
      </c>
      <c r="I5" s="2" t="s">
        <v>517</v>
      </c>
      <c r="J5" s="9" t="s">
        <v>0</v>
      </c>
      <c r="K5" s="2" t="s">
        <v>531</v>
      </c>
      <c r="L5" s="67" t="s">
        <v>593</v>
      </c>
      <c r="M5" s="67" t="s">
        <v>532</v>
      </c>
      <c r="N5" s="2" t="s">
        <v>532</v>
      </c>
      <c r="O5" s="2" t="s">
        <v>570</v>
      </c>
      <c r="P5" s="67" t="s">
        <v>573</v>
      </c>
      <c r="Q5" s="67" t="s">
        <v>0</v>
      </c>
      <c r="R5" s="110" t="s">
        <v>519</v>
      </c>
      <c r="S5" s="177">
        <v>100</v>
      </c>
      <c r="T5" s="165" t="s">
        <v>0</v>
      </c>
      <c r="U5" s="67" t="s">
        <v>576</v>
      </c>
      <c r="V5" s="360">
        <v>20000</v>
      </c>
      <c r="W5" s="208">
        <v>21901.722800810338</v>
      </c>
      <c r="X5" s="228">
        <v>50</v>
      </c>
      <c r="Y5" s="165">
        <v>2</v>
      </c>
      <c r="Z5" s="199">
        <v>1.4893171504551031E-2</v>
      </c>
      <c r="AA5" s="265">
        <v>0.37232928761377576</v>
      </c>
      <c r="AB5" s="200">
        <v>9.7209824748794975E-4</v>
      </c>
      <c r="AC5" s="215">
        <v>25.057099999999998</v>
      </c>
      <c r="AD5" s="215">
        <v>0.10630000000000001</v>
      </c>
      <c r="AE5" s="264">
        <v>6.1370000000000001E-2</v>
      </c>
      <c r="AF5" s="208">
        <v>20500.481700719836</v>
      </c>
      <c r="AG5" s="206">
        <v>512512.04251799587</v>
      </c>
      <c r="AH5" s="110"/>
      <c r="AI5" s="393"/>
    </row>
    <row r="6" spans="1:35" hidden="1" x14ac:dyDescent="0.3">
      <c r="A6" s="145">
        <v>45217</v>
      </c>
      <c r="B6" s="189">
        <v>5</v>
      </c>
      <c r="C6" s="70" t="s">
        <v>549</v>
      </c>
      <c r="D6" s="10" t="s">
        <v>552</v>
      </c>
      <c r="E6" s="2" t="s">
        <v>588</v>
      </c>
      <c r="F6" s="2" t="s">
        <v>584</v>
      </c>
      <c r="G6" s="67" t="s">
        <v>553</v>
      </c>
      <c r="H6" s="322" t="s">
        <v>9</v>
      </c>
      <c r="I6" s="2" t="s">
        <v>517</v>
      </c>
      <c r="J6" s="9" t="s">
        <v>0</v>
      </c>
      <c r="K6" s="2" t="s">
        <v>531</v>
      </c>
      <c r="L6" s="67" t="s">
        <v>593</v>
      </c>
      <c r="M6" s="67" t="s">
        <v>532</v>
      </c>
      <c r="N6" s="2" t="s">
        <v>532</v>
      </c>
      <c r="O6" s="2" t="s">
        <v>570</v>
      </c>
      <c r="P6" s="67" t="s">
        <v>573</v>
      </c>
      <c r="Q6" s="67" t="s">
        <v>0</v>
      </c>
      <c r="R6" s="110" t="s">
        <v>519</v>
      </c>
      <c r="S6" s="177">
        <v>100</v>
      </c>
      <c r="T6" s="165" t="s">
        <v>0</v>
      </c>
      <c r="U6" s="67" t="s">
        <v>576</v>
      </c>
      <c r="V6" s="360">
        <v>2000</v>
      </c>
      <c r="W6" s="208">
        <v>3358.6183786527772</v>
      </c>
      <c r="X6" s="228">
        <v>50</v>
      </c>
      <c r="Y6" s="165">
        <v>2</v>
      </c>
      <c r="Z6" s="199">
        <v>2.2838604974838887E-3</v>
      </c>
      <c r="AA6" s="265">
        <v>5.7096512437097215E-2</v>
      </c>
      <c r="AB6" s="200">
        <v>2.1591264452504996E-4</v>
      </c>
      <c r="AC6" s="215">
        <v>28.080100000000002</v>
      </c>
      <c r="AD6" s="215">
        <v>0.15309</v>
      </c>
      <c r="AE6" s="264">
        <v>8.8389999999999996E-2</v>
      </c>
      <c r="AF6" s="208">
        <v>3143.7387477447701</v>
      </c>
      <c r="AG6" s="206">
        <v>78593.468693619259</v>
      </c>
      <c r="AH6" s="110"/>
      <c r="AI6" s="393"/>
    </row>
    <row r="7" spans="1:35" hidden="1" x14ac:dyDescent="0.3">
      <c r="A7" s="145">
        <v>45217</v>
      </c>
      <c r="B7" s="189">
        <v>6</v>
      </c>
      <c r="C7" s="70" t="s">
        <v>549</v>
      </c>
      <c r="D7" s="10" t="s">
        <v>552</v>
      </c>
      <c r="E7" s="2" t="s">
        <v>588</v>
      </c>
      <c r="F7" s="2" t="s">
        <v>584</v>
      </c>
      <c r="G7" s="67" t="s">
        <v>553</v>
      </c>
      <c r="H7" s="322" t="s">
        <v>10</v>
      </c>
      <c r="I7" s="2" t="s">
        <v>517</v>
      </c>
      <c r="J7" s="9" t="s">
        <v>0</v>
      </c>
      <c r="K7" s="2" t="s">
        <v>531</v>
      </c>
      <c r="L7" s="67" t="s">
        <v>593</v>
      </c>
      <c r="M7" s="67" t="s">
        <v>532</v>
      </c>
      <c r="N7" s="2" t="s">
        <v>532</v>
      </c>
      <c r="O7" s="23" t="s">
        <v>570</v>
      </c>
      <c r="P7" s="79" t="s">
        <v>573</v>
      </c>
      <c r="Q7" s="67" t="s">
        <v>0</v>
      </c>
      <c r="R7" s="110" t="s">
        <v>519</v>
      </c>
      <c r="S7" s="177">
        <v>100</v>
      </c>
      <c r="T7" s="165" t="s">
        <v>0</v>
      </c>
      <c r="U7" s="67" t="s">
        <v>576</v>
      </c>
      <c r="V7" s="360">
        <v>200</v>
      </c>
      <c r="W7" s="208">
        <v>340.73123269575217</v>
      </c>
      <c r="X7" s="228">
        <v>50</v>
      </c>
      <c r="Y7" s="165">
        <v>2</v>
      </c>
      <c r="Z7" s="199">
        <v>2.3169723823311149E-4</v>
      </c>
      <c r="AA7" s="265">
        <v>5.792430955827787E-3</v>
      </c>
      <c r="AB7" s="200">
        <v>2.9416373257988239E-5</v>
      </c>
      <c r="AC7" s="215">
        <v>31.7699</v>
      </c>
      <c r="AD7" s="215">
        <v>0.20474000000000001</v>
      </c>
      <c r="AE7" s="264">
        <v>0.1182</v>
      </c>
      <c r="AF7" s="208">
        <v>318.9317326436319</v>
      </c>
      <c r="AG7" s="206">
        <v>7973.2933160907951</v>
      </c>
      <c r="AH7" s="110"/>
      <c r="AI7" s="393"/>
    </row>
    <row r="8" spans="1:35" hidden="1" x14ac:dyDescent="0.3">
      <c r="A8" s="145">
        <v>45217</v>
      </c>
      <c r="B8" s="189">
        <v>7</v>
      </c>
      <c r="C8" s="70" t="s">
        <v>549</v>
      </c>
      <c r="D8" s="10" t="s">
        <v>552</v>
      </c>
      <c r="E8" s="2" t="s">
        <v>588</v>
      </c>
      <c r="F8" s="2" t="s">
        <v>584</v>
      </c>
      <c r="G8" s="67" t="s">
        <v>553</v>
      </c>
      <c r="H8" s="322" t="s">
        <v>11</v>
      </c>
      <c r="I8" s="2" t="s">
        <v>517</v>
      </c>
      <c r="J8" s="9" t="s">
        <v>0</v>
      </c>
      <c r="K8" s="2" t="s">
        <v>531</v>
      </c>
      <c r="L8" s="67" t="s">
        <v>593</v>
      </c>
      <c r="M8" s="67" t="s">
        <v>532</v>
      </c>
      <c r="N8" s="67" t="s">
        <v>532</v>
      </c>
      <c r="O8" s="110" t="s">
        <v>570</v>
      </c>
      <c r="P8" s="110" t="s">
        <v>573</v>
      </c>
      <c r="Q8" s="106" t="s">
        <v>0</v>
      </c>
      <c r="R8" s="110" t="s">
        <v>519</v>
      </c>
      <c r="S8" s="177">
        <v>100</v>
      </c>
      <c r="T8" s="165" t="s">
        <v>0</v>
      </c>
      <c r="U8" s="67" t="s">
        <v>576</v>
      </c>
      <c r="V8" s="361">
        <v>20</v>
      </c>
      <c r="W8" s="208">
        <v>35.6905850951064</v>
      </c>
      <c r="X8" s="228">
        <v>50</v>
      </c>
      <c r="Y8" s="165">
        <v>2</v>
      </c>
      <c r="Z8" s="199">
        <v>2.4269597864672351E-5</v>
      </c>
      <c r="AA8" s="265">
        <v>6.0673994661680883E-4</v>
      </c>
      <c r="AB8" s="200">
        <v>3.3968396552969085E-6</v>
      </c>
      <c r="AC8" s="215">
        <v>35.405799999999999</v>
      </c>
      <c r="AD8" s="215">
        <v>0.21878</v>
      </c>
      <c r="AE8" s="264">
        <v>0.12631000000000001</v>
      </c>
      <c r="AF8" s="208">
        <v>33.407152180884218</v>
      </c>
      <c r="AG8" s="206">
        <v>835.17880452210557</v>
      </c>
      <c r="AH8" s="110"/>
      <c r="AI8" s="393"/>
    </row>
    <row r="9" spans="1:35" hidden="1" x14ac:dyDescent="0.3">
      <c r="A9" s="145">
        <v>45217</v>
      </c>
      <c r="B9" s="189">
        <v>8</v>
      </c>
      <c r="C9" s="70" t="s">
        <v>549</v>
      </c>
      <c r="D9" s="10" t="s">
        <v>552</v>
      </c>
      <c r="E9" s="2" t="s">
        <v>588</v>
      </c>
      <c r="F9" s="2" t="s">
        <v>584</v>
      </c>
      <c r="G9" s="65" t="s">
        <v>563</v>
      </c>
      <c r="H9" s="323" t="s">
        <v>12</v>
      </c>
      <c r="I9" s="2" t="s">
        <v>517</v>
      </c>
      <c r="J9" s="9" t="s">
        <v>0</v>
      </c>
      <c r="K9" s="2" t="s">
        <v>531</v>
      </c>
      <c r="L9" s="67" t="s">
        <v>593</v>
      </c>
      <c r="M9" s="67" t="s">
        <v>532</v>
      </c>
      <c r="N9" s="67" t="s">
        <v>532</v>
      </c>
      <c r="O9" s="110" t="s">
        <v>570</v>
      </c>
      <c r="P9" s="110" t="s">
        <v>573</v>
      </c>
      <c r="Q9" s="106" t="s">
        <v>0</v>
      </c>
      <c r="R9" s="110" t="s">
        <v>519</v>
      </c>
      <c r="S9" s="177">
        <v>100</v>
      </c>
      <c r="T9" s="165" t="s">
        <v>0</v>
      </c>
      <c r="U9" s="106" t="s">
        <v>577</v>
      </c>
      <c r="V9" s="360">
        <v>2000000</v>
      </c>
      <c r="W9" s="208">
        <v>947.4048843389304</v>
      </c>
      <c r="X9" s="228">
        <v>50</v>
      </c>
      <c r="Y9" s="165">
        <v>2</v>
      </c>
      <c r="Z9" s="200">
        <v>6.4423532135047276E-4</v>
      </c>
      <c r="AA9" s="264">
        <v>1.6105883033761818E-2</v>
      </c>
      <c r="AB9" s="200">
        <v>5.5047738644532871E-4</v>
      </c>
      <c r="AC9" s="218">
        <v>31.474599999999999</v>
      </c>
      <c r="AD9" s="215">
        <v>3.4378099999999998</v>
      </c>
      <c r="AE9" s="264">
        <v>1.98482</v>
      </c>
      <c r="AF9" s="208">
        <v>886.7912662032337</v>
      </c>
      <c r="AG9" s="206">
        <v>22169.781655080842</v>
      </c>
      <c r="AH9" s="110"/>
      <c r="AI9" s="393"/>
    </row>
    <row r="10" spans="1:35" hidden="1" x14ac:dyDescent="0.3">
      <c r="A10" s="145">
        <v>45217</v>
      </c>
      <c r="B10" s="189">
        <v>9</v>
      </c>
      <c r="C10" s="70" t="s">
        <v>549</v>
      </c>
      <c r="D10" s="10" t="s">
        <v>552</v>
      </c>
      <c r="E10" s="2" t="s">
        <v>588</v>
      </c>
      <c r="F10" s="2" t="s">
        <v>584</v>
      </c>
      <c r="G10" s="65" t="s">
        <v>563</v>
      </c>
      <c r="H10" s="323" t="s">
        <v>13</v>
      </c>
      <c r="I10" s="2" t="s">
        <v>517</v>
      </c>
      <c r="J10" s="9" t="s">
        <v>0</v>
      </c>
      <c r="K10" s="2" t="s">
        <v>531</v>
      </c>
      <c r="L10" s="67" t="s">
        <v>593</v>
      </c>
      <c r="M10" s="67" t="s">
        <v>532</v>
      </c>
      <c r="N10" s="67" t="s">
        <v>532</v>
      </c>
      <c r="O10" s="110" t="s">
        <v>570</v>
      </c>
      <c r="P10" s="110" t="s">
        <v>574</v>
      </c>
      <c r="Q10" s="106" t="s">
        <v>0</v>
      </c>
      <c r="R10" s="110" t="s">
        <v>519</v>
      </c>
      <c r="S10" s="177">
        <v>100</v>
      </c>
      <c r="T10" s="165" t="s">
        <v>0</v>
      </c>
      <c r="U10" s="106" t="s">
        <v>577</v>
      </c>
      <c r="V10" s="360">
        <v>2000000</v>
      </c>
      <c r="W10" s="208">
        <v>1452.9998291082295</v>
      </c>
      <c r="X10" s="228">
        <v>50</v>
      </c>
      <c r="Y10" s="165">
        <v>2</v>
      </c>
      <c r="Z10" s="200">
        <v>9.8803988379359605E-4</v>
      </c>
      <c r="AA10" s="264">
        <v>2.4700997094839902E-2</v>
      </c>
      <c r="AB10" s="200">
        <v>9.1632855568918249E-5</v>
      </c>
      <c r="AC10" s="215">
        <v>29.429500000000001</v>
      </c>
      <c r="AD10" s="215">
        <v>0.14706</v>
      </c>
      <c r="AE10" s="264">
        <v>8.4909999999999999E-2</v>
      </c>
      <c r="AF10" s="208">
        <v>1360.0389649110257</v>
      </c>
      <c r="AG10" s="206">
        <v>34000.974122775639</v>
      </c>
      <c r="AH10" s="110"/>
      <c r="AI10" s="393"/>
    </row>
    <row r="11" spans="1:35" hidden="1" x14ac:dyDescent="0.3">
      <c r="A11" s="145">
        <v>45217</v>
      </c>
      <c r="B11" s="189">
        <v>10</v>
      </c>
      <c r="C11" s="70" t="s">
        <v>549</v>
      </c>
      <c r="D11" s="10" t="s">
        <v>552</v>
      </c>
      <c r="E11" s="2" t="s">
        <v>588</v>
      </c>
      <c r="F11" s="2" t="s">
        <v>584</v>
      </c>
      <c r="G11" s="65" t="s">
        <v>563</v>
      </c>
      <c r="H11" s="323" t="s">
        <v>14</v>
      </c>
      <c r="I11" s="2" t="s">
        <v>517</v>
      </c>
      <c r="J11" s="9" t="s">
        <v>0</v>
      </c>
      <c r="K11" s="2" t="s">
        <v>531</v>
      </c>
      <c r="L11" s="67" t="s">
        <v>593</v>
      </c>
      <c r="M11" s="67" t="s">
        <v>532</v>
      </c>
      <c r="N11" s="67" t="s">
        <v>532</v>
      </c>
      <c r="O11" s="110" t="s">
        <v>570</v>
      </c>
      <c r="P11" s="110" t="s">
        <v>503</v>
      </c>
      <c r="Q11" s="106" t="s">
        <v>0</v>
      </c>
      <c r="R11" s="110" t="s">
        <v>519</v>
      </c>
      <c r="S11" s="177">
        <v>100</v>
      </c>
      <c r="T11" s="165" t="s">
        <v>0</v>
      </c>
      <c r="U11" s="106" t="s">
        <v>577</v>
      </c>
      <c r="V11" s="360">
        <v>2000000</v>
      </c>
      <c r="W11" s="208">
        <v>3794.8145360843282</v>
      </c>
      <c r="X11" s="228">
        <v>50</v>
      </c>
      <c r="Y11" s="165">
        <v>2</v>
      </c>
      <c r="Z11" s="200">
        <v>2.5804738845373429E-3</v>
      </c>
      <c r="AA11" s="264">
        <v>6.4511847113433579E-2</v>
      </c>
      <c r="AB11" s="200">
        <v>4.0225510546785208E-4</v>
      </c>
      <c r="AC11" s="215">
        <v>27.891300000000001</v>
      </c>
      <c r="AD11" s="215">
        <v>0.24640000000000001</v>
      </c>
      <c r="AE11" s="264">
        <v>0.14226</v>
      </c>
      <c r="AF11" s="208">
        <v>3552.0276949055369</v>
      </c>
      <c r="AG11" s="206">
        <v>88800.692372638441</v>
      </c>
      <c r="AH11" s="110"/>
      <c r="AI11" s="393"/>
    </row>
    <row r="12" spans="1:35" hidden="1" x14ac:dyDescent="0.3">
      <c r="A12" s="145">
        <v>45217</v>
      </c>
      <c r="B12" s="189">
        <v>11</v>
      </c>
      <c r="C12" s="70" t="s">
        <v>549</v>
      </c>
      <c r="D12" s="10" t="s">
        <v>552</v>
      </c>
      <c r="E12" s="2" t="s">
        <v>588</v>
      </c>
      <c r="F12" s="2" t="s">
        <v>584</v>
      </c>
      <c r="G12" s="65" t="s">
        <v>563</v>
      </c>
      <c r="H12" s="323" t="s">
        <v>15</v>
      </c>
      <c r="I12" s="2" t="s">
        <v>517</v>
      </c>
      <c r="J12" s="9" t="s">
        <v>0</v>
      </c>
      <c r="K12" s="2" t="s">
        <v>531</v>
      </c>
      <c r="L12" s="67" t="s">
        <v>593</v>
      </c>
      <c r="M12" s="67" t="s">
        <v>532</v>
      </c>
      <c r="N12" s="67" t="s">
        <v>532</v>
      </c>
      <c r="O12" s="110" t="s">
        <v>570</v>
      </c>
      <c r="P12" s="110" t="s">
        <v>573</v>
      </c>
      <c r="Q12" s="106" t="s">
        <v>0</v>
      </c>
      <c r="R12" s="110" t="s">
        <v>519</v>
      </c>
      <c r="S12" s="177">
        <v>100</v>
      </c>
      <c r="T12" s="165" t="s">
        <v>0</v>
      </c>
      <c r="U12" s="106" t="s">
        <v>577</v>
      </c>
      <c r="V12" s="360">
        <v>2000000</v>
      </c>
      <c r="W12" s="208">
        <v>2782.6631110154071</v>
      </c>
      <c r="X12" s="228">
        <v>50</v>
      </c>
      <c r="Y12" s="165">
        <v>2</v>
      </c>
      <c r="Z12" s="200">
        <v>1.8922109154904767E-3</v>
      </c>
      <c r="AA12" s="264">
        <v>4.7305272887261919E-2</v>
      </c>
      <c r="AB12" s="200">
        <v>1.0044355420632134E-4</v>
      </c>
      <c r="AC12" s="215">
        <v>28.379753684641852</v>
      </c>
      <c r="AD12" s="215">
        <v>8.4489676113515724E-2</v>
      </c>
      <c r="AE12" s="264">
        <v>4.8780137247882598E-2</v>
      </c>
      <c r="AF12" s="208">
        <v>2604.6322796364143</v>
      </c>
      <c r="AG12" s="206">
        <v>65115.806990910372</v>
      </c>
      <c r="AH12" s="110"/>
      <c r="AI12" s="393"/>
    </row>
    <row r="13" spans="1:35" hidden="1" x14ac:dyDescent="0.3">
      <c r="A13" s="145">
        <v>45217</v>
      </c>
      <c r="B13" s="189">
        <v>12</v>
      </c>
      <c r="C13" s="70" t="s">
        <v>549</v>
      </c>
      <c r="D13" s="10" t="s">
        <v>552</v>
      </c>
      <c r="E13" s="2" t="s">
        <v>588</v>
      </c>
      <c r="F13" s="2" t="s">
        <v>584</v>
      </c>
      <c r="G13" s="65" t="s">
        <v>563</v>
      </c>
      <c r="H13" s="323" t="s">
        <v>16</v>
      </c>
      <c r="I13" s="2" t="s">
        <v>517</v>
      </c>
      <c r="J13" s="9" t="s">
        <v>0</v>
      </c>
      <c r="K13" s="2" t="s">
        <v>531</v>
      </c>
      <c r="L13" s="67" t="s">
        <v>593</v>
      </c>
      <c r="M13" s="67" t="s">
        <v>532</v>
      </c>
      <c r="N13" s="67" t="s">
        <v>532</v>
      </c>
      <c r="O13" s="110" t="s">
        <v>570</v>
      </c>
      <c r="P13" s="110" t="s">
        <v>574</v>
      </c>
      <c r="Q13" s="106" t="s">
        <v>0</v>
      </c>
      <c r="R13" s="110" t="s">
        <v>519</v>
      </c>
      <c r="S13" s="177">
        <v>100</v>
      </c>
      <c r="T13" s="165" t="s">
        <v>0</v>
      </c>
      <c r="U13" s="106" t="s">
        <v>577</v>
      </c>
      <c r="V13" s="360">
        <v>2000000</v>
      </c>
      <c r="W13" s="208">
        <v>3229.9445389087186</v>
      </c>
      <c r="X13" s="228">
        <v>50</v>
      </c>
      <c r="Y13" s="165">
        <v>2</v>
      </c>
      <c r="Z13" s="200">
        <v>2.1963622864579289E-3</v>
      </c>
      <c r="AA13" s="264">
        <v>5.490905716144822E-2</v>
      </c>
      <c r="AB13" s="200">
        <v>2.4325041870134828E-4</v>
      </c>
      <c r="AC13" s="215">
        <v>28.144504808406243</v>
      </c>
      <c r="AD13" s="215">
        <v>0.17359745767304413</v>
      </c>
      <c r="AE13" s="264">
        <v>0.1002265389181667</v>
      </c>
      <c r="AF13" s="208">
        <v>3023.2972774081613</v>
      </c>
      <c r="AG13" s="206">
        <v>75582.431935204047</v>
      </c>
      <c r="AH13" s="110"/>
      <c r="AI13" s="393"/>
    </row>
    <row r="14" spans="1:35" hidden="1" x14ac:dyDescent="0.3">
      <c r="A14" s="145">
        <v>45217</v>
      </c>
      <c r="B14" s="189">
        <v>13</v>
      </c>
      <c r="C14" s="70" t="s">
        <v>549</v>
      </c>
      <c r="D14" s="10" t="s">
        <v>552</v>
      </c>
      <c r="E14" s="2" t="s">
        <v>588</v>
      </c>
      <c r="F14" s="2" t="s">
        <v>584</v>
      </c>
      <c r="G14" s="65" t="s">
        <v>563</v>
      </c>
      <c r="H14" s="323" t="s">
        <v>17</v>
      </c>
      <c r="I14" s="2" t="s">
        <v>517</v>
      </c>
      <c r="J14" s="9" t="s">
        <v>0</v>
      </c>
      <c r="K14" s="2" t="s">
        <v>531</v>
      </c>
      <c r="L14" s="67" t="s">
        <v>593</v>
      </c>
      <c r="M14" s="67" t="s">
        <v>532</v>
      </c>
      <c r="N14" s="67" t="s">
        <v>532</v>
      </c>
      <c r="O14" s="110" t="s">
        <v>570</v>
      </c>
      <c r="P14" s="110" t="s">
        <v>503</v>
      </c>
      <c r="Q14" s="106" t="s">
        <v>0</v>
      </c>
      <c r="R14" s="110" t="s">
        <v>519</v>
      </c>
      <c r="S14" s="177">
        <v>100</v>
      </c>
      <c r="T14" s="165" t="s">
        <v>0</v>
      </c>
      <c r="U14" s="106" t="s">
        <v>577</v>
      </c>
      <c r="V14" s="360">
        <v>2000000</v>
      </c>
      <c r="W14" s="208">
        <v>4697.2829673212163</v>
      </c>
      <c r="X14" s="228">
        <v>50</v>
      </c>
      <c r="Y14" s="165">
        <v>2</v>
      </c>
      <c r="Z14" s="200">
        <v>3.1941524177784269E-3</v>
      </c>
      <c r="AA14" s="264">
        <v>7.9853810444460674E-2</v>
      </c>
      <c r="AB14" s="200">
        <v>6.6567586083912569E-4</v>
      </c>
      <c r="AC14" s="215">
        <v>27.556753521591535</v>
      </c>
      <c r="AD14" s="215">
        <v>0.31998810222030538</v>
      </c>
      <c r="AE14" s="264">
        <v>0.18474521695437082</v>
      </c>
      <c r="AF14" s="208">
        <v>4396.7574784166609</v>
      </c>
      <c r="AG14" s="206">
        <v>109918.93696041653</v>
      </c>
      <c r="AH14" s="110"/>
      <c r="AI14" s="393"/>
    </row>
    <row r="15" spans="1:35" hidden="1" x14ac:dyDescent="0.3">
      <c r="A15" s="145">
        <v>45217</v>
      </c>
      <c r="B15" s="188">
        <v>14</v>
      </c>
      <c r="C15" s="70" t="s">
        <v>549</v>
      </c>
      <c r="D15" s="10" t="s">
        <v>552</v>
      </c>
      <c r="E15" s="2" t="s">
        <v>588</v>
      </c>
      <c r="F15" s="2" t="s">
        <v>584</v>
      </c>
      <c r="G15" s="65" t="s">
        <v>563</v>
      </c>
      <c r="H15" s="323" t="s">
        <v>18</v>
      </c>
      <c r="I15" s="2" t="s">
        <v>517</v>
      </c>
      <c r="J15" s="9" t="s">
        <v>0</v>
      </c>
      <c r="K15" s="2" t="s">
        <v>531</v>
      </c>
      <c r="L15" s="67" t="s">
        <v>593</v>
      </c>
      <c r="M15" s="67" t="s">
        <v>532</v>
      </c>
      <c r="N15" s="67" t="s">
        <v>532</v>
      </c>
      <c r="O15" s="110" t="s">
        <v>570</v>
      </c>
      <c r="P15" s="110" t="s">
        <v>573</v>
      </c>
      <c r="Q15" s="106" t="s">
        <v>0</v>
      </c>
      <c r="R15" s="110" t="s">
        <v>519</v>
      </c>
      <c r="S15" s="177">
        <v>100</v>
      </c>
      <c r="T15" s="165" t="s">
        <v>0</v>
      </c>
      <c r="U15" s="106" t="s">
        <v>577</v>
      </c>
      <c r="V15" s="360">
        <v>2000000</v>
      </c>
      <c r="W15" s="208">
        <v>559.51173106641829</v>
      </c>
      <c r="X15" s="228">
        <v>50</v>
      </c>
      <c r="Y15" s="165">
        <v>2</v>
      </c>
      <c r="Z15" s="200">
        <v>3.8046797712516442E-4</v>
      </c>
      <c r="AA15" s="264">
        <v>9.5116994281291105E-3</v>
      </c>
      <c r="AB15" s="200">
        <v>1.3673028050701733E-4</v>
      </c>
      <c r="AC15" s="215">
        <v>31.046930957205756</v>
      </c>
      <c r="AD15" s="215">
        <v>0.66984591471193267</v>
      </c>
      <c r="AE15" s="264">
        <v>0.38673571917450544</v>
      </c>
      <c r="AF15" s="208">
        <v>523.71496563917788</v>
      </c>
      <c r="AG15" s="206">
        <v>13092.874140979444</v>
      </c>
      <c r="AH15" s="110"/>
      <c r="AI15" s="393"/>
    </row>
    <row r="16" spans="1:35" hidden="1" x14ac:dyDescent="0.3">
      <c r="A16" s="145">
        <v>45217</v>
      </c>
      <c r="B16" s="189">
        <v>15</v>
      </c>
      <c r="C16" s="70" t="s">
        <v>549</v>
      </c>
      <c r="D16" s="10" t="s">
        <v>552</v>
      </c>
      <c r="E16" s="2" t="s">
        <v>588</v>
      </c>
      <c r="F16" s="2" t="s">
        <v>584</v>
      </c>
      <c r="G16" s="65" t="s">
        <v>563</v>
      </c>
      <c r="H16" s="323" t="s">
        <v>19</v>
      </c>
      <c r="I16" s="2" t="s">
        <v>517</v>
      </c>
      <c r="J16" s="9" t="s">
        <v>0</v>
      </c>
      <c r="K16" s="2" t="s">
        <v>531</v>
      </c>
      <c r="L16" s="67" t="s">
        <v>593</v>
      </c>
      <c r="M16" s="67" t="s">
        <v>532</v>
      </c>
      <c r="N16" s="67" t="s">
        <v>532</v>
      </c>
      <c r="O16" s="110" t="s">
        <v>570</v>
      </c>
      <c r="P16" s="110" t="s">
        <v>574</v>
      </c>
      <c r="Q16" s="106" t="s">
        <v>0</v>
      </c>
      <c r="R16" s="110" t="s">
        <v>519</v>
      </c>
      <c r="S16" s="177">
        <v>100</v>
      </c>
      <c r="T16" s="165" t="s">
        <v>0</v>
      </c>
      <c r="U16" s="106" t="s">
        <v>577</v>
      </c>
      <c r="V16" s="360">
        <v>2000000</v>
      </c>
      <c r="W16" s="208">
        <v>471.23560068916515</v>
      </c>
      <c r="X16" s="228">
        <v>50</v>
      </c>
      <c r="Y16" s="165">
        <v>2</v>
      </c>
      <c r="Z16" s="200">
        <v>3.2044020846863235E-4</v>
      </c>
      <c r="AA16" s="264">
        <v>8.0110052117158079E-3</v>
      </c>
      <c r="AB16" s="200">
        <v>1.2959737558320939E-5</v>
      </c>
      <c r="AC16" s="215">
        <v>31.239750397412536</v>
      </c>
      <c r="AD16" s="215">
        <v>6.4528853535557013E-2</v>
      </c>
      <c r="AE16" s="264">
        <v>3.7255750959251779E-2</v>
      </c>
      <c r="AF16" s="208">
        <v>441.08661663357918</v>
      </c>
      <c r="AG16" s="206">
        <v>11027.165415839479</v>
      </c>
      <c r="AH16" s="110"/>
      <c r="AI16" s="393"/>
    </row>
    <row r="17" spans="1:35" hidden="1" x14ac:dyDescent="0.3">
      <c r="A17" s="145">
        <v>45217</v>
      </c>
      <c r="B17" s="189">
        <v>16</v>
      </c>
      <c r="C17" s="70" t="s">
        <v>549</v>
      </c>
      <c r="D17" s="10" t="s">
        <v>552</v>
      </c>
      <c r="E17" s="2" t="s">
        <v>588</v>
      </c>
      <c r="F17" s="2" t="s">
        <v>584</v>
      </c>
      <c r="G17" s="65" t="s">
        <v>563</v>
      </c>
      <c r="H17" s="323" t="s">
        <v>20</v>
      </c>
      <c r="I17" s="2" t="s">
        <v>517</v>
      </c>
      <c r="J17" s="9" t="s">
        <v>0</v>
      </c>
      <c r="K17" s="2" t="s">
        <v>531</v>
      </c>
      <c r="L17" s="67" t="s">
        <v>593</v>
      </c>
      <c r="M17" s="67" t="s">
        <v>532</v>
      </c>
      <c r="N17" s="67" t="s">
        <v>532</v>
      </c>
      <c r="O17" s="110" t="s">
        <v>570</v>
      </c>
      <c r="P17" s="110" t="s">
        <v>503</v>
      </c>
      <c r="Q17" s="106" t="s">
        <v>0</v>
      </c>
      <c r="R17" s="110" t="s">
        <v>519</v>
      </c>
      <c r="S17" s="177">
        <v>100</v>
      </c>
      <c r="T17" s="165" t="s">
        <v>0</v>
      </c>
      <c r="U17" s="106" t="s">
        <v>577</v>
      </c>
      <c r="V17" s="360">
        <v>2000000</v>
      </c>
      <c r="W17" s="208">
        <v>56.283027899774901</v>
      </c>
      <c r="X17" s="228">
        <v>50</v>
      </c>
      <c r="Y17" s="165">
        <v>2</v>
      </c>
      <c r="Z17" s="200">
        <v>3.8272458971846933E-5</v>
      </c>
      <c r="AA17" s="264">
        <v>9.5681147429617331E-4</v>
      </c>
      <c r="AB17" s="200">
        <v>3.4094091337151846E-6</v>
      </c>
      <c r="AC17" s="215">
        <v>34.666313060536851</v>
      </c>
      <c r="AD17" s="215">
        <v>0.14585968985032413</v>
      </c>
      <c r="AE17" s="264">
        <v>8.4212131198999965E-2</v>
      </c>
      <c r="AF17" s="208">
        <v>52.682119758987582</v>
      </c>
      <c r="AG17" s="206">
        <v>1317.0529939746896</v>
      </c>
      <c r="AH17" s="110"/>
      <c r="AI17" s="393"/>
    </row>
    <row r="18" spans="1:35" hidden="1" x14ac:dyDescent="0.3">
      <c r="A18" s="145">
        <v>45217</v>
      </c>
      <c r="B18" s="189">
        <v>17</v>
      </c>
      <c r="C18" s="70" t="s">
        <v>549</v>
      </c>
      <c r="D18" s="10" t="s">
        <v>552</v>
      </c>
      <c r="E18" s="2" t="s">
        <v>588</v>
      </c>
      <c r="F18" s="2" t="s">
        <v>584</v>
      </c>
      <c r="G18" s="65" t="s">
        <v>563</v>
      </c>
      <c r="H18" s="323" t="s">
        <v>21</v>
      </c>
      <c r="I18" s="2" t="s">
        <v>517</v>
      </c>
      <c r="J18" s="9" t="s">
        <v>0</v>
      </c>
      <c r="K18" s="2" t="s">
        <v>531</v>
      </c>
      <c r="L18" s="67" t="s">
        <v>593</v>
      </c>
      <c r="M18" s="67" t="s">
        <v>532</v>
      </c>
      <c r="N18" s="67" t="s">
        <v>532</v>
      </c>
      <c r="O18" s="110" t="s">
        <v>570</v>
      </c>
      <c r="P18" s="110" t="s">
        <v>573</v>
      </c>
      <c r="Q18" s="106" t="s">
        <v>0</v>
      </c>
      <c r="R18" s="110" t="s">
        <v>519</v>
      </c>
      <c r="S18" s="177">
        <v>100</v>
      </c>
      <c r="T18" s="165" t="s">
        <v>0</v>
      </c>
      <c r="U18" s="106" t="s">
        <v>577</v>
      </c>
      <c r="V18" s="360">
        <v>2000000</v>
      </c>
      <c r="W18" s="208">
        <v>87.790967697420584</v>
      </c>
      <c r="X18" s="228">
        <v>50</v>
      </c>
      <c r="Y18" s="165">
        <v>2</v>
      </c>
      <c r="Z18" s="200">
        <v>5.9697858034245991E-5</v>
      </c>
      <c r="AA18" s="264">
        <v>1.4924464508561499E-3</v>
      </c>
      <c r="AB18" s="200">
        <v>9.8639652083337368E-6</v>
      </c>
      <c r="AC18" s="218">
        <v>33.961500000000001</v>
      </c>
      <c r="AD18" s="215">
        <v>0.27936</v>
      </c>
      <c r="AE18" s="264">
        <v>0.16128999999999999</v>
      </c>
      <c r="AF18" s="208">
        <v>82.174226344553475</v>
      </c>
      <c r="AG18" s="206">
        <v>2054.355658613837</v>
      </c>
      <c r="AH18" s="110"/>
      <c r="AI18" s="393"/>
    </row>
    <row r="19" spans="1:35" hidden="1" x14ac:dyDescent="0.3">
      <c r="A19" s="148">
        <v>45217</v>
      </c>
      <c r="B19" s="189">
        <v>18</v>
      </c>
      <c r="C19" s="78" t="s">
        <v>549</v>
      </c>
      <c r="D19" s="25" t="s">
        <v>552</v>
      </c>
      <c r="E19" s="23" t="s">
        <v>588</v>
      </c>
      <c r="F19" s="23" t="s">
        <v>584</v>
      </c>
      <c r="G19" s="83" t="s">
        <v>563</v>
      </c>
      <c r="H19" s="324" t="s">
        <v>22</v>
      </c>
      <c r="I19" s="23" t="s">
        <v>517</v>
      </c>
      <c r="J19" s="24" t="s">
        <v>0</v>
      </c>
      <c r="K19" s="2" t="s">
        <v>531</v>
      </c>
      <c r="L19" s="79" t="s">
        <v>593</v>
      </c>
      <c r="M19" s="79" t="s">
        <v>532</v>
      </c>
      <c r="N19" s="79" t="s">
        <v>532</v>
      </c>
      <c r="O19" s="212" t="s">
        <v>570</v>
      </c>
      <c r="P19" s="212" t="s">
        <v>574</v>
      </c>
      <c r="Q19" s="130" t="s">
        <v>0</v>
      </c>
      <c r="R19" s="212" t="s">
        <v>519</v>
      </c>
      <c r="S19" s="325">
        <v>100</v>
      </c>
      <c r="T19" s="225" t="s">
        <v>0</v>
      </c>
      <c r="U19" s="130" t="s">
        <v>577</v>
      </c>
      <c r="V19" s="362">
        <v>2000000</v>
      </c>
      <c r="W19" s="252">
        <v>301.95901953444019</v>
      </c>
      <c r="X19" s="249">
        <v>50</v>
      </c>
      <c r="Y19" s="225">
        <v>2</v>
      </c>
      <c r="Z19" s="250">
        <v>2.0533213328341931E-4</v>
      </c>
      <c r="AA19" s="266">
        <v>5.1333033320854829E-3</v>
      </c>
      <c r="AB19" s="250">
        <v>1.6191073042751524E-4</v>
      </c>
      <c r="AC19" s="251">
        <v>32.847099999999998</v>
      </c>
      <c r="AD19" s="251">
        <v>2.5900699999999999</v>
      </c>
      <c r="AE19" s="266">
        <v>1.4953799999999999</v>
      </c>
      <c r="AF19" s="208">
        <v>282.64011058089272</v>
      </c>
      <c r="AG19" s="1">
        <v>7066.0027645223172</v>
      </c>
      <c r="AH19" s="110"/>
      <c r="AI19" s="393"/>
    </row>
    <row r="20" spans="1:35" hidden="1" x14ac:dyDescent="0.3">
      <c r="A20" s="154">
        <v>45217</v>
      </c>
      <c r="B20" s="189">
        <v>19</v>
      </c>
      <c r="C20" s="253" t="s">
        <v>549</v>
      </c>
      <c r="D20" s="99" t="s">
        <v>552</v>
      </c>
      <c r="E20" s="110" t="s">
        <v>588</v>
      </c>
      <c r="F20" s="110" t="s">
        <v>584</v>
      </c>
      <c r="G20" s="110" t="s">
        <v>563</v>
      </c>
      <c r="H20" s="132" t="s">
        <v>23</v>
      </c>
      <c r="I20" s="110" t="s">
        <v>517</v>
      </c>
      <c r="J20" s="123" t="s">
        <v>0</v>
      </c>
      <c r="K20" s="110" t="s">
        <v>531</v>
      </c>
      <c r="L20" s="110" t="s">
        <v>593</v>
      </c>
      <c r="M20" s="110" t="s">
        <v>532</v>
      </c>
      <c r="N20" s="110" t="s">
        <v>532</v>
      </c>
      <c r="O20" s="110" t="s">
        <v>570</v>
      </c>
      <c r="P20" s="110" t="s">
        <v>503</v>
      </c>
      <c r="Q20" s="110" t="s">
        <v>0</v>
      </c>
      <c r="R20" s="110" t="s">
        <v>519</v>
      </c>
      <c r="S20" s="165">
        <v>100</v>
      </c>
      <c r="T20" s="165" t="s">
        <v>0</v>
      </c>
      <c r="U20" s="110" t="s">
        <v>577</v>
      </c>
      <c r="V20" s="360">
        <v>2000000</v>
      </c>
      <c r="W20" s="208">
        <v>218.18398384348779</v>
      </c>
      <c r="X20" s="165">
        <v>50</v>
      </c>
      <c r="Y20" s="165">
        <v>2</v>
      </c>
      <c r="Z20" s="208">
        <v>1.4836510901357171E-4</v>
      </c>
      <c r="AA20" s="208">
        <v>3.7091277253392925E-3</v>
      </c>
      <c r="AB20" s="208">
        <v>1.5181702024792291E-4</v>
      </c>
      <c r="AC20" s="208">
        <v>33.020899999999997</v>
      </c>
      <c r="AD20" s="208">
        <v>1.5589200000000001</v>
      </c>
      <c r="AE20" s="270">
        <v>0.90003999999999995</v>
      </c>
      <c r="AF20" s="208">
        <v>204.22488262010521</v>
      </c>
      <c r="AG20" s="137">
        <v>5105.62206550263</v>
      </c>
      <c r="AH20" s="110"/>
      <c r="AI20" s="393"/>
    </row>
    <row r="21" spans="1:35" ht="15.75" hidden="1" customHeight="1" thickBot="1" x14ac:dyDescent="0.35">
      <c r="A21" s="261">
        <v>45217</v>
      </c>
      <c r="B21" s="190">
        <v>20</v>
      </c>
      <c r="C21" s="254" t="s">
        <v>549</v>
      </c>
      <c r="D21" s="255" t="s">
        <v>0</v>
      </c>
      <c r="E21" s="256" t="s">
        <v>0</v>
      </c>
      <c r="F21" s="256" t="s">
        <v>0</v>
      </c>
      <c r="G21" s="256" t="s">
        <v>563</v>
      </c>
      <c r="H21" s="326" t="s">
        <v>90</v>
      </c>
      <c r="I21" s="257" t="s">
        <v>521</v>
      </c>
      <c r="J21" s="258" t="s">
        <v>0</v>
      </c>
      <c r="K21" s="256" t="s">
        <v>531</v>
      </c>
      <c r="L21" s="256" t="s">
        <v>521</v>
      </c>
      <c r="M21" s="257" t="s">
        <v>532</v>
      </c>
      <c r="N21" s="257" t="s">
        <v>532</v>
      </c>
      <c r="O21" s="257" t="s">
        <v>570</v>
      </c>
      <c r="P21" s="257" t="s">
        <v>573</v>
      </c>
      <c r="Q21" s="257" t="s">
        <v>0</v>
      </c>
      <c r="R21" s="111" t="s">
        <v>0</v>
      </c>
      <c r="S21" s="180">
        <v>100</v>
      </c>
      <c r="T21" s="169" t="s">
        <v>0</v>
      </c>
      <c r="U21" s="257" t="s">
        <v>0</v>
      </c>
      <c r="V21" s="169" t="s">
        <v>0</v>
      </c>
      <c r="W21" s="211">
        <v>22.591423972423808</v>
      </c>
      <c r="X21" s="169">
        <v>50</v>
      </c>
      <c r="Y21" s="205">
        <v>2</v>
      </c>
      <c r="Z21" s="211">
        <v>1.5362168301248188E-5</v>
      </c>
      <c r="AA21" s="267">
        <v>3.8405420753120472E-4</v>
      </c>
      <c r="AB21" s="211">
        <v>1.7914258320646805E-6</v>
      </c>
      <c r="AC21" s="259">
        <v>36.139451721992749</v>
      </c>
      <c r="AD21" s="259">
        <v>0.18274271451387755</v>
      </c>
      <c r="AE21" s="278">
        <v>0.10550655541703015</v>
      </c>
      <c r="AF21" s="211">
        <v>21.146056771513067</v>
      </c>
      <c r="AG21" s="376">
        <v>528.65141928782668</v>
      </c>
      <c r="AH21" s="111">
        <v>2</v>
      </c>
      <c r="AI21" s="405" t="s">
        <v>620</v>
      </c>
    </row>
    <row r="22" spans="1:35" hidden="1" x14ac:dyDescent="0.3">
      <c r="A22" s="144">
        <v>45222</v>
      </c>
      <c r="B22" s="188">
        <v>21</v>
      </c>
      <c r="C22" s="87" t="s">
        <v>548</v>
      </c>
      <c r="D22" s="76" t="s">
        <v>552</v>
      </c>
      <c r="E22" s="75" t="s">
        <v>588</v>
      </c>
      <c r="F22" s="75" t="s">
        <v>584</v>
      </c>
      <c r="G22" s="89" t="s">
        <v>563</v>
      </c>
      <c r="H22" s="131" t="s">
        <v>24</v>
      </c>
      <c r="I22" s="89" t="s">
        <v>527</v>
      </c>
      <c r="J22" s="45" t="s">
        <v>550</v>
      </c>
      <c r="K22" s="117" t="s">
        <v>532</v>
      </c>
      <c r="L22" s="88" t="s">
        <v>608</v>
      </c>
      <c r="M22" s="206" t="s">
        <v>531</v>
      </c>
      <c r="N22" s="89" t="s">
        <v>532</v>
      </c>
      <c r="O22" s="89" t="s">
        <v>570</v>
      </c>
      <c r="P22" s="89" t="s">
        <v>573</v>
      </c>
      <c r="Q22" s="136" t="s">
        <v>0</v>
      </c>
      <c r="R22" s="117" t="s">
        <v>519</v>
      </c>
      <c r="S22" s="321">
        <v>100</v>
      </c>
      <c r="T22" s="164">
        <v>25</v>
      </c>
      <c r="U22" s="89" t="s">
        <v>576</v>
      </c>
      <c r="V22" s="359">
        <v>2000000</v>
      </c>
      <c r="W22" s="209">
        <v>284629.20000136463</v>
      </c>
      <c r="X22" s="227">
        <v>50</v>
      </c>
      <c r="Y22" s="194">
        <v>2</v>
      </c>
      <c r="Z22" s="209">
        <v>0.19354785600092794</v>
      </c>
      <c r="AA22" s="265">
        <v>4.8386964000231982</v>
      </c>
      <c r="AB22" s="209">
        <v>3.3274282941843105E-3</v>
      </c>
      <c r="AC22" s="201">
        <v>20.158347567321517</v>
      </c>
      <c r="AD22" s="201">
        <v>2.7607819241895357E-2</v>
      </c>
      <c r="AE22" s="265">
        <v>1.5939381871046814E-2</v>
      </c>
      <c r="AF22" s="209">
        <v>266419.02827400464</v>
      </c>
      <c r="AG22" s="206">
        <v>6660475.7068501152</v>
      </c>
      <c r="AH22" s="117" t="s">
        <v>644</v>
      </c>
      <c r="AI22" s="404" t="s">
        <v>635</v>
      </c>
    </row>
    <row r="23" spans="1:35" hidden="1" x14ac:dyDescent="0.3">
      <c r="A23" s="145">
        <v>45222</v>
      </c>
      <c r="B23" s="189">
        <v>22</v>
      </c>
      <c r="C23" s="80" t="s">
        <v>548</v>
      </c>
      <c r="D23" s="10" t="s">
        <v>552</v>
      </c>
      <c r="E23" s="2" t="s">
        <v>588</v>
      </c>
      <c r="F23" s="2" t="s">
        <v>584</v>
      </c>
      <c r="G23" s="67" t="s">
        <v>563</v>
      </c>
      <c r="H23" s="14" t="s">
        <v>25</v>
      </c>
      <c r="I23" s="67" t="s">
        <v>527</v>
      </c>
      <c r="J23" s="15" t="s">
        <v>550</v>
      </c>
      <c r="K23" s="110" t="s">
        <v>532</v>
      </c>
      <c r="L23" s="65" t="s">
        <v>608</v>
      </c>
      <c r="M23" s="106" t="s">
        <v>531</v>
      </c>
      <c r="N23" s="67" t="s">
        <v>532</v>
      </c>
      <c r="O23" s="67" t="s">
        <v>570</v>
      </c>
      <c r="P23" s="67" t="s">
        <v>574</v>
      </c>
      <c r="Q23" s="137" t="s">
        <v>0</v>
      </c>
      <c r="R23" s="110" t="s">
        <v>519</v>
      </c>
      <c r="S23" s="177">
        <v>100</v>
      </c>
      <c r="T23" s="165">
        <v>25</v>
      </c>
      <c r="U23" s="67" t="s">
        <v>576</v>
      </c>
      <c r="V23" s="360">
        <v>2000000</v>
      </c>
      <c r="W23" s="208">
        <v>263334.51984218461</v>
      </c>
      <c r="X23" s="228">
        <v>50</v>
      </c>
      <c r="Y23" s="195">
        <v>2</v>
      </c>
      <c r="Z23" s="208">
        <v>0.17906747349268554</v>
      </c>
      <c r="AA23" s="265">
        <v>4.4766868373171382</v>
      </c>
      <c r="AB23" s="208">
        <v>2.2777094256651854E-2</v>
      </c>
      <c r="AC23" s="201">
        <v>20.292154943079215</v>
      </c>
      <c r="AD23" s="201">
        <v>0.20621897732700997</v>
      </c>
      <c r="AE23" s="265">
        <v>0.11906058207175854</v>
      </c>
      <c r="AF23" s="208">
        <v>246486.75148937647</v>
      </c>
      <c r="AG23" s="206">
        <v>6162168.7872344125</v>
      </c>
      <c r="AH23" s="110" t="s">
        <v>644</v>
      </c>
      <c r="AI23" s="393" t="s">
        <v>635</v>
      </c>
    </row>
    <row r="24" spans="1:35" hidden="1" x14ac:dyDescent="0.3">
      <c r="A24" s="145">
        <v>45222</v>
      </c>
      <c r="B24" s="189">
        <v>23</v>
      </c>
      <c r="C24" s="80" t="s">
        <v>548</v>
      </c>
      <c r="D24" s="10" t="s">
        <v>552</v>
      </c>
      <c r="E24" s="2" t="s">
        <v>588</v>
      </c>
      <c r="F24" s="2" t="s">
        <v>584</v>
      </c>
      <c r="G24" s="67" t="s">
        <v>563</v>
      </c>
      <c r="H24" s="14" t="s">
        <v>26</v>
      </c>
      <c r="I24" s="67" t="s">
        <v>527</v>
      </c>
      <c r="J24" s="15" t="s">
        <v>550</v>
      </c>
      <c r="K24" s="110" t="s">
        <v>532</v>
      </c>
      <c r="L24" s="65" t="s">
        <v>608</v>
      </c>
      <c r="M24" s="106" t="s">
        <v>531</v>
      </c>
      <c r="N24" s="67" t="s">
        <v>532</v>
      </c>
      <c r="O24" s="67" t="s">
        <v>570</v>
      </c>
      <c r="P24" s="67" t="s">
        <v>503</v>
      </c>
      <c r="Q24" s="137" t="s">
        <v>0</v>
      </c>
      <c r="R24" s="110" t="s">
        <v>519</v>
      </c>
      <c r="S24" s="177">
        <v>100</v>
      </c>
      <c r="T24" s="165">
        <v>25</v>
      </c>
      <c r="U24" s="67" t="s">
        <v>576</v>
      </c>
      <c r="V24" s="360">
        <v>2000000</v>
      </c>
      <c r="W24" s="208">
        <v>323037.29988083459</v>
      </c>
      <c r="X24" s="228">
        <v>50</v>
      </c>
      <c r="Y24" s="195">
        <v>2</v>
      </c>
      <c r="Z24" s="208">
        <v>0.21966536391896754</v>
      </c>
      <c r="AA24" s="265">
        <v>5.4916340979741882</v>
      </c>
      <c r="AB24" s="208">
        <v>2.0638970318389478E-2</v>
      </c>
      <c r="AC24" s="201">
        <v>19.959052519231939</v>
      </c>
      <c r="AD24" s="201">
        <v>0.14952584056724513</v>
      </c>
      <c r="AE24" s="265">
        <v>8.6328784302304049E-2</v>
      </c>
      <c r="AF24" s="208">
        <v>302369.8325052298</v>
      </c>
      <c r="AG24" s="206">
        <v>7559245.8126307447</v>
      </c>
      <c r="AH24" s="110" t="s">
        <v>644</v>
      </c>
      <c r="AI24" s="393" t="s">
        <v>635</v>
      </c>
    </row>
    <row r="25" spans="1:35" hidden="1" x14ac:dyDescent="0.3">
      <c r="A25" s="145">
        <v>45222</v>
      </c>
      <c r="B25" s="189">
        <v>24</v>
      </c>
      <c r="C25" s="80" t="s">
        <v>548</v>
      </c>
      <c r="D25" s="10" t="s">
        <v>552</v>
      </c>
      <c r="E25" s="2" t="s">
        <v>588</v>
      </c>
      <c r="F25" s="2" t="s">
        <v>584</v>
      </c>
      <c r="G25" s="67" t="s">
        <v>563</v>
      </c>
      <c r="H25" s="14" t="s">
        <v>27</v>
      </c>
      <c r="I25" s="67" t="s">
        <v>527</v>
      </c>
      <c r="J25" s="15" t="s">
        <v>550</v>
      </c>
      <c r="K25" s="110" t="s">
        <v>532</v>
      </c>
      <c r="L25" s="65" t="s">
        <v>608</v>
      </c>
      <c r="M25" s="106" t="s">
        <v>531</v>
      </c>
      <c r="N25" s="67" t="s">
        <v>532</v>
      </c>
      <c r="O25" s="67" t="s">
        <v>570</v>
      </c>
      <c r="P25" s="67" t="s">
        <v>575</v>
      </c>
      <c r="Q25" s="137" t="s">
        <v>0</v>
      </c>
      <c r="R25" s="110" t="s">
        <v>519</v>
      </c>
      <c r="S25" s="177">
        <v>100</v>
      </c>
      <c r="T25" s="165">
        <v>25</v>
      </c>
      <c r="U25" s="67" t="s">
        <v>576</v>
      </c>
      <c r="V25" s="360">
        <v>2000000</v>
      </c>
      <c r="W25" s="208">
        <v>768163.71966975974</v>
      </c>
      <c r="X25" s="228">
        <v>50</v>
      </c>
      <c r="Y25" s="195">
        <v>2</v>
      </c>
      <c r="Z25" s="208">
        <v>0.5223513293754366</v>
      </c>
      <c r="AA25" s="265">
        <v>13.058783234385915</v>
      </c>
      <c r="AB25" s="208">
        <v>1.8721171554793227E-2</v>
      </c>
      <c r="AC25" s="201">
        <v>18.560379402684973</v>
      </c>
      <c r="AD25" s="201">
        <v>5.7273242894652458E-2</v>
      </c>
      <c r="AE25" s="265">
        <v>3.3066722202590416E-2</v>
      </c>
      <c r="AF25" s="208">
        <v>719017.69652861019</v>
      </c>
      <c r="AG25" s="206">
        <v>17975442.41321525</v>
      </c>
      <c r="AH25" s="110" t="s">
        <v>644</v>
      </c>
      <c r="AI25" s="393" t="s">
        <v>635</v>
      </c>
    </row>
    <row r="26" spans="1:35" hidden="1" x14ac:dyDescent="0.3">
      <c r="A26" s="145">
        <v>45222</v>
      </c>
      <c r="B26" s="189">
        <v>25</v>
      </c>
      <c r="C26" s="80" t="s">
        <v>548</v>
      </c>
      <c r="D26" s="10" t="s">
        <v>552</v>
      </c>
      <c r="E26" s="2" t="s">
        <v>588</v>
      </c>
      <c r="F26" s="2" t="s">
        <v>584</v>
      </c>
      <c r="G26" s="67" t="s">
        <v>563</v>
      </c>
      <c r="H26" s="14" t="s">
        <v>28</v>
      </c>
      <c r="I26" s="67" t="s">
        <v>527</v>
      </c>
      <c r="J26" s="12" t="s">
        <v>551</v>
      </c>
      <c r="K26" s="110" t="s">
        <v>532</v>
      </c>
      <c r="L26" s="65" t="s">
        <v>608</v>
      </c>
      <c r="M26" s="106" t="s">
        <v>531</v>
      </c>
      <c r="N26" s="67" t="s">
        <v>532</v>
      </c>
      <c r="O26" s="67" t="s">
        <v>570</v>
      </c>
      <c r="P26" s="67" t="s">
        <v>573</v>
      </c>
      <c r="Q26" s="137" t="s">
        <v>0</v>
      </c>
      <c r="R26" s="110" t="s">
        <v>519</v>
      </c>
      <c r="S26" s="177">
        <v>100</v>
      </c>
      <c r="T26" s="165">
        <v>25</v>
      </c>
      <c r="U26" s="67" t="s">
        <v>576</v>
      </c>
      <c r="V26" s="360">
        <v>2000000</v>
      </c>
      <c r="W26" s="208">
        <v>229265.43535652358</v>
      </c>
      <c r="X26" s="228">
        <v>50</v>
      </c>
      <c r="Y26" s="195">
        <v>2</v>
      </c>
      <c r="Z26" s="208">
        <v>0.15590049604243603</v>
      </c>
      <c r="AA26" s="265">
        <v>3.8975124010609008</v>
      </c>
      <c r="AB26" s="208">
        <v>1.6448363376170814E-2</v>
      </c>
      <c r="AC26" s="201">
        <v>20.5122</v>
      </c>
      <c r="AD26" s="201">
        <v>0.16531000000000001</v>
      </c>
      <c r="AE26" s="265">
        <v>9.5439999999999997E-2</v>
      </c>
      <c r="AF26" s="208">
        <v>214597.35861327226</v>
      </c>
      <c r="AG26" s="206">
        <v>5364933.9653318059</v>
      </c>
      <c r="AH26" s="110" t="s">
        <v>644</v>
      </c>
      <c r="AI26" s="393" t="s">
        <v>636</v>
      </c>
    </row>
    <row r="27" spans="1:35" hidden="1" x14ac:dyDescent="0.3">
      <c r="A27" s="145">
        <v>45222</v>
      </c>
      <c r="B27" s="189">
        <v>26</v>
      </c>
      <c r="C27" s="80" t="s">
        <v>548</v>
      </c>
      <c r="D27" s="10" t="s">
        <v>552</v>
      </c>
      <c r="E27" s="2" t="s">
        <v>588</v>
      </c>
      <c r="F27" s="2" t="s">
        <v>584</v>
      </c>
      <c r="G27" s="67" t="s">
        <v>563</v>
      </c>
      <c r="H27" s="14" t="s">
        <v>29</v>
      </c>
      <c r="I27" s="67" t="s">
        <v>527</v>
      </c>
      <c r="J27" s="12" t="s">
        <v>551</v>
      </c>
      <c r="K27" s="110" t="s">
        <v>532</v>
      </c>
      <c r="L27" s="65" t="s">
        <v>608</v>
      </c>
      <c r="M27" s="106" t="s">
        <v>531</v>
      </c>
      <c r="N27" s="67" t="s">
        <v>532</v>
      </c>
      <c r="O27" s="67" t="s">
        <v>570</v>
      </c>
      <c r="P27" s="67" t="s">
        <v>574</v>
      </c>
      <c r="Q27" s="137" t="s">
        <v>0</v>
      </c>
      <c r="R27" s="110" t="s">
        <v>519</v>
      </c>
      <c r="S27" s="177">
        <v>100</v>
      </c>
      <c r="T27" s="165">
        <v>25</v>
      </c>
      <c r="U27" s="67" t="s">
        <v>576</v>
      </c>
      <c r="V27" s="360">
        <v>2000000</v>
      </c>
      <c r="W27" s="208">
        <v>277594.48323591775</v>
      </c>
      <c r="X27" s="228">
        <v>50</v>
      </c>
      <c r="Y27" s="195">
        <v>2</v>
      </c>
      <c r="Z27" s="208">
        <v>0.18876424860042404</v>
      </c>
      <c r="AA27" s="265">
        <v>4.7191062150106013</v>
      </c>
      <c r="AB27" s="208">
        <v>8.4280737830308358E-3</v>
      </c>
      <c r="AC27" s="201">
        <v>20.1996</v>
      </c>
      <c r="AD27" s="201">
        <v>7.1830000000000005E-2</v>
      </c>
      <c r="AE27" s="265">
        <v>4.147E-2</v>
      </c>
      <c r="AF27" s="208">
        <v>259834.3826901213</v>
      </c>
      <c r="AG27" s="206">
        <v>6495859.5672530336</v>
      </c>
      <c r="AH27" s="110" t="s">
        <v>644</v>
      </c>
      <c r="AI27" s="393" t="s">
        <v>636</v>
      </c>
    </row>
    <row r="28" spans="1:35" hidden="1" x14ac:dyDescent="0.3">
      <c r="A28" s="145">
        <v>45222</v>
      </c>
      <c r="B28" s="188">
        <v>27</v>
      </c>
      <c r="C28" s="80" t="s">
        <v>548</v>
      </c>
      <c r="D28" s="10" t="s">
        <v>552</v>
      </c>
      <c r="E28" s="2" t="s">
        <v>588</v>
      </c>
      <c r="F28" s="2" t="s">
        <v>584</v>
      </c>
      <c r="G28" s="67" t="s">
        <v>563</v>
      </c>
      <c r="H28" s="14" t="s">
        <v>30</v>
      </c>
      <c r="I28" s="67" t="s">
        <v>527</v>
      </c>
      <c r="J28" s="12" t="s">
        <v>551</v>
      </c>
      <c r="K28" s="110" t="s">
        <v>532</v>
      </c>
      <c r="L28" s="65" t="s">
        <v>608</v>
      </c>
      <c r="M28" s="106" t="s">
        <v>531</v>
      </c>
      <c r="N28" s="67" t="s">
        <v>532</v>
      </c>
      <c r="O28" s="67" t="s">
        <v>570</v>
      </c>
      <c r="P28" s="67" t="s">
        <v>503</v>
      </c>
      <c r="Q28" s="137" t="s">
        <v>0</v>
      </c>
      <c r="R28" s="110" t="s">
        <v>519</v>
      </c>
      <c r="S28" s="177">
        <v>100</v>
      </c>
      <c r="T28" s="165">
        <v>25</v>
      </c>
      <c r="U28" s="67" t="s">
        <v>576</v>
      </c>
      <c r="V28" s="360">
        <v>2000000</v>
      </c>
      <c r="W28" s="208">
        <v>203077.68238190887</v>
      </c>
      <c r="X28" s="228">
        <v>50</v>
      </c>
      <c r="Y28" s="195">
        <v>2</v>
      </c>
      <c r="Z28" s="208">
        <v>0.13809282401969802</v>
      </c>
      <c r="AA28" s="265">
        <v>3.4523206004924507</v>
      </c>
      <c r="AB28" s="208">
        <v>6.563685345410122E-3</v>
      </c>
      <c r="AC28" s="201">
        <v>20.7029</v>
      </c>
      <c r="AD28" s="201">
        <v>7.5550000000000006E-2</v>
      </c>
      <c r="AE28" s="265">
        <v>4.3619999999999999E-2</v>
      </c>
      <c r="AF28" s="208">
        <v>190085.06085835784</v>
      </c>
      <c r="AG28" s="206">
        <v>4752126.5214589462</v>
      </c>
      <c r="AH28" s="110" t="s">
        <v>644</v>
      </c>
      <c r="AI28" s="393" t="s">
        <v>636</v>
      </c>
    </row>
    <row r="29" spans="1:35" hidden="1" x14ac:dyDescent="0.3">
      <c r="A29" s="145">
        <v>45222</v>
      </c>
      <c r="B29" s="189">
        <v>28</v>
      </c>
      <c r="C29" s="80" t="s">
        <v>548</v>
      </c>
      <c r="D29" s="10" t="s">
        <v>552</v>
      </c>
      <c r="E29" s="2" t="s">
        <v>588</v>
      </c>
      <c r="F29" s="2" t="s">
        <v>584</v>
      </c>
      <c r="G29" s="67" t="s">
        <v>563</v>
      </c>
      <c r="H29" s="14" t="s">
        <v>31</v>
      </c>
      <c r="I29" s="67" t="s">
        <v>527</v>
      </c>
      <c r="J29" s="12" t="s">
        <v>551</v>
      </c>
      <c r="K29" s="110" t="s">
        <v>532</v>
      </c>
      <c r="L29" s="65" t="s">
        <v>608</v>
      </c>
      <c r="M29" s="106" t="s">
        <v>531</v>
      </c>
      <c r="N29" s="67" t="s">
        <v>532</v>
      </c>
      <c r="O29" s="67" t="s">
        <v>570</v>
      </c>
      <c r="P29" s="67" t="s">
        <v>575</v>
      </c>
      <c r="Q29" s="137" t="s">
        <v>0</v>
      </c>
      <c r="R29" s="110" t="s">
        <v>519</v>
      </c>
      <c r="S29" s="177">
        <v>100</v>
      </c>
      <c r="T29" s="165">
        <v>25</v>
      </c>
      <c r="U29" s="67" t="s">
        <v>576</v>
      </c>
      <c r="V29" s="360">
        <v>2000000</v>
      </c>
      <c r="W29" s="208">
        <v>913707.41983643349</v>
      </c>
      <c r="X29" s="228">
        <v>50</v>
      </c>
      <c r="Y29" s="195">
        <v>2</v>
      </c>
      <c r="Z29" s="208">
        <v>0.62132104548877476</v>
      </c>
      <c r="AA29" s="265">
        <v>15.53302613721937</v>
      </c>
      <c r="AB29" s="208">
        <v>1.6878018849986041E-2</v>
      </c>
      <c r="AC29" s="201">
        <v>18.2807</v>
      </c>
      <c r="AD29" s="201">
        <v>4.3569999999999998E-2</v>
      </c>
      <c r="AE29" s="265">
        <v>2.5159999999999998E-2</v>
      </c>
      <c r="AF29" s="208">
        <v>855249.71759188257</v>
      </c>
      <c r="AG29" s="206">
        <v>21381242.939797066</v>
      </c>
      <c r="AH29" s="110" t="s">
        <v>644</v>
      </c>
      <c r="AI29" s="393" t="s">
        <v>636</v>
      </c>
    </row>
    <row r="30" spans="1:35" hidden="1" x14ac:dyDescent="0.3">
      <c r="A30" s="145">
        <v>45222</v>
      </c>
      <c r="B30" s="189">
        <v>29</v>
      </c>
      <c r="C30" s="80" t="s">
        <v>548</v>
      </c>
      <c r="D30" s="10" t="s">
        <v>552</v>
      </c>
      <c r="E30" s="2" t="s">
        <v>588</v>
      </c>
      <c r="F30" s="2" t="s">
        <v>584</v>
      </c>
      <c r="G30" s="67" t="s">
        <v>563</v>
      </c>
      <c r="H30" s="14" t="s">
        <v>32</v>
      </c>
      <c r="I30" s="67" t="s">
        <v>523</v>
      </c>
      <c r="J30" s="15" t="s">
        <v>550</v>
      </c>
      <c r="K30" s="110" t="s">
        <v>531</v>
      </c>
      <c r="L30" s="65" t="s">
        <v>607</v>
      </c>
      <c r="M30" s="106" t="s">
        <v>531</v>
      </c>
      <c r="N30" s="67" t="s">
        <v>532</v>
      </c>
      <c r="O30" s="67" t="s">
        <v>570</v>
      </c>
      <c r="P30" s="67" t="s">
        <v>573</v>
      </c>
      <c r="Q30" s="137" t="s">
        <v>0</v>
      </c>
      <c r="R30" s="110" t="s">
        <v>519</v>
      </c>
      <c r="S30" s="177">
        <v>100</v>
      </c>
      <c r="T30" s="165">
        <v>25</v>
      </c>
      <c r="U30" s="67" t="s">
        <v>0</v>
      </c>
      <c r="V30" s="165" t="s">
        <v>0</v>
      </c>
      <c r="W30" s="208">
        <v>8.2434053938068743</v>
      </c>
      <c r="X30" s="228">
        <v>50</v>
      </c>
      <c r="Y30" s="195">
        <v>2</v>
      </c>
      <c r="Z30" s="208">
        <v>5.6055156677886734E-6</v>
      </c>
      <c r="AA30" s="265">
        <v>1.4013789169471685E-4</v>
      </c>
      <c r="AB30" s="208">
        <v>2.5761058094395419E-7</v>
      </c>
      <c r="AC30" s="201">
        <v>36.983710807088521</v>
      </c>
      <c r="AD30" s="201">
        <v>7.4957560220787117E-2</v>
      </c>
      <c r="AE30" s="265">
        <v>4.3276767571269026E-2</v>
      </c>
      <c r="AF30" s="208">
        <v>7.7160040314773948</v>
      </c>
      <c r="AG30" s="206">
        <v>192.90010078693487</v>
      </c>
      <c r="AH30" s="110">
        <v>2</v>
      </c>
      <c r="AI30" s="393" t="s">
        <v>613</v>
      </c>
    </row>
    <row r="31" spans="1:35" hidden="1" x14ac:dyDescent="0.3">
      <c r="A31" s="145">
        <v>45222</v>
      </c>
      <c r="B31" s="189">
        <v>30</v>
      </c>
      <c r="C31" s="80" t="s">
        <v>548</v>
      </c>
      <c r="D31" s="10" t="s">
        <v>552</v>
      </c>
      <c r="E31" s="2" t="s">
        <v>588</v>
      </c>
      <c r="F31" s="2" t="s">
        <v>584</v>
      </c>
      <c r="G31" s="67" t="s">
        <v>563</v>
      </c>
      <c r="H31" s="14" t="s">
        <v>33</v>
      </c>
      <c r="I31" s="67" t="s">
        <v>523</v>
      </c>
      <c r="J31" s="113" t="s">
        <v>551</v>
      </c>
      <c r="K31" s="110" t="s">
        <v>531</v>
      </c>
      <c r="L31" s="65" t="s">
        <v>607</v>
      </c>
      <c r="M31" s="106" t="s">
        <v>531</v>
      </c>
      <c r="N31" s="67" t="s">
        <v>532</v>
      </c>
      <c r="O31" s="67" t="s">
        <v>570</v>
      </c>
      <c r="P31" s="67" t="s">
        <v>573</v>
      </c>
      <c r="Q31" s="137" t="s">
        <v>0</v>
      </c>
      <c r="R31" s="110" t="s">
        <v>519</v>
      </c>
      <c r="S31" s="177">
        <v>100</v>
      </c>
      <c r="T31" s="165">
        <v>25</v>
      </c>
      <c r="U31" s="67" t="s">
        <v>0</v>
      </c>
      <c r="V31" s="165" t="s">
        <v>0</v>
      </c>
      <c r="W31" s="208">
        <v>11.822121961141168</v>
      </c>
      <c r="X31" s="165">
        <v>50</v>
      </c>
      <c r="Y31" s="195">
        <v>2</v>
      </c>
      <c r="Z31" s="208">
        <v>8.0390429335759945E-6</v>
      </c>
      <c r="AA31" s="265">
        <v>2.0097607333939986E-4</v>
      </c>
      <c r="AB31" s="208">
        <v>3.4177405424943045E-6</v>
      </c>
      <c r="AC31" s="201">
        <v>36.503784331858235</v>
      </c>
      <c r="AD31" s="201">
        <v>0.70957429555570473</v>
      </c>
      <c r="AE31" s="265">
        <v>0.40967291054912525</v>
      </c>
      <c r="AF31" s="208">
        <v>11.065759398575054</v>
      </c>
      <c r="AG31" s="206">
        <v>276.64398496437639</v>
      </c>
      <c r="AH31" s="110">
        <v>2</v>
      </c>
      <c r="AI31" s="393" t="s">
        <v>612</v>
      </c>
    </row>
    <row r="32" spans="1:35" hidden="1" x14ac:dyDescent="0.3">
      <c r="A32" s="145">
        <v>45222</v>
      </c>
      <c r="B32" s="189">
        <v>31</v>
      </c>
      <c r="C32" s="80" t="s">
        <v>548</v>
      </c>
      <c r="D32" s="10" t="s">
        <v>552</v>
      </c>
      <c r="E32" s="2" t="s">
        <v>588</v>
      </c>
      <c r="F32" s="2" t="s">
        <v>584</v>
      </c>
      <c r="G32" s="67" t="s">
        <v>563</v>
      </c>
      <c r="H32" s="14" t="s">
        <v>34</v>
      </c>
      <c r="I32" s="67" t="s">
        <v>522</v>
      </c>
      <c r="J32" s="114" t="s">
        <v>550</v>
      </c>
      <c r="K32" s="110" t="s">
        <v>531</v>
      </c>
      <c r="L32" s="65" t="s">
        <v>606</v>
      </c>
      <c r="M32" s="106" t="s">
        <v>531</v>
      </c>
      <c r="N32" s="67" t="s">
        <v>532</v>
      </c>
      <c r="O32" s="67" t="s">
        <v>570</v>
      </c>
      <c r="P32" s="67" t="s">
        <v>573</v>
      </c>
      <c r="Q32" s="137" t="s">
        <v>0</v>
      </c>
      <c r="R32" s="110" t="s">
        <v>519</v>
      </c>
      <c r="S32" s="177">
        <v>100</v>
      </c>
      <c r="T32" s="165">
        <v>25</v>
      </c>
      <c r="U32" s="67" t="s">
        <v>0</v>
      </c>
      <c r="V32" s="165" t="s">
        <v>0</v>
      </c>
      <c r="W32" s="208">
        <v>11.426602854727777</v>
      </c>
      <c r="X32" s="165">
        <v>50</v>
      </c>
      <c r="Y32" s="195">
        <v>2</v>
      </c>
      <c r="Z32" s="208">
        <v>7.7700899412148882E-6</v>
      </c>
      <c r="AA32" s="265">
        <v>1.9425224853037221E-4</v>
      </c>
      <c r="AB32" s="208">
        <v>1.7153191574087585E-6</v>
      </c>
      <c r="AC32" s="201">
        <v>36.483699999999999</v>
      </c>
      <c r="AD32" s="201">
        <v>0.36309000000000002</v>
      </c>
      <c r="AE32" s="265">
        <v>0.20963000000000001</v>
      </c>
      <c r="AF32" s="208">
        <v>10.695545042514773</v>
      </c>
      <c r="AG32" s="206">
        <v>267.38862606286932</v>
      </c>
      <c r="AH32" s="110">
        <v>2</v>
      </c>
      <c r="AI32" s="393" t="s">
        <v>615</v>
      </c>
    </row>
    <row r="33" spans="1:35" hidden="1" x14ac:dyDescent="0.3">
      <c r="A33" s="145">
        <v>45222</v>
      </c>
      <c r="B33" s="189">
        <v>32</v>
      </c>
      <c r="C33" s="80" t="s">
        <v>548</v>
      </c>
      <c r="D33" s="10" t="s">
        <v>552</v>
      </c>
      <c r="E33" s="2" t="s">
        <v>588</v>
      </c>
      <c r="F33" s="2" t="s">
        <v>584</v>
      </c>
      <c r="G33" s="67" t="s">
        <v>563</v>
      </c>
      <c r="H33" s="14" t="s">
        <v>35</v>
      </c>
      <c r="I33" s="67" t="s">
        <v>522</v>
      </c>
      <c r="J33" s="12" t="s">
        <v>551</v>
      </c>
      <c r="K33" s="110" t="s">
        <v>531</v>
      </c>
      <c r="L33" s="65" t="s">
        <v>606</v>
      </c>
      <c r="M33" s="106" t="s">
        <v>531</v>
      </c>
      <c r="N33" s="67" t="s">
        <v>532</v>
      </c>
      <c r="O33" s="67" t="s">
        <v>570</v>
      </c>
      <c r="P33" s="67" t="s">
        <v>573</v>
      </c>
      <c r="Q33" s="137" t="s">
        <v>0</v>
      </c>
      <c r="R33" s="110" t="s">
        <v>519</v>
      </c>
      <c r="S33" s="177">
        <v>100</v>
      </c>
      <c r="T33" s="165">
        <v>25</v>
      </c>
      <c r="U33" s="67" t="s">
        <v>0</v>
      </c>
      <c r="V33" s="165" t="s">
        <v>0</v>
      </c>
      <c r="W33" s="208">
        <v>4.8970126237816345</v>
      </c>
      <c r="X33" s="165">
        <v>50</v>
      </c>
      <c r="Y33" s="195">
        <v>2</v>
      </c>
      <c r="Z33" s="208">
        <v>3.3299685841715113E-6</v>
      </c>
      <c r="AA33" s="265">
        <v>8.3249214604287779E-5</v>
      </c>
      <c r="AB33" s="208">
        <v>1.9404407880977707E-6</v>
      </c>
      <c r="AC33" s="201">
        <v>38.016334865088254</v>
      </c>
      <c r="AD33" s="201">
        <v>0.98836010536264152</v>
      </c>
      <c r="AE33" s="265">
        <v>0.57062997288740802</v>
      </c>
      <c r="AF33" s="208">
        <v>4.5837087152940796</v>
      </c>
      <c r="AG33" s="206">
        <v>114.59271788235199</v>
      </c>
      <c r="AH33" s="110">
        <v>2</v>
      </c>
      <c r="AI33" s="393" t="s">
        <v>616</v>
      </c>
    </row>
    <row r="34" spans="1:35" hidden="1" x14ac:dyDescent="0.3">
      <c r="A34" s="145">
        <v>45222</v>
      </c>
      <c r="B34" s="189">
        <v>33</v>
      </c>
      <c r="C34" s="80" t="s">
        <v>548</v>
      </c>
      <c r="D34" s="10" t="s">
        <v>552</v>
      </c>
      <c r="E34" s="2" t="s">
        <v>588</v>
      </c>
      <c r="F34" s="2" t="s">
        <v>584</v>
      </c>
      <c r="G34" s="67" t="s">
        <v>563</v>
      </c>
      <c r="H34" s="14" t="s">
        <v>36</v>
      </c>
      <c r="I34" s="2" t="s">
        <v>517</v>
      </c>
      <c r="J34" s="9" t="s">
        <v>0</v>
      </c>
      <c r="K34" s="110" t="s">
        <v>531</v>
      </c>
      <c r="L34" s="65" t="s">
        <v>593</v>
      </c>
      <c r="M34" s="106" t="s">
        <v>532</v>
      </c>
      <c r="N34" s="67" t="s">
        <v>532</v>
      </c>
      <c r="O34" s="67" t="s">
        <v>570</v>
      </c>
      <c r="P34" s="67" t="s">
        <v>573</v>
      </c>
      <c r="Q34" s="137" t="s">
        <v>0</v>
      </c>
      <c r="R34" s="110" t="s">
        <v>519</v>
      </c>
      <c r="S34" s="177">
        <v>100</v>
      </c>
      <c r="T34" s="165" t="s">
        <v>0</v>
      </c>
      <c r="U34" s="67" t="s">
        <v>576</v>
      </c>
      <c r="V34" s="360">
        <v>2000000</v>
      </c>
      <c r="W34" s="208">
        <v>4990312.6501470245</v>
      </c>
      <c r="X34" s="165">
        <v>50</v>
      </c>
      <c r="Y34" s="195">
        <v>2</v>
      </c>
      <c r="Z34" s="208">
        <v>3.3934126020999762</v>
      </c>
      <c r="AA34" s="265">
        <v>84.835315052499411</v>
      </c>
      <c r="AB34" s="208">
        <v>0.16009909071177778</v>
      </c>
      <c r="AC34" s="201">
        <v>15.548047423464567</v>
      </c>
      <c r="AD34" s="201">
        <v>7.5104563355715206E-2</v>
      </c>
      <c r="AE34" s="265">
        <v>4.3361639870791481E-2</v>
      </c>
      <c r="AF34" s="208">
        <v>4671039.5385619905</v>
      </c>
      <c r="AG34" s="206">
        <v>116775988.46404977</v>
      </c>
      <c r="AH34" s="110"/>
      <c r="AI34" s="393"/>
    </row>
    <row r="35" spans="1:35" hidden="1" x14ac:dyDescent="0.3">
      <c r="A35" s="145">
        <v>45222</v>
      </c>
      <c r="B35" s="189">
        <v>34</v>
      </c>
      <c r="C35" s="80" t="s">
        <v>548</v>
      </c>
      <c r="D35" s="10" t="s">
        <v>552</v>
      </c>
      <c r="E35" s="2" t="s">
        <v>588</v>
      </c>
      <c r="F35" s="2" t="s">
        <v>584</v>
      </c>
      <c r="G35" s="67" t="s">
        <v>563</v>
      </c>
      <c r="H35" s="14" t="s">
        <v>37</v>
      </c>
      <c r="I35" s="2" t="s">
        <v>517</v>
      </c>
      <c r="J35" s="9" t="s">
        <v>0</v>
      </c>
      <c r="K35" s="110" t="s">
        <v>531</v>
      </c>
      <c r="L35" s="65" t="s">
        <v>593</v>
      </c>
      <c r="M35" s="106" t="s">
        <v>532</v>
      </c>
      <c r="N35" s="67" t="s">
        <v>532</v>
      </c>
      <c r="O35" s="67" t="s">
        <v>570</v>
      </c>
      <c r="P35" s="67" t="s">
        <v>574</v>
      </c>
      <c r="Q35" s="137" t="s">
        <v>0</v>
      </c>
      <c r="R35" s="110" t="s">
        <v>519</v>
      </c>
      <c r="S35" s="177">
        <v>100</v>
      </c>
      <c r="T35" s="165" t="s">
        <v>0</v>
      </c>
      <c r="U35" s="67" t="s">
        <v>576</v>
      </c>
      <c r="V35" s="360">
        <v>2000000</v>
      </c>
      <c r="W35" s="208">
        <v>4171474.832236832</v>
      </c>
      <c r="X35" s="165">
        <v>50</v>
      </c>
      <c r="Y35" s="195">
        <v>2</v>
      </c>
      <c r="Z35" s="208">
        <v>2.8366028859210455</v>
      </c>
      <c r="AA35" s="265">
        <v>70.915072148026141</v>
      </c>
      <c r="AB35" s="208">
        <v>0.21507424941048939</v>
      </c>
      <c r="AC35" s="201">
        <v>15.838599324774099</v>
      </c>
      <c r="AD35" s="201">
        <v>0.12425597751784553</v>
      </c>
      <c r="AE35" s="265">
        <v>7.1739222068348207E-2</v>
      </c>
      <c r="AF35" s="208">
        <v>3904589.8005850236</v>
      </c>
      <c r="AG35" s="206">
        <v>97614745.014625579</v>
      </c>
      <c r="AH35" s="110"/>
      <c r="AI35" s="393"/>
    </row>
    <row r="36" spans="1:35" hidden="1" x14ac:dyDescent="0.3">
      <c r="A36" s="145">
        <v>45222</v>
      </c>
      <c r="B36" s="189">
        <v>35</v>
      </c>
      <c r="C36" s="34" t="s">
        <v>547</v>
      </c>
      <c r="D36" s="10" t="s">
        <v>552</v>
      </c>
      <c r="E36" s="2" t="s">
        <v>588</v>
      </c>
      <c r="F36" s="2" t="s">
        <v>584</v>
      </c>
      <c r="G36" s="67" t="s">
        <v>563</v>
      </c>
      <c r="H36" s="14" t="s">
        <v>38</v>
      </c>
      <c r="I36" s="67" t="s">
        <v>524</v>
      </c>
      <c r="J36" s="15" t="s">
        <v>550</v>
      </c>
      <c r="K36" s="110" t="s">
        <v>532</v>
      </c>
      <c r="L36" s="65" t="s">
        <v>608</v>
      </c>
      <c r="M36" s="106" t="s">
        <v>531</v>
      </c>
      <c r="N36" s="67" t="s">
        <v>532</v>
      </c>
      <c r="O36" s="67" t="s">
        <v>570</v>
      </c>
      <c r="P36" s="67" t="s">
        <v>573</v>
      </c>
      <c r="Q36" s="137" t="s">
        <v>0</v>
      </c>
      <c r="R36" s="110" t="s">
        <v>519</v>
      </c>
      <c r="S36" s="177">
        <v>100</v>
      </c>
      <c r="T36" s="165" t="s">
        <v>0</v>
      </c>
      <c r="U36" s="67" t="s">
        <v>576</v>
      </c>
      <c r="V36" s="360">
        <v>2000000</v>
      </c>
      <c r="W36" s="208">
        <v>1130341.335706061</v>
      </c>
      <c r="X36" s="165">
        <v>50</v>
      </c>
      <c r="Y36" s="195">
        <v>2</v>
      </c>
      <c r="Z36" s="208">
        <v>0.76863210828012141</v>
      </c>
      <c r="AA36" s="265">
        <v>19.215802707003036</v>
      </c>
      <c r="AB36" s="208">
        <v>0.112779630463028</v>
      </c>
      <c r="AC36" s="201">
        <v>17.950018339221224</v>
      </c>
      <c r="AD36" s="201">
        <v>0.24660559659669432</v>
      </c>
      <c r="AE36" s="265">
        <v>0.14237780757876972</v>
      </c>
      <c r="AF36" s="208">
        <v>1058023.7033842816</v>
      </c>
      <c r="AG36" s="206">
        <v>26450592.584607042</v>
      </c>
      <c r="AH36" s="398" t="s">
        <v>645</v>
      </c>
      <c r="AI36" s="393" t="s">
        <v>632</v>
      </c>
    </row>
    <row r="37" spans="1:35" hidden="1" x14ac:dyDescent="0.3">
      <c r="A37" s="145">
        <v>45222</v>
      </c>
      <c r="B37" s="189">
        <v>36</v>
      </c>
      <c r="C37" s="34" t="s">
        <v>547</v>
      </c>
      <c r="D37" s="10" t="s">
        <v>552</v>
      </c>
      <c r="E37" s="2" t="s">
        <v>588</v>
      </c>
      <c r="F37" s="2" t="s">
        <v>584</v>
      </c>
      <c r="G37" s="67" t="s">
        <v>563</v>
      </c>
      <c r="H37" s="14" t="s">
        <v>39</v>
      </c>
      <c r="I37" s="67" t="s">
        <v>524</v>
      </c>
      <c r="J37" s="15" t="s">
        <v>550</v>
      </c>
      <c r="K37" s="110" t="s">
        <v>532</v>
      </c>
      <c r="L37" s="65" t="s">
        <v>608</v>
      </c>
      <c r="M37" s="106" t="s">
        <v>531</v>
      </c>
      <c r="N37" s="67" t="s">
        <v>532</v>
      </c>
      <c r="O37" s="67" t="s">
        <v>570</v>
      </c>
      <c r="P37" s="67" t="s">
        <v>574</v>
      </c>
      <c r="Q37" s="137" t="s">
        <v>0</v>
      </c>
      <c r="R37" s="110" t="s">
        <v>519</v>
      </c>
      <c r="S37" s="177">
        <v>100</v>
      </c>
      <c r="T37" s="165" t="s">
        <v>0</v>
      </c>
      <c r="U37" s="67" t="s">
        <v>576</v>
      </c>
      <c r="V37" s="360">
        <v>2000000</v>
      </c>
      <c r="W37" s="208">
        <v>1432776.1368140893</v>
      </c>
      <c r="X37" s="165">
        <v>50</v>
      </c>
      <c r="Y37" s="195">
        <v>2</v>
      </c>
      <c r="Z37" s="208">
        <v>0.97428777303358072</v>
      </c>
      <c r="AA37" s="265">
        <v>24.357194325839519</v>
      </c>
      <c r="AB37" s="208">
        <v>0.25961910689807732</v>
      </c>
      <c r="AC37" s="201">
        <v>17.592574298056508</v>
      </c>
      <c r="AD37" s="201">
        <v>0.41534320256022916</v>
      </c>
      <c r="AE37" s="265">
        <v>0.23979850980422959</v>
      </c>
      <c r="AF37" s="208">
        <v>1341109.155709821</v>
      </c>
      <c r="AG37" s="206">
        <v>33527728.892745528</v>
      </c>
      <c r="AH37" s="398" t="s">
        <v>645</v>
      </c>
      <c r="AI37" s="393" t="s">
        <v>632</v>
      </c>
    </row>
    <row r="38" spans="1:35" hidden="1" x14ac:dyDescent="0.3">
      <c r="A38" s="145">
        <v>45222</v>
      </c>
      <c r="B38" s="189">
        <v>37</v>
      </c>
      <c r="C38" s="34" t="s">
        <v>547</v>
      </c>
      <c r="D38" s="10" t="s">
        <v>552</v>
      </c>
      <c r="E38" s="2" t="s">
        <v>588</v>
      </c>
      <c r="F38" s="2" t="s">
        <v>584</v>
      </c>
      <c r="G38" s="67" t="s">
        <v>563</v>
      </c>
      <c r="H38" s="14" t="s">
        <v>40</v>
      </c>
      <c r="I38" s="67" t="s">
        <v>524</v>
      </c>
      <c r="J38" s="15" t="s">
        <v>550</v>
      </c>
      <c r="K38" s="110" t="s">
        <v>532</v>
      </c>
      <c r="L38" s="65" t="s">
        <v>608</v>
      </c>
      <c r="M38" s="106" t="s">
        <v>531</v>
      </c>
      <c r="N38" s="67" t="s">
        <v>532</v>
      </c>
      <c r="O38" s="67" t="s">
        <v>570</v>
      </c>
      <c r="P38" s="67" t="s">
        <v>503</v>
      </c>
      <c r="Q38" s="137" t="s">
        <v>0</v>
      </c>
      <c r="R38" s="110" t="s">
        <v>519</v>
      </c>
      <c r="S38" s="177">
        <v>100</v>
      </c>
      <c r="T38" s="165" t="s">
        <v>0</v>
      </c>
      <c r="U38" s="67" t="s">
        <v>576</v>
      </c>
      <c r="V38" s="360">
        <v>2000000</v>
      </c>
      <c r="W38" s="208">
        <v>903467.89359360747</v>
      </c>
      <c r="X38" s="165">
        <v>50</v>
      </c>
      <c r="Y38" s="195">
        <v>2</v>
      </c>
      <c r="Z38" s="208">
        <v>0.61435816764365303</v>
      </c>
      <c r="AA38" s="265">
        <v>15.358954191091327</v>
      </c>
      <c r="AB38" s="208">
        <v>8.9429231336335527E-2</v>
      </c>
      <c r="AC38" s="201">
        <v>18.310399538694309</v>
      </c>
      <c r="AD38" s="201">
        <v>0.24264631078132037</v>
      </c>
      <c r="AE38" s="265">
        <v>0.14009191284746492</v>
      </c>
      <c r="AF38" s="208">
        <v>845665.30168660358</v>
      </c>
      <c r="AG38" s="206">
        <v>21141632.542165093</v>
      </c>
      <c r="AH38" s="398" t="s">
        <v>645</v>
      </c>
      <c r="AI38" s="393" t="s">
        <v>632</v>
      </c>
    </row>
    <row r="39" spans="1:35" hidden="1" x14ac:dyDescent="0.3">
      <c r="A39" s="145">
        <v>45222</v>
      </c>
      <c r="B39" s="189">
        <v>38</v>
      </c>
      <c r="C39" s="34" t="s">
        <v>547</v>
      </c>
      <c r="D39" s="10" t="s">
        <v>552</v>
      </c>
      <c r="E39" s="2" t="s">
        <v>588</v>
      </c>
      <c r="F39" s="2" t="s">
        <v>584</v>
      </c>
      <c r="G39" s="67" t="s">
        <v>563</v>
      </c>
      <c r="H39" s="14" t="s">
        <v>41</v>
      </c>
      <c r="I39" s="67" t="s">
        <v>524</v>
      </c>
      <c r="J39" s="12" t="s">
        <v>551</v>
      </c>
      <c r="K39" s="110" t="s">
        <v>532</v>
      </c>
      <c r="L39" s="65" t="s">
        <v>608</v>
      </c>
      <c r="M39" s="106" t="s">
        <v>531</v>
      </c>
      <c r="N39" s="67" t="s">
        <v>532</v>
      </c>
      <c r="O39" s="67" t="s">
        <v>570</v>
      </c>
      <c r="P39" s="67" t="s">
        <v>573</v>
      </c>
      <c r="Q39" s="137" t="s">
        <v>0</v>
      </c>
      <c r="R39" s="110" t="s">
        <v>519</v>
      </c>
      <c r="S39" s="177">
        <v>100</v>
      </c>
      <c r="T39" s="165" t="s">
        <v>0</v>
      </c>
      <c r="U39" s="67" t="s">
        <v>576</v>
      </c>
      <c r="V39" s="360">
        <v>2000000</v>
      </c>
      <c r="W39" s="208">
        <v>1949307.2322677667</v>
      </c>
      <c r="X39" s="165">
        <v>50</v>
      </c>
      <c r="Y39" s="195">
        <v>2</v>
      </c>
      <c r="Z39" s="208">
        <v>1.3255289179420813</v>
      </c>
      <c r="AA39" s="265">
        <v>33.138222948552034</v>
      </c>
      <c r="AB39" s="208">
        <v>0.49479718133912526</v>
      </c>
      <c r="AC39" s="201">
        <v>17.129256673393602</v>
      </c>
      <c r="AD39" s="201">
        <v>0.56337924622063706</v>
      </c>
      <c r="AE39" s="265">
        <v>0.32526715946133328</v>
      </c>
      <c r="AF39" s="208">
        <v>1824593.3257226523</v>
      </c>
      <c r="AG39" s="206">
        <v>45614833.143066302</v>
      </c>
      <c r="AH39" s="398" t="s">
        <v>645</v>
      </c>
      <c r="AI39" s="393" t="s">
        <v>634</v>
      </c>
    </row>
    <row r="40" spans="1:35" hidden="1" x14ac:dyDescent="0.3">
      <c r="A40" s="145">
        <v>45222</v>
      </c>
      <c r="B40" s="189">
        <v>39</v>
      </c>
      <c r="C40" s="34" t="s">
        <v>547</v>
      </c>
      <c r="D40" s="10" t="s">
        <v>552</v>
      </c>
      <c r="E40" s="2" t="s">
        <v>588</v>
      </c>
      <c r="F40" s="2" t="s">
        <v>584</v>
      </c>
      <c r="G40" s="67" t="s">
        <v>563</v>
      </c>
      <c r="H40" s="14" t="s">
        <v>42</v>
      </c>
      <c r="I40" s="67" t="s">
        <v>524</v>
      </c>
      <c r="J40" s="12" t="s">
        <v>551</v>
      </c>
      <c r="K40" s="110" t="s">
        <v>532</v>
      </c>
      <c r="L40" s="65" t="s">
        <v>608</v>
      </c>
      <c r="M40" s="106" t="s">
        <v>531</v>
      </c>
      <c r="N40" s="67" t="s">
        <v>532</v>
      </c>
      <c r="O40" s="67" t="s">
        <v>570</v>
      </c>
      <c r="P40" s="67" t="s">
        <v>573</v>
      </c>
      <c r="Q40" s="137" t="s">
        <v>0</v>
      </c>
      <c r="R40" s="110" t="s">
        <v>519</v>
      </c>
      <c r="S40" s="177">
        <v>100</v>
      </c>
      <c r="T40" s="165" t="s">
        <v>0</v>
      </c>
      <c r="U40" s="67" t="s">
        <v>576</v>
      </c>
      <c r="V40" s="360">
        <v>2000000</v>
      </c>
      <c r="W40" s="208">
        <v>168407.3635257245</v>
      </c>
      <c r="X40" s="165">
        <v>50</v>
      </c>
      <c r="Y40" s="195">
        <v>2</v>
      </c>
      <c r="Z40" s="208">
        <v>0.11451700719749268</v>
      </c>
      <c r="AA40" s="265">
        <v>2.8629251799373168</v>
      </c>
      <c r="AB40" s="208">
        <v>3.2245277256624121E-2</v>
      </c>
      <c r="AC40" s="201">
        <v>21.047680224915979</v>
      </c>
      <c r="AD40" s="201">
        <v>0.46905701322801002</v>
      </c>
      <c r="AE40" s="265">
        <v>0.27081019285247343</v>
      </c>
      <c r="AF40" s="208">
        <v>157632.8997323376</v>
      </c>
      <c r="AG40" s="206">
        <v>3940822.4933084394</v>
      </c>
      <c r="AH40" s="398" t="s">
        <v>645</v>
      </c>
      <c r="AI40" s="393" t="s">
        <v>634</v>
      </c>
    </row>
    <row r="41" spans="1:35" hidden="1" x14ac:dyDescent="0.3">
      <c r="A41" s="145">
        <v>45222</v>
      </c>
      <c r="B41" s="188">
        <v>40</v>
      </c>
      <c r="C41" s="34" t="s">
        <v>547</v>
      </c>
      <c r="D41" s="10" t="s">
        <v>552</v>
      </c>
      <c r="E41" s="2" t="s">
        <v>588</v>
      </c>
      <c r="F41" s="2" t="s">
        <v>584</v>
      </c>
      <c r="G41" s="67" t="s">
        <v>563</v>
      </c>
      <c r="H41" s="14" t="s">
        <v>43</v>
      </c>
      <c r="I41" s="67" t="s">
        <v>524</v>
      </c>
      <c r="J41" s="12" t="s">
        <v>551</v>
      </c>
      <c r="K41" s="110" t="s">
        <v>532</v>
      </c>
      <c r="L41" s="65" t="s">
        <v>608</v>
      </c>
      <c r="M41" s="106" t="s">
        <v>531</v>
      </c>
      <c r="N41" s="67" t="s">
        <v>532</v>
      </c>
      <c r="O41" s="67" t="s">
        <v>570</v>
      </c>
      <c r="P41" s="67" t="s">
        <v>503</v>
      </c>
      <c r="Q41" s="137" t="s">
        <v>0</v>
      </c>
      <c r="R41" s="110" t="s">
        <v>519</v>
      </c>
      <c r="S41" s="177">
        <v>100</v>
      </c>
      <c r="T41" s="165" t="s">
        <v>0</v>
      </c>
      <c r="U41" s="67" t="s">
        <v>576</v>
      </c>
      <c r="V41" s="360">
        <v>2000000</v>
      </c>
      <c r="W41" s="208">
        <v>197458.29926764796</v>
      </c>
      <c r="X41" s="165">
        <v>50</v>
      </c>
      <c r="Y41" s="195">
        <v>2</v>
      </c>
      <c r="Z41" s="208">
        <v>0.1342716435020006</v>
      </c>
      <c r="AA41" s="265">
        <v>3.3567910875500151</v>
      </c>
      <c r="AB41" s="208">
        <v>6.0568787319423355E-2</v>
      </c>
      <c r="AC41" s="201">
        <v>20.846225049723387</v>
      </c>
      <c r="AD41" s="201">
        <v>0.67293663848032681</v>
      </c>
      <c r="AE41" s="265">
        <v>0.38852014937417856</v>
      </c>
      <c r="AF41" s="208">
        <v>184825.19788999914</v>
      </c>
      <c r="AG41" s="206">
        <v>4620629.9472499788</v>
      </c>
      <c r="AH41" s="398" t="s">
        <v>645</v>
      </c>
      <c r="AI41" s="393" t="s">
        <v>634</v>
      </c>
    </row>
    <row r="42" spans="1:35" x14ac:dyDescent="0.3">
      <c r="A42" s="145">
        <v>45222</v>
      </c>
      <c r="B42" s="189">
        <v>41</v>
      </c>
      <c r="C42" s="34" t="s">
        <v>547</v>
      </c>
      <c r="D42" s="10" t="s">
        <v>552</v>
      </c>
      <c r="E42" s="2" t="s">
        <v>588</v>
      </c>
      <c r="F42" s="2" t="s">
        <v>584</v>
      </c>
      <c r="G42" s="67" t="s">
        <v>563</v>
      </c>
      <c r="H42" s="14" t="s">
        <v>44</v>
      </c>
      <c r="I42" s="67" t="s">
        <v>517</v>
      </c>
      <c r="J42" s="9" t="s">
        <v>0</v>
      </c>
      <c r="K42" s="110" t="s">
        <v>531</v>
      </c>
      <c r="L42" s="65" t="s">
        <v>593</v>
      </c>
      <c r="M42" s="106" t="s">
        <v>531</v>
      </c>
      <c r="N42" s="67" t="s">
        <v>532</v>
      </c>
      <c r="O42" s="67" t="s">
        <v>570</v>
      </c>
      <c r="P42" s="67" t="s">
        <v>573</v>
      </c>
      <c r="Q42" s="137" t="s">
        <v>0</v>
      </c>
      <c r="R42" s="110" t="s">
        <v>519</v>
      </c>
      <c r="S42" s="177">
        <v>100</v>
      </c>
      <c r="T42" s="165" t="s">
        <v>0</v>
      </c>
      <c r="U42" s="67" t="s">
        <v>576</v>
      </c>
      <c r="V42" s="360">
        <v>2000000</v>
      </c>
      <c r="W42" s="208">
        <v>5702204.328905059</v>
      </c>
      <c r="X42" s="165">
        <v>50</v>
      </c>
      <c r="Y42" s="195">
        <v>2</v>
      </c>
      <c r="Z42" s="208">
        <v>3.8774989436554397</v>
      </c>
      <c r="AA42" s="265">
        <v>96.937473591385995</v>
      </c>
      <c r="AB42" s="208">
        <v>0.551978385520287</v>
      </c>
      <c r="AC42" s="201">
        <v>15.342716120788298</v>
      </c>
      <c r="AD42" s="201">
        <v>0.22403284441553181</v>
      </c>
      <c r="AE42" s="265">
        <v>0.12934542303062485</v>
      </c>
      <c r="AF42" s="208">
        <v>5337385.3993877815</v>
      </c>
      <c r="AG42" s="206">
        <v>133434634.98469454</v>
      </c>
      <c r="AH42" s="110"/>
      <c r="AI42" s="393" t="s">
        <v>752</v>
      </c>
    </row>
    <row r="43" spans="1:35" ht="16.2" thickBot="1" x14ac:dyDescent="0.35">
      <c r="A43" s="146">
        <v>45222</v>
      </c>
      <c r="B43" s="190">
        <v>42</v>
      </c>
      <c r="C43" s="90" t="s">
        <v>547</v>
      </c>
      <c r="D43" s="48" t="s">
        <v>552</v>
      </c>
      <c r="E43" s="4" t="s">
        <v>588</v>
      </c>
      <c r="F43" s="4" t="s">
        <v>584</v>
      </c>
      <c r="G43" s="91" t="s">
        <v>563</v>
      </c>
      <c r="H43" s="327" t="s">
        <v>45</v>
      </c>
      <c r="I43" s="91" t="s">
        <v>517</v>
      </c>
      <c r="J43" s="40" t="s">
        <v>0</v>
      </c>
      <c r="K43" s="47" t="s">
        <v>531</v>
      </c>
      <c r="L43" s="107" t="s">
        <v>593</v>
      </c>
      <c r="M43" s="107" t="s">
        <v>532</v>
      </c>
      <c r="N43" s="91" t="s">
        <v>532</v>
      </c>
      <c r="O43" s="91" t="s">
        <v>570</v>
      </c>
      <c r="P43" s="107" t="s">
        <v>573</v>
      </c>
      <c r="Q43" s="109" t="s">
        <v>0</v>
      </c>
      <c r="R43" s="111" t="s">
        <v>519</v>
      </c>
      <c r="S43" s="180">
        <v>100</v>
      </c>
      <c r="T43" s="169" t="s">
        <v>0</v>
      </c>
      <c r="U43" s="79" t="s">
        <v>576</v>
      </c>
      <c r="V43" s="363">
        <v>2000000</v>
      </c>
      <c r="W43" s="211">
        <v>11874154.763832895</v>
      </c>
      <c r="X43" s="169">
        <v>50</v>
      </c>
      <c r="Y43" s="205">
        <v>2</v>
      </c>
      <c r="Z43" s="211">
        <v>8.0744252394063682</v>
      </c>
      <c r="AA43" s="268">
        <v>201.86063098515922</v>
      </c>
      <c r="AB43" s="211">
        <v>2.0295367296715545</v>
      </c>
      <c r="AC43" s="210">
        <v>14.189603334082799</v>
      </c>
      <c r="AD43" s="203">
        <v>0.4438147441571404</v>
      </c>
      <c r="AE43" s="268">
        <v>0.25623656200944989</v>
      </c>
      <c r="AF43" s="211">
        <v>11114463.216494778</v>
      </c>
      <c r="AG43" s="248">
        <v>277861580.41236943</v>
      </c>
      <c r="AH43" s="111"/>
      <c r="AI43" s="393" t="s">
        <v>752</v>
      </c>
    </row>
    <row r="44" spans="1:35" hidden="1" x14ac:dyDescent="0.3">
      <c r="A44" s="375">
        <v>45229</v>
      </c>
      <c r="B44" s="188">
        <v>43</v>
      </c>
      <c r="C44" s="87" t="s">
        <v>548</v>
      </c>
      <c r="D44" s="76" t="s">
        <v>552</v>
      </c>
      <c r="E44" s="75" t="s">
        <v>588</v>
      </c>
      <c r="F44" s="75" t="s">
        <v>584</v>
      </c>
      <c r="G44" s="89" t="s">
        <v>564</v>
      </c>
      <c r="H44" s="131" t="s">
        <v>46</v>
      </c>
      <c r="I44" s="89" t="s">
        <v>522</v>
      </c>
      <c r="J44" s="45" t="s">
        <v>550</v>
      </c>
      <c r="K44" s="88" t="s">
        <v>531</v>
      </c>
      <c r="L44" s="75" t="s">
        <v>606</v>
      </c>
      <c r="M44" s="108" t="s">
        <v>531</v>
      </c>
      <c r="N44" s="89" t="s">
        <v>532</v>
      </c>
      <c r="O44" s="89" t="s">
        <v>570</v>
      </c>
      <c r="P44" s="89" t="s">
        <v>573</v>
      </c>
      <c r="Q44" s="89" t="s">
        <v>0</v>
      </c>
      <c r="R44" s="117" t="s">
        <v>519</v>
      </c>
      <c r="S44" s="173">
        <v>100</v>
      </c>
      <c r="T44" s="164">
        <v>25</v>
      </c>
      <c r="U44" s="36" t="s">
        <v>0</v>
      </c>
      <c r="V44" s="164" t="s">
        <v>0</v>
      </c>
      <c r="W44" s="209">
        <v>161.72823719229001</v>
      </c>
      <c r="X44" s="164">
        <v>50</v>
      </c>
      <c r="Y44" s="164">
        <v>2</v>
      </c>
      <c r="Z44" s="209">
        <v>1.099752012907572E-4</v>
      </c>
      <c r="AA44" s="202">
        <v>2.7493800322689302E-3</v>
      </c>
      <c r="AB44" s="209">
        <v>2.8905152519337656E-5</v>
      </c>
      <c r="AC44" s="201">
        <v>35.849630075843528</v>
      </c>
      <c r="AD44" s="201">
        <v>0.49405954982998762</v>
      </c>
      <c r="AE44" s="265">
        <v>0.28524541409004872</v>
      </c>
      <c r="AF44" s="374">
        <v>151.38109440995882</v>
      </c>
      <c r="AG44" s="377">
        <v>3784.527360248971</v>
      </c>
      <c r="AH44" s="406"/>
      <c r="AI44" s="407" t="s">
        <v>614</v>
      </c>
    </row>
    <row r="45" spans="1:35" hidden="1" x14ac:dyDescent="0.3">
      <c r="A45" s="145">
        <v>45229</v>
      </c>
      <c r="B45" s="189">
        <v>44</v>
      </c>
      <c r="C45" s="80" t="s">
        <v>548</v>
      </c>
      <c r="D45" s="10" t="s">
        <v>552</v>
      </c>
      <c r="E45" s="2" t="s">
        <v>588</v>
      </c>
      <c r="F45" s="2" t="s">
        <v>584</v>
      </c>
      <c r="G45" s="67" t="s">
        <v>564</v>
      </c>
      <c r="H45" s="14" t="s">
        <v>47</v>
      </c>
      <c r="I45" s="67" t="s">
        <v>523</v>
      </c>
      <c r="J45" s="15" t="s">
        <v>550</v>
      </c>
      <c r="K45" s="83" t="s">
        <v>531</v>
      </c>
      <c r="L45" s="79" t="s">
        <v>607</v>
      </c>
      <c r="M45" s="110" t="s">
        <v>531</v>
      </c>
      <c r="N45" s="67" t="s">
        <v>532</v>
      </c>
      <c r="O45" s="67" t="s">
        <v>570</v>
      </c>
      <c r="P45" s="67" t="s">
        <v>573</v>
      </c>
      <c r="Q45" s="79" t="s">
        <v>0</v>
      </c>
      <c r="R45" s="110" t="s">
        <v>519</v>
      </c>
      <c r="S45" s="172">
        <v>100</v>
      </c>
      <c r="T45" s="165">
        <v>25</v>
      </c>
      <c r="U45" s="137" t="s">
        <v>0</v>
      </c>
      <c r="V45" s="165" t="s">
        <v>0</v>
      </c>
      <c r="W45" s="208">
        <v>231.42988569923935</v>
      </c>
      <c r="X45" s="165">
        <v>50</v>
      </c>
      <c r="Y45" s="165">
        <v>2</v>
      </c>
      <c r="Z45" s="208">
        <v>1.5737232227548277E-4</v>
      </c>
      <c r="AA45" s="269">
        <v>3.9343080568870689E-3</v>
      </c>
      <c r="AB45" s="208">
        <v>2.986534534710742E-5</v>
      </c>
      <c r="AC45" s="201">
        <v>35.202048686733406</v>
      </c>
      <c r="AD45" s="201">
        <v>0.35236451764436427</v>
      </c>
      <c r="AE45" s="265">
        <v>0.20343774911484636</v>
      </c>
      <c r="AF45" s="372">
        <v>216.62333049897796</v>
      </c>
      <c r="AG45" s="378">
        <v>5415.5832624744489</v>
      </c>
      <c r="AH45" s="110"/>
      <c r="AI45" s="395" t="s">
        <v>614</v>
      </c>
    </row>
    <row r="46" spans="1:35" hidden="1" x14ac:dyDescent="0.3">
      <c r="A46" s="145">
        <v>45229</v>
      </c>
      <c r="B46" s="189">
        <v>45</v>
      </c>
      <c r="C46" s="80" t="s">
        <v>548</v>
      </c>
      <c r="D46" s="10" t="s">
        <v>552</v>
      </c>
      <c r="E46" s="2" t="s">
        <v>588</v>
      </c>
      <c r="F46" s="2" t="s">
        <v>584</v>
      </c>
      <c r="G46" s="67" t="s">
        <v>564</v>
      </c>
      <c r="H46" s="14" t="s">
        <v>48</v>
      </c>
      <c r="I46" s="67" t="s">
        <v>527</v>
      </c>
      <c r="J46" s="15" t="s">
        <v>550</v>
      </c>
      <c r="K46" s="110" t="s">
        <v>532</v>
      </c>
      <c r="L46" s="137" t="s">
        <v>608</v>
      </c>
      <c r="M46" s="110" t="s">
        <v>531</v>
      </c>
      <c r="N46" s="67" t="s">
        <v>532</v>
      </c>
      <c r="O46" s="67" t="s">
        <v>570</v>
      </c>
      <c r="P46" s="67" t="s">
        <v>573</v>
      </c>
      <c r="Q46" s="137" t="s">
        <v>0</v>
      </c>
      <c r="R46" s="110" t="s">
        <v>519</v>
      </c>
      <c r="S46" s="172">
        <v>100</v>
      </c>
      <c r="T46" s="165">
        <v>25</v>
      </c>
      <c r="U46" s="137" t="s">
        <v>576</v>
      </c>
      <c r="V46" s="360">
        <v>2000000</v>
      </c>
      <c r="W46" s="208">
        <v>1287820.8854695831</v>
      </c>
      <c r="X46" s="165">
        <v>50</v>
      </c>
      <c r="Y46" s="165">
        <v>2</v>
      </c>
      <c r="Z46" s="209">
        <v>0.8757182021193165</v>
      </c>
      <c r="AA46" s="208">
        <v>21.892955052982913</v>
      </c>
      <c r="AB46" s="208">
        <v>0.10271174154471829</v>
      </c>
      <c r="AC46" s="201">
        <v>20.123767897525756</v>
      </c>
      <c r="AD46" s="201">
        <v>0.20968723544946596</v>
      </c>
      <c r="AE46" s="265">
        <v>0.12106298183237763</v>
      </c>
      <c r="AF46" s="208">
        <v>1205427.9353493231</v>
      </c>
      <c r="AG46" s="378">
        <v>30135698.383733079</v>
      </c>
      <c r="AH46" s="110" t="s">
        <v>644</v>
      </c>
      <c r="AI46" s="393" t="s">
        <v>635</v>
      </c>
    </row>
    <row r="47" spans="1:35" hidden="1" x14ac:dyDescent="0.3">
      <c r="A47" s="145">
        <v>45229</v>
      </c>
      <c r="B47" s="189">
        <v>46</v>
      </c>
      <c r="C47" s="80" t="s">
        <v>548</v>
      </c>
      <c r="D47" s="10" t="s">
        <v>552</v>
      </c>
      <c r="E47" s="2" t="s">
        <v>588</v>
      </c>
      <c r="F47" s="2" t="s">
        <v>584</v>
      </c>
      <c r="G47" s="67" t="s">
        <v>564</v>
      </c>
      <c r="H47" s="14" t="s">
        <v>49</v>
      </c>
      <c r="I47" s="67" t="s">
        <v>527</v>
      </c>
      <c r="J47" s="15" t="s">
        <v>550</v>
      </c>
      <c r="K47" s="110" t="s">
        <v>532</v>
      </c>
      <c r="L47" s="137" t="s">
        <v>608</v>
      </c>
      <c r="M47" s="110" t="s">
        <v>531</v>
      </c>
      <c r="N47" s="67" t="s">
        <v>532</v>
      </c>
      <c r="O47" s="67" t="s">
        <v>570</v>
      </c>
      <c r="P47" s="67" t="s">
        <v>574</v>
      </c>
      <c r="Q47" s="137" t="s">
        <v>0</v>
      </c>
      <c r="R47" s="110" t="s">
        <v>519</v>
      </c>
      <c r="S47" s="172">
        <v>100</v>
      </c>
      <c r="T47" s="165">
        <v>25</v>
      </c>
      <c r="U47" s="137" t="s">
        <v>576</v>
      </c>
      <c r="V47" s="360">
        <v>2000000</v>
      </c>
      <c r="W47" s="208">
        <v>1223518.90655639</v>
      </c>
      <c r="X47" s="165">
        <v>50</v>
      </c>
      <c r="Y47" s="165">
        <v>2</v>
      </c>
      <c r="Z47" s="208">
        <v>0.8319928564583452</v>
      </c>
      <c r="AA47" s="208">
        <v>20.79982141145863</v>
      </c>
      <c r="AB47" s="208">
        <v>3.6346254680867954E-2</v>
      </c>
      <c r="AC47" s="201">
        <v>20.206098339920786</v>
      </c>
      <c r="AD47" s="201">
        <v>7.7135291407991122E-2</v>
      </c>
      <c r="AE47" s="265">
        <v>4.4534081258423903E-2</v>
      </c>
      <c r="AF47" s="208">
        <v>1145239.9056669632</v>
      </c>
      <c r="AG47" s="378">
        <v>28630997.641674086</v>
      </c>
      <c r="AH47" s="110" t="s">
        <v>644</v>
      </c>
      <c r="AI47" s="393" t="s">
        <v>635</v>
      </c>
    </row>
    <row r="48" spans="1:35" hidden="1" x14ac:dyDescent="0.3">
      <c r="A48" s="145">
        <v>45229</v>
      </c>
      <c r="B48" s="189">
        <v>47</v>
      </c>
      <c r="C48" s="80" t="s">
        <v>548</v>
      </c>
      <c r="D48" s="10" t="s">
        <v>552</v>
      </c>
      <c r="E48" s="2" t="s">
        <v>588</v>
      </c>
      <c r="F48" s="2" t="s">
        <v>584</v>
      </c>
      <c r="G48" s="67" t="s">
        <v>564</v>
      </c>
      <c r="H48" s="14" t="s">
        <v>50</v>
      </c>
      <c r="I48" s="67" t="s">
        <v>527</v>
      </c>
      <c r="J48" s="15" t="s">
        <v>550</v>
      </c>
      <c r="K48" s="110" t="s">
        <v>532</v>
      </c>
      <c r="L48" s="137" t="s">
        <v>608</v>
      </c>
      <c r="M48" s="110" t="s">
        <v>531</v>
      </c>
      <c r="N48" s="67" t="s">
        <v>532</v>
      </c>
      <c r="O48" s="67" t="s">
        <v>570</v>
      </c>
      <c r="P48" s="67" t="s">
        <v>503</v>
      </c>
      <c r="Q48" s="137" t="s">
        <v>0</v>
      </c>
      <c r="R48" s="110" t="s">
        <v>519</v>
      </c>
      <c r="S48" s="172">
        <v>100</v>
      </c>
      <c r="T48" s="165">
        <v>25</v>
      </c>
      <c r="U48" s="137" t="s">
        <v>576</v>
      </c>
      <c r="V48" s="360">
        <v>2000000</v>
      </c>
      <c r="W48" s="208">
        <v>1542974.931668459</v>
      </c>
      <c r="X48" s="165">
        <v>50</v>
      </c>
      <c r="Y48" s="165">
        <v>2</v>
      </c>
      <c r="Z48" s="208">
        <v>1.0492229535345521</v>
      </c>
      <c r="AA48" s="208">
        <v>26.230573838363803</v>
      </c>
      <c r="AB48" s="208">
        <v>7.4296145704715558E-2</v>
      </c>
      <c r="AC48" s="201">
        <v>19.802620482725612</v>
      </c>
      <c r="AD48" s="201">
        <v>0.1214128466921376</v>
      </c>
      <c r="AE48" s="265">
        <v>7.0097739720784411E-2</v>
      </c>
      <c r="AF48" s="208">
        <v>1444257.5882737564</v>
      </c>
      <c r="AG48" s="378">
        <v>36106439.706843913</v>
      </c>
      <c r="AH48" s="110" t="s">
        <v>644</v>
      </c>
      <c r="AI48" s="393" t="s">
        <v>635</v>
      </c>
    </row>
    <row r="49" spans="1:35" hidden="1" x14ac:dyDescent="0.3">
      <c r="A49" s="145">
        <v>45229</v>
      </c>
      <c r="B49" s="189">
        <v>48</v>
      </c>
      <c r="C49" s="80" t="s">
        <v>548</v>
      </c>
      <c r="D49" s="10" t="s">
        <v>552</v>
      </c>
      <c r="E49" s="2" t="s">
        <v>588</v>
      </c>
      <c r="F49" s="2" t="s">
        <v>584</v>
      </c>
      <c r="G49" s="67" t="s">
        <v>564</v>
      </c>
      <c r="H49" s="14" t="s">
        <v>51</v>
      </c>
      <c r="I49" s="67" t="s">
        <v>527</v>
      </c>
      <c r="J49" s="15" t="s">
        <v>550</v>
      </c>
      <c r="K49" s="110" t="s">
        <v>532</v>
      </c>
      <c r="L49" s="137" t="s">
        <v>608</v>
      </c>
      <c r="M49" s="110" t="s">
        <v>531</v>
      </c>
      <c r="N49" s="67" t="s">
        <v>532</v>
      </c>
      <c r="O49" s="67" t="s">
        <v>570</v>
      </c>
      <c r="P49" s="67" t="s">
        <v>575</v>
      </c>
      <c r="Q49" s="137" t="s">
        <v>0</v>
      </c>
      <c r="R49" s="110" t="s">
        <v>519</v>
      </c>
      <c r="S49" s="172">
        <v>100</v>
      </c>
      <c r="T49" s="165">
        <v>25</v>
      </c>
      <c r="U49" s="137" t="s">
        <v>576</v>
      </c>
      <c r="V49" s="360">
        <v>2000000</v>
      </c>
      <c r="W49" s="208">
        <v>1018130.7276799901</v>
      </c>
      <c r="X49" s="165">
        <v>50</v>
      </c>
      <c r="Y49" s="165">
        <v>2</v>
      </c>
      <c r="Z49" s="208">
        <v>0.69232889482239324</v>
      </c>
      <c r="AA49" s="208">
        <v>17.308222370559832</v>
      </c>
      <c r="AB49" s="208">
        <v>7.6530147990298197E-2</v>
      </c>
      <c r="AC49" s="201">
        <v>20.532802726441069</v>
      </c>
      <c r="AD49" s="201">
        <v>0.18772359896113372</v>
      </c>
      <c r="AE49" s="265">
        <v>0.10838227039345591</v>
      </c>
      <c r="AF49" s="208">
        <v>952992.17059636768</v>
      </c>
      <c r="AG49" s="378">
        <v>23824804.264909197</v>
      </c>
      <c r="AH49" s="110" t="s">
        <v>644</v>
      </c>
      <c r="AI49" s="393" t="s">
        <v>635</v>
      </c>
    </row>
    <row r="50" spans="1:35" hidden="1" x14ac:dyDescent="0.3">
      <c r="A50" s="145">
        <v>45229</v>
      </c>
      <c r="B50" s="189">
        <v>49</v>
      </c>
      <c r="C50" s="34" t="s">
        <v>547</v>
      </c>
      <c r="D50" s="10" t="s">
        <v>552</v>
      </c>
      <c r="E50" s="2" t="s">
        <v>588</v>
      </c>
      <c r="F50" s="2" t="s">
        <v>584</v>
      </c>
      <c r="G50" s="67" t="s">
        <v>564</v>
      </c>
      <c r="H50" s="14" t="s">
        <v>52</v>
      </c>
      <c r="I50" s="67" t="s">
        <v>524</v>
      </c>
      <c r="J50" s="15" t="s">
        <v>550</v>
      </c>
      <c r="K50" s="110" t="s">
        <v>532</v>
      </c>
      <c r="L50" s="137" t="s">
        <v>608</v>
      </c>
      <c r="M50" s="110" t="s">
        <v>531</v>
      </c>
      <c r="N50" s="67" t="s">
        <v>532</v>
      </c>
      <c r="O50" s="67" t="s">
        <v>570</v>
      </c>
      <c r="P50" s="67" t="s">
        <v>573</v>
      </c>
      <c r="Q50" s="137" t="s">
        <v>0</v>
      </c>
      <c r="R50" s="110" t="s">
        <v>519</v>
      </c>
      <c r="S50" s="172">
        <v>100</v>
      </c>
      <c r="T50" s="165" t="s">
        <v>0</v>
      </c>
      <c r="U50" s="137" t="s">
        <v>576</v>
      </c>
      <c r="V50" s="360">
        <v>2000000</v>
      </c>
      <c r="W50" s="208">
        <v>15044128.533522084</v>
      </c>
      <c r="X50" s="165">
        <v>50</v>
      </c>
      <c r="Y50" s="165">
        <v>2</v>
      </c>
      <c r="Z50" s="208">
        <v>10.230007402795017</v>
      </c>
      <c r="AA50" s="208">
        <v>255.75018506987544</v>
      </c>
      <c r="AB50" s="208">
        <v>1.5449522349620213</v>
      </c>
      <c r="AC50" s="201">
        <v>15.836077409373232</v>
      </c>
      <c r="AD50" s="201">
        <v>0.27431912305146017</v>
      </c>
      <c r="AE50" s="265">
        <v>0.1583782195376226</v>
      </c>
      <c r="AF50" s="208">
        <v>14081626.569273159</v>
      </c>
      <c r="AG50" s="378">
        <v>352040664.23182899</v>
      </c>
      <c r="AH50" s="110" t="s">
        <v>645</v>
      </c>
      <c r="AI50" s="393" t="s">
        <v>632</v>
      </c>
    </row>
    <row r="51" spans="1:35" hidden="1" x14ac:dyDescent="0.3">
      <c r="A51" s="145">
        <v>45229</v>
      </c>
      <c r="B51" s="189">
        <v>50</v>
      </c>
      <c r="C51" s="34" t="s">
        <v>547</v>
      </c>
      <c r="D51" s="10" t="s">
        <v>552</v>
      </c>
      <c r="E51" s="2" t="s">
        <v>588</v>
      </c>
      <c r="F51" s="2" t="s">
        <v>584</v>
      </c>
      <c r="G51" s="67" t="s">
        <v>564</v>
      </c>
      <c r="H51" s="14" t="s">
        <v>53</v>
      </c>
      <c r="I51" s="67" t="s">
        <v>524</v>
      </c>
      <c r="J51" s="15" t="s">
        <v>550</v>
      </c>
      <c r="K51" s="110" t="s">
        <v>532</v>
      </c>
      <c r="L51" s="137" t="s">
        <v>608</v>
      </c>
      <c r="M51" s="110" t="s">
        <v>531</v>
      </c>
      <c r="N51" s="67" t="s">
        <v>532</v>
      </c>
      <c r="O51" s="67" t="s">
        <v>570</v>
      </c>
      <c r="P51" s="67" t="s">
        <v>574</v>
      </c>
      <c r="Q51" s="137" t="s">
        <v>0</v>
      </c>
      <c r="R51" s="110" t="s">
        <v>519</v>
      </c>
      <c r="S51" s="172">
        <v>100</v>
      </c>
      <c r="T51" s="165" t="s">
        <v>0</v>
      </c>
      <c r="U51" s="137" t="s">
        <v>576</v>
      </c>
      <c r="V51" s="360">
        <v>2000000</v>
      </c>
      <c r="W51" s="208">
        <v>4406464.6705197506</v>
      </c>
      <c r="X51" s="165">
        <v>50</v>
      </c>
      <c r="Y51" s="165">
        <v>2</v>
      </c>
      <c r="Z51" s="208">
        <v>2.9963959759534307</v>
      </c>
      <c r="AA51" s="208">
        <v>74.909899398835762</v>
      </c>
      <c r="AB51" s="208">
        <v>3.9455044505095994E-2</v>
      </c>
      <c r="AC51" s="201">
        <v>17.96696711603343</v>
      </c>
      <c r="AD51" s="201">
        <v>2.308659680349941E-2</v>
      </c>
      <c r="AE51" s="265">
        <v>1.3329052879172739E-2</v>
      </c>
      <c r="AF51" s="208">
        <v>4124545.3229604531</v>
      </c>
      <c r="AG51" s="378">
        <v>103113633.07401133</v>
      </c>
      <c r="AH51" s="110" t="s">
        <v>645</v>
      </c>
      <c r="AI51" s="393" t="s">
        <v>632</v>
      </c>
    </row>
    <row r="52" spans="1:35" hidden="1" x14ac:dyDescent="0.3">
      <c r="A52" s="145">
        <v>45229</v>
      </c>
      <c r="B52" s="189">
        <v>51</v>
      </c>
      <c r="C52" s="34" t="s">
        <v>547</v>
      </c>
      <c r="D52" s="10" t="s">
        <v>552</v>
      </c>
      <c r="E52" s="2" t="s">
        <v>588</v>
      </c>
      <c r="F52" s="2" t="s">
        <v>584</v>
      </c>
      <c r="G52" s="67" t="s">
        <v>564</v>
      </c>
      <c r="H52" s="14" t="s">
        <v>54</v>
      </c>
      <c r="I52" s="67" t="s">
        <v>524</v>
      </c>
      <c r="J52" s="15" t="s">
        <v>550</v>
      </c>
      <c r="K52" s="110" t="s">
        <v>532</v>
      </c>
      <c r="L52" s="137" t="s">
        <v>608</v>
      </c>
      <c r="M52" s="110" t="s">
        <v>531</v>
      </c>
      <c r="N52" s="67" t="s">
        <v>532</v>
      </c>
      <c r="O52" s="67" t="s">
        <v>570</v>
      </c>
      <c r="P52" s="67" t="s">
        <v>503</v>
      </c>
      <c r="Q52" s="137" t="s">
        <v>0</v>
      </c>
      <c r="R52" s="110" t="s">
        <v>519</v>
      </c>
      <c r="S52" s="172">
        <v>100</v>
      </c>
      <c r="T52" s="165" t="s">
        <v>0</v>
      </c>
      <c r="U52" s="137" t="s">
        <v>576</v>
      </c>
      <c r="V52" s="360">
        <v>2000000</v>
      </c>
      <c r="W52" s="208">
        <v>5708401.781202442</v>
      </c>
      <c r="X52" s="165">
        <v>50</v>
      </c>
      <c r="Y52" s="165">
        <v>2</v>
      </c>
      <c r="Z52" s="208">
        <v>3.8817132112176602</v>
      </c>
      <c r="AA52" s="208">
        <v>97.042830280441507</v>
      </c>
      <c r="AB52" s="208">
        <v>0.34490963324183432</v>
      </c>
      <c r="AC52" s="201">
        <v>17.519478823548091</v>
      </c>
      <c r="AD52" s="201">
        <v>0.15958733345834086</v>
      </c>
      <c r="AE52" s="265">
        <v>9.2137789931427669E-2</v>
      </c>
      <c r="AF52" s="208">
        <v>5343186.3474944243</v>
      </c>
      <c r="AG52" s="378">
        <v>133579658.68736061</v>
      </c>
      <c r="AH52" s="110" t="s">
        <v>645</v>
      </c>
      <c r="AI52" s="393" t="s">
        <v>632</v>
      </c>
    </row>
    <row r="53" spans="1:35" hidden="1" x14ac:dyDescent="0.3">
      <c r="A53" s="373">
        <v>45229</v>
      </c>
      <c r="B53" s="189">
        <v>52</v>
      </c>
      <c r="C53" s="80" t="s">
        <v>548</v>
      </c>
      <c r="D53" s="10" t="s">
        <v>552</v>
      </c>
      <c r="E53" s="2" t="s">
        <v>588</v>
      </c>
      <c r="F53" s="2" t="s">
        <v>584</v>
      </c>
      <c r="G53" s="67" t="s">
        <v>564</v>
      </c>
      <c r="H53" s="14" t="s">
        <v>55</v>
      </c>
      <c r="I53" s="67" t="s">
        <v>522</v>
      </c>
      <c r="J53" s="12" t="s">
        <v>551</v>
      </c>
      <c r="K53" s="110" t="s">
        <v>531</v>
      </c>
      <c r="L53" s="137" t="s">
        <v>606</v>
      </c>
      <c r="M53" s="110" t="s">
        <v>531</v>
      </c>
      <c r="N53" s="67" t="s">
        <v>532</v>
      </c>
      <c r="O53" s="67" t="s">
        <v>570</v>
      </c>
      <c r="P53" s="89" t="s">
        <v>573</v>
      </c>
      <c r="Q53" s="137" t="s">
        <v>0</v>
      </c>
      <c r="R53" s="110" t="s">
        <v>519</v>
      </c>
      <c r="S53" s="172">
        <v>100</v>
      </c>
      <c r="T53" s="165">
        <v>25</v>
      </c>
      <c r="U53" s="137" t="s">
        <v>0</v>
      </c>
      <c r="V53" s="165" t="s">
        <v>0</v>
      </c>
      <c r="W53" s="208">
        <v>316.07037625133933</v>
      </c>
      <c r="X53" s="165">
        <v>50</v>
      </c>
      <c r="Y53" s="165">
        <v>2</v>
      </c>
      <c r="Z53" s="208">
        <v>2.1492785585091071E-4</v>
      </c>
      <c r="AA53" s="208">
        <v>5.3731963962727683E-3</v>
      </c>
      <c r="AB53" s="208">
        <v>6.3182147407984344E-5</v>
      </c>
      <c r="AC53" s="201">
        <v>34.686175783976346</v>
      </c>
      <c r="AD53" s="201">
        <v>0.52118832070200183</v>
      </c>
      <c r="AE53" s="265">
        <v>0.30090821725578976</v>
      </c>
      <c r="AF53" s="372">
        <v>295.8486427488013</v>
      </c>
      <c r="AG53" s="379">
        <v>7396.2160687200339</v>
      </c>
      <c r="AH53" s="399"/>
      <c r="AI53" s="395" t="s">
        <v>614</v>
      </c>
    </row>
    <row r="54" spans="1:35" hidden="1" x14ac:dyDescent="0.3">
      <c r="A54" s="145">
        <v>45229</v>
      </c>
      <c r="B54" s="188">
        <v>53</v>
      </c>
      <c r="C54" s="80" t="s">
        <v>548</v>
      </c>
      <c r="D54" s="10" t="s">
        <v>552</v>
      </c>
      <c r="E54" s="2" t="s">
        <v>588</v>
      </c>
      <c r="F54" s="2" t="s">
        <v>584</v>
      </c>
      <c r="G54" s="67" t="s">
        <v>564</v>
      </c>
      <c r="H54" s="14" t="s">
        <v>56</v>
      </c>
      <c r="I54" s="67" t="s">
        <v>523</v>
      </c>
      <c r="J54" s="12" t="s">
        <v>551</v>
      </c>
      <c r="K54" s="110" t="s">
        <v>531</v>
      </c>
      <c r="L54" s="137" t="s">
        <v>607</v>
      </c>
      <c r="M54" s="110" t="s">
        <v>531</v>
      </c>
      <c r="N54" s="67" t="s">
        <v>532</v>
      </c>
      <c r="O54" s="67" t="s">
        <v>570</v>
      </c>
      <c r="P54" s="67" t="s">
        <v>573</v>
      </c>
      <c r="Q54" s="137" t="s">
        <v>0</v>
      </c>
      <c r="R54" s="110" t="s">
        <v>519</v>
      </c>
      <c r="S54" s="172">
        <v>100</v>
      </c>
      <c r="T54" s="165">
        <v>25</v>
      </c>
      <c r="U54" s="137" t="s">
        <v>0</v>
      </c>
      <c r="V54" s="165" t="s">
        <v>0</v>
      </c>
      <c r="W54" s="208">
        <v>142.86366996887253</v>
      </c>
      <c r="X54" s="165">
        <v>50</v>
      </c>
      <c r="Y54" s="165">
        <v>2</v>
      </c>
      <c r="Z54" s="208">
        <v>9.7147295578833324E-5</v>
      </c>
      <c r="AA54" s="208">
        <v>2.4286823894708329E-3</v>
      </c>
      <c r="AB54" s="208">
        <v>1.7675601843871376E-5</v>
      </c>
      <c r="AC54" s="201">
        <v>36.042372025926817</v>
      </c>
      <c r="AD54" s="201">
        <v>0.33292671940134017</v>
      </c>
      <c r="AE54" s="265">
        <v>0.19221533106678276</v>
      </c>
      <c r="AF54" s="372">
        <v>133.72345538891523</v>
      </c>
      <c r="AG54" s="378">
        <v>3343.0863847228807</v>
      </c>
      <c r="AH54" s="110"/>
      <c r="AI54" s="395" t="s">
        <v>614</v>
      </c>
    </row>
    <row r="55" spans="1:35" hidden="1" x14ac:dyDescent="0.3">
      <c r="A55" s="145">
        <v>45229</v>
      </c>
      <c r="B55" s="189">
        <v>54</v>
      </c>
      <c r="C55" s="80" t="s">
        <v>548</v>
      </c>
      <c r="D55" s="10" t="s">
        <v>552</v>
      </c>
      <c r="E55" s="2" t="s">
        <v>588</v>
      </c>
      <c r="F55" s="2" t="s">
        <v>584</v>
      </c>
      <c r="G55" s="67" t="s">
        <v>564</v>
      </c>
      <c r="H55" s="14" t="s">
        <v>57</v>
      </c>
      <c r="I55" s="67" t="s">
        <v>527</v>
      </c>
      <c r="J55" s="12" t="s">
        <v>551</v>
      </c>
      <c r="K55" s="110" t="s">
        <v>532</v>
      </c>
      <c r="L55" s="137" t="s">
        <v>608</v>
      </c>
      <c r="M55" s="110" t="s">
        <v>531</v>
      </c>
      <c r="N55" s="67" t="s">
        <v>532</v>
      </c>
      <c r="O55" s="67" t="s">
        <v>570</v>
      </c>
      <c r="P55" s="67" t="s">
        <v>573</v>
      </c>
      <c r="Q55" s="137" t="s">
        <v>0</v>
      </c>
      <c r="R55" s="110" t="s">
        <v>519</v>
      </c>
      <c r="S55" s="172">
        <v>100</v>
      </c>
      <c r="T55" s="165">
        <v>25</v>
      </c>
      <c r="U55" s="137" t="s">
        <v>576</v>
      </c>
      <c r="V55" s="360">
        <v>2000000</v>
      </c>
      <c r="W55" s="208">
        <v>7866103.6435127789</v>
      </c>
      <c r="X55" s="165">
        <v>50</v>
      </c>
      <c r="Y55" s="165">
        <v>2</v>
      </c>
      <c r="Z55" s="208">
        <v>5.3489504775886889</v>
      </c>
      <c r="AA55" s="208">
        <v>133.72376193971724</v>
      </c>
      <c r="AB55" s="208">
        <v>0.29499361791505624</v>
      </c>
      <c r="AC55" s="201">
        <v>16.956453357044349</v>
      </c>
      <c r="AD55" s="201">
        <v>9.6569865124580823E-2</v>
      </c>
      <c r="AE55" s="265">
        <v>5.5754637625282592E-2</v>
      </c>
      <c r="AF55" s="208">
        <v>7362841.5109807206</v>
      </c>
      <c r="AG55" s="378">
        <v>184071037.77451804</v>
      </c>
      <c r="AH55" s="110" t="s">
        <v>644</v>
      </c>
      <c r="AI55" s="393" t="s">
        <v>636</v>
      </c>
    </row>
    <row r="56" spans="1:35" hidden="1" x14ac:dyDescent="0.3">
      <c r="A56" s="145">
        <v>45229</v>
      </c>
      <c r="B56" s="189">
        <v>55</v>
      </c>
      <c r="C56" s="80" t="s">
        <v>548</v>
      </c>
      <c r="D56" s="10" t="s">
        <v>552</v>
      </c>
      <c r="E56" s="2" t="s">
        <v>588</v>
      </c>
      <c r="F56" s="2" t="s">
        <v>584</v>
      </c>
      <c r="G56" s="67" t="s">
        <v>564</v>
      </c>
      <c r="H56" s="14" t="s">
        <v>58</v>
      </c>
      <c r="I56" s="67" t="s">
        <v>527</v>
      </c>
      <c r="J56" s="12" t="s">
        <v>551</v>
      </c>
      <c r="K56" s="110" t="s">
        <v>532</v>
      </c>
      <c r="L56" s="137" t="s">
        <v>608</v>
      </c>
      <c r="M56" s="110" t="s">
        <v>531</v>
      </c>
      <c r="N56" s="67" t="s">
        <v>532</v>
      </c>
      <c r="O56" s="67" t="s">
        <v>570</v>
      </c>
      <c r="P56" s="67" t="s">
        <v>574</v>
      </c>
      <c r="Q56" s="137" t="s">
        <v>0</v>
      </c>
      <c r="R56" s="110" t="s">
        <v>519</v>
      </c>
      <c r="S56" s="172">
        <v>100</v>
      </c>
      <c r="T56" s="165">
        <v>25</v>
      </c>
      <c r="U56" s="137" t="s">
        <v>576</v>
      </c>
      <c r="V56" s="360">
        <v>2000000</v>
      </c>
      <c r="W56" s="208">
        <v>3202276.5443349164</v>
      </c>
      <c r="X56" s="165">
        <v>50</v>
      </c>
      <c r="Y56" s="165">
        <v>2</v>
      </c>
      <c r="Z56" s="208">
        <v>2.1775480501477431</v>
      </c>
      <c r="AA56" s="208">
        <v>54.43870125369358</v>
      </c>
      <c r="AB56" s="208">
        <v>0.11994407007969334</v>
      </c>
      <c r="AC56" s="201">
        <v>18.52620446781043</v>
      </c>
      <c r="AD56" s="201">
        <v>9.6637062908182678E-2</v>
      </c>
      <c r="AE56" s="265">
        <v>5.5793434283734074E-2</v>
      </c>
      <c r="AF56" s="208">
        <v>2997399.4418079928</v>
      </c>
      <c r="AG56" s="378">
        <v>74934986.045199811</v>
      </c>
      <c r="AH56" s="110" t="s">
        <v>644</v>
      </c>
      <c r="AI56" s="393" t="s">
        <v>636</v>
      </c>
    </row>
    <row r="57" spans="1:35" hidden="1" x14ac:dyDescent="0.3">
      <c r="A57" s="145">
        <v>45229</v>
      </c>
      <c r="B57" s="189">
        <v>56</v>
      </c>
      <c r="C57" s="80" t="s">
        <v>548</v>
      </c>
      <c r="D57" s="10" t="s">
        <v>552</v>
      </c>
      <c r="E57" s="2" t="s">
        <v>588</v>
      </c>
      <c r="F57" s="2" t="s">
        <v>584</v>
      </c>
      <c r="G57" s="67" t="s">
        <v>564</v>
      </c>
      <c r="H57" s="14" t="s">
        <v>59</v>
      </c>
      <c r="I57" s="67" t="s">
        <v>527</v>
      </c>
      <c r="J57" s="12" t="s">
        <v>551</v>
      </c>
      <c r="K57" s="110" t="s">
        <v>532</v>
      </c>
      <c r="L57" s="137" t="s">
        <v>608</v>
      </c>
      <c r="M57" s="110" t="s">
        <v>531</v>
      </c>
      <c r="N57" s="67" t="s">
        <v>532</v>
      </c>
      <c r="O57" s="67" t="s">
        <v>570</v>
      </c>
      <c r="P57" s="67" t="s">
        <v>503</v>
      </c>
      <c r="Q57" s="137" t="s">
        <v>0</v>
      </c>
      <c r="R57" s="110" t="s">
        <v>519</v>
      </c>
      <c r="S57" s="172">
        <v>100</v>
      </c>
      <c r="T57" s="165">
        <v>25</v>
      </c>
      <c r="U57" s="137" t="s">
        <v>576</v>
      </c>
      <c r="V57" s="360">
        <v>2000000</v>
      </c>
      <c r="W57" s="208">
        <v>3158563.0121757891</v>
      </c>
      <c r="X57" s="165">
        <v>50</v>
      </c>
      <c r="Y57" s="165">
        <v>2</v>
      </c>
      <c r="Z57" s="208">
        <v>2.1478228482795365</v>
      </c>
      <c r="AA57" s="208">
        <v>53.695571206988411</v>
      </c>
      <c r="AB57" s="208">
        <v>0.14943180343722604</v>
      </c>
      <c r="AC57" s="201">
        <v>18.551309316569249</v>
      </c>
      <c r="AD57" s="201">
        <v>0.1233111172051103</v>
      </c>
      <c r="AE57" s="265">
        <v>7.1193706712443933E-2</v>
      </c>
      <c r="AF57" s="208">
        <v>2956482.6393147721</v>
      </c>
      <c r="AG57" s="378">
        <v>73912065.982869297</v>
      </c>
      <c r="AH57" s="110" t="s">
        <v>644</v>
      </c>
      <c r="AI57" s="393" t="s">
        <v>636</v>
      </c>
    </row>
    <row r="58" spans="1:35" hidden="1" x14ac:dyDescent="0.3">
      <c r="A58" s="145">
        <v>45229</v>
      </c>
      <c r="B58" s="189">
        <v>57</v>
      </c>
      <c r="C58" s="80" t="s">
        <v>548</v>
      </c>
      <c r="D58" s="10" t="s">
        <v>552</v>
      </c>
      <c r="E58" s="2" t="s">
        <v>588</v>
      </c>
      <c r="F58" s="2" t="s">
        <v>584</v>
      </c>
      <c r="G58" s="67" t="s">
        <v>564</v>
      </c>
      <c r="H58" s="14" t="s">
        <v>60</v>
      </c>
      <c r="I58" s="67" t="s">
        <v>527</v>
      </c>
      <c r="J58" s="12" t="s">
        <v>551</v>
      </c>
      <c r="K58" s="110" t="s">
        <v>532</v>
      </c>
      <c r="L58" s="137" t="s">
        <v>608</v>
      </c>
      <c r="M58" s="110" t="s">
        <v>531</v>
      </c>
      <c r="N58" s="67" t="s">
        <v>532</v>
      </c>
      <c r="O58" s="67" t="s">
        <v>570</v>
      </c>
      <c r="P58" s="67" t="s">
        <v>575</v>
      </c>
      <c r="Q58" s="137" t="s">
        <v>0</v>
      </c>
      <c r="R58" s="110" t="s">
        <v>519</v>
      </c>
      <c r="S58" s="172">
        <v>100</v>
      </c>
      <c r="T58" s="165">
        <v>25</v>
      </c>
      <c r="U58" s="137" t="s">
        <v>576</v>
      </c>
      <c r="V58" s="360">
        <v>2000000</v>
      </c>
      <c r="W58" s="208">
        <v>9155692.0181675684</v>
      </c>
      <c r="X58" s="165">
        <v>50</v>
      </c>
      <c r="Y58" s="165">
        <v>2</v>
      </c>
      <c r="Z58" s="208">
        <v>6.225870572353946</v>
      </c>
      <c r="AA58" s="208">
        <v>155.64676430884865</v>
      </c>
      <c r="AB58" s="208">
        <v>0.2501816262845788</v>
      </c>
      <c r="AC58" s="201">
        <v>16.690443778725562</v>
      </c>
      <c r="AD58" s="201">
        <v>7.0018032216916951E-2</v>
      </c>
      <c r="AE58" s="265">
        <v>4.0424929748564896E-2</v>
      </c>
      <c r="AF58" s="208">
        <v>8569923.854068974</v>
      </c>
      <c r="AG58" s="378">
        <v>214248096.35172433</v>
      </c>
      <c r="AH58" s="110" t="s">
        <v>644</v>
      </c>
      <c r="AI58" s="393" t="s">
        <v>636</v>
      </c>
    </row>
    <row r="59" spans="1:35" hidden="1" x14ac:dyDescent="0.3">
      <c r="A59" s="145">
        <v>45229</v>
      </c>
      <c r="B59" s="189">
        <v>58</v>
      </c>
      <c r="C59" s="34" t="s">
        <v>547</v>
      </c>
      <c r="D59" s="10" t="s">
        <v>552</v>
      </c>
      <c r="E59" s="2" t="s">
        <v>588</v>
      </c>
      <c r="F59" s="2" t="s">
        <v>584</v>
      </c>
      <c r="G59" s="67" t="s">
        <v>564</v>
      </c>
      <c r="H59" s="14" t="s">
        <v>61</v>
      </c>
      <c r="I59" s="67" t="s">
        <v>524</v>
      </c>
      <c r="J59" s="12" t="s">
        <v>551</v>
      </c>
      <c r="K59" s="110" t="s">
        <v>532</v>
      </c>
      <c r="L59" s="137" t="s">
        <v>608</v>
      </c>
      <c r="M59" s="110" t="s">
        <v>531</v>
      </c>
      <c r="N59" s="67" t="s">
        <v>532</v>
      </c>
      <c r="O59" s="67" t="s">
        <v>570</v>
      </c>
      <c r="P59" s="67" t="s">
        <v>573</v>
      </c>
      <c r="Q59" s="137" t="s">
        <v>0</v>
      </c>
      <c r="R59" s="110" t="s">
        <v>519</v>
      </c>
      <c r="S59" s="172">
        <v>100</v>
      </c>
      <c r="T59" s="165" t="s">
        <v>0</v>
      </c>
      <c r="U59" s="137" t="s">
        <v>576</v>
      </c>
      <c r="V59" s="360">
        <v>2000000</v>
      </c>
      <c r="W59" s="208">
        <v>7463263.6521365698</v>
      </c>
      <c r="X59" s="165">
        <v>50</v>
      </c>
      <c r="Y59" s="165">
        <v>2</v>
      </c>
      <c r="Z59" s="208">
        <v>5.0750192834528676</v>
      </c>
      <c r="AA59" s="208">
        <v>126.87548208632168</v>
      </c>
      <c r="AB59" s="208">
        <v>0.25422113213648811</v>
      </c>
      <c r="AC59" s="201">
        <v>17.047972801445436</v>
      </c>
      <c r="AD59" s="201">
        <v>8.8020479915914399E-2</v>
      </c>
      <c r="AE59" s="265">
        <v>5.0818647773653226E-2</v>
      </c>
      <c r="AF59" s="208">
        <v>6985774.6497737775</v>
      </c>
      <c r="AG59" s="378">
        <v>174644366.24434444</v>
      </c>
      <c r="AH59" s="110" t="s">
        <v>645</v>
      </c>
      <c r="AI59" s="393" t="s">
        <v>634</v>
      </c>
    </row>
    <row r="60" spans="1:35" hidden="1" x14ac:dyDescent="0.3">
      <c r="A60" s="145">
        <v>45229</v>
      </c>
      <c r="B60" s="189">
        <v>59</v>
      </c>
      <c r="C60" s="34" t="s">
        <v>547</v>
      </c>
      <c r="D60" s="10" t="s">
        <v>552</v>
      </c>
      <c r="E60" s="2" t="s">
        <v>588</v>
      </c>
      <c r="F60" s="2" t="s">
        <v>584</v>
      </c>
      <c r="G60" s="67" t="s">
        <v>564</v>
      </c>
      <c r="H60" s="14" t="s">
        <v>62</v>
      </c>
      <c r="I60" s="67" t="s">
        <v>524</v>
      </c>
      <c r="J60" s="12" t="s">
        <v>551</v>
      </c>
      <c r="K60" s="110" t="s">
        <v>532</v>
      </c>
      <c r="L60" s="137" t="s">
        <v>608</v>
      </c>
      <c r="M60" s="110" t="s">
        <v>531</v>
      </c>
      <c r="N60" s="67" t="s">
        <v>532</v>
      </c>
      <c r="O60" s="67" t="s">
        <v>570</v>
      </c>
      <c r="P60" s="67" t="s">
        <v>574</v>
      </c>
      <c r="Q60" s="137" t="s">
        <v>0</v>
      </c>
      <c r="R60" s="110" t="s">
        <v>519</v>
      </c>
      <c r="S60" s="172">
        <v>100</v>
      </c>
      <c r="T60" s="165" t="s">
        <v>0</v>
      </c>
      <c r="U60" s="137" t="s">
        <v>576</v>
      </c>
      <c r="V60" s="360">
        <v>2000000</v>
      </c>
      <c r="W60" s="208">
        <v>5494756.6996667087</v>
      </c>
      <c r="X60" s="165">
        <v>50</v>
      </c>
      <c r="Y60" s="165">
        <v>2</v>
      </c>
      <c r="Z60" s="208">
        <v>3.7364345557733616</v>
      </c>
      <c r="AA60" s="208">
        <v>93.410863894334042</v>
      </c>
      <c r="AB60" s="208">
        <v>0.58854963103909419</v>
      </c>
      <c r="AC60" s="201">
        <v>17.595139940614803</v>
      </c>
      <c r="AD60" s="201">
        <v>0.2657979329299005</v>
      </c>
      <c r="AE60" s="265">
        <v>0.15345850812712417</v>
      </c>
      <c r="AF60" s="208">
        <v>5143209.9746626923</v>
      </c>
      <c r="AG60" s="378">
        <v>128580249.36656731</v>
      </c>
      <c r="AH60" s="110" t="s">
        <v>645</v>
      </c>
      <c r="AI60" s="393" t="s">
        <v>634</v>
      </c>
    </row>
    <row r="61" spans="1:35" hidden="1" x14ac:dyDescent="0.3">
      <c r="A61" s="145">
        <v>45229</v>
      </c>
      <c r="B61" s="189">
        <v>60</v>
      </c>
      <c r="C61" s="34" t="s">
        <v>547</v>
      </c>
      <c r="D61" s="10" t="s">
        <v>552</v>
      </c>
      <c r="E61" s="2" t="s">
        <v>588</v>
      </c>
      <c r="F61" s="2" t="s">
        <v>584</v>
      </c>
      <c r="G61" s="67" t="s">
        <v>564</v>
      </c>
      <c r="H61" s="14" t="s">
        <v>63</v>
      </c>
      <c r="I61" s="67" t="s">
        <v>524</v>
      </c>
      <c r="J61" s="12" t="s">
        <v>551</v>
      </c>
      <c r="K61" s="110" t="s">
        <v>532</v>
      </c>
      <c r="L61" s="137" t="s">
        <v>608</v>
      </c>
      <c r="M61" s="110" t="s">
        <v>531</v>
      </c>
      <c r="N61" s="67" t="s">
        <v>532</v>
      </c>
      <c r="O61" s="67" t="s">
        <v>570</v>
      </c>
      <c r="P61" s="67" t="s">
        <v>503</v>
      </c>
      <c r="Q61" s="137" t="s">
        <v>0</v>
      </c>
      <c r="R61" s="110" t="s">
        <v>519</v>
      </c>
      <c r="S61" s="172">
        <v>100</v>
      </c>
      <c r="T61" s="165" t="s">
        <v>0</v>
      </c>
      <c r="U61" s="137" t="s">
        <v>576</v>
      </c>
      <c r="V61" s="360">
        <v>2000000</v>
      </c>
      <c r="W61" s="208">
        <v>5630926.0010532262</v>
      </c>
      <c r="X61" s="165">
        <v>50</v>
      </c>
      <c r="Y61" s="165">
        <v>2</v>
      </c>
      <c r="Z61" s="252">
        <v>3.8290296807161939</v>
      </c>
      <c r="AA61" s="208">
        <v>95.725742017904849</v>
      </c>
      <c r="AB61" s="208">
        <v>9.5653984833891426E-2</v>
      </c>
      <c r="AC61" s="201">
        <v>17.538937550706549</v>
      </c>
      <c r="AD61" s="201">
        <v>4.3524182367613087E-2</v>
      </c>
      <c r="AE61" s="265">
        <v>2.512869840619978E-2</v>
      </c>
      <c r="AF61" s="208">
        <v>5270667.3576577343</v>
      </c>
      <c r="AG61" s="378">
        <v>131766683.94144335</v>
      </c>
      <c r="AH61" s="110" t="s">
        <v>645</v>
      </c>
      <c r="AI61" s="393" t="s">
        <v>634</v>
      </c>
    </row>
    <row r="62" spans="1:35" hidden="1" x14ac:dyDescent="0.3">
      <c r="A62" s="145">
        <v>45229</v>
      </c>
      <c r="B62" s="189">
        <v>61</v>
      </c>
      <c r="C62" s="80" t="s">
        <v>548</v>
      </c>
      <c r="D62" s="315" t="s">
        <v>0</v>
      </c>
      <c r="E62" s="315" t="s">
        <v>0</v>
      </c>
      <c r="F62" s="315" t="s">
        <v>0</v>
      </c>
      <c r="G62" s="67" t="s">
        <v>564</v>
      </c>
      <c r="H62" s="14" t="s">
        <v>64</v>
      </c>
      <c r="I62" s="67" t="s">
        <v>518</v>
      </c>
      <c r="J62" s="9" t="s">
        <v>0</v>
      </c>
      <c r="K62" s="110" t="s">
        <v>531</v>
      </c>
      <c r="L62" s="137" t="s">
        <v>593</v>
      </c>
      <c r="M62" s="110" t="s">
        <v>532</v>
      </c>
      <c r="N62" s="67" t="s">
        <v>532</v>
      </c>
      <c r="O62" s="67" t="s">
        <v>570</v>
      </c>
      <c r="P62" s="67" t="s">
        <v>573</v>
      </c>
      <c r="Q62" s="137" t="s">
        <v>0</v>
      </c>
      <c r="R62" s="110" t="s">
        <v>0</v>
      </c>
      <c r="S62" s="172">
        <v>100</v>
      </c>
      <c r="T62" s="165">
        <v>25</v>
      </c>
      <c r="U62" s="137" t="s">
        <v>576</v>
      </c>
      <c r="V62" s="360">
        <v>20000000</v>
      </c>
      <c r="W62" s="208">
        <v>27757865.441753816</v>
      </c>
      <c r="X62" s="165">
        <v>50</v>
      </c>
      <c r="Y62" s="195">
        <v>2</v>
      </c>
      <c r="Z62" s="208">
        <v>18.875348500392594</v>
      </c>
      <c r="AA62" s="208">
        <v>471.88371250981487</v>
      </c>
      <c r="AB62" s="208">
        <v>0.82563022197555802</v>
      </c>
      <c r="AC62" s="201">
        <v>14.753300011023098</v>
      </c>
      <c r="AD62" s="201">
        <v>7.6815417764320784E-2</v>
      </c>
      <c r="AE62" s="265">
        <v>4.434940212414417E-2</v>
      </c>
      <c r="AF62" s="208">
        <v>25981956.657704722</v>
      </c>
      <c r="AG62" s="378">
        <v>649548916.44261813</v>
      </c>
      <c r="AH62" s="110"/>
      <c r="AI62" s="393"/>
    </row>
    <row r="63" spans="1:35" hidden="1" x14ac:dyDescent="0.3">
      <c r="A63" s="145">
        <v>45229</v>
      </c>
      <c r="B63" s="189">
        <v>62</v>
      </c>
      <c r="C63" s="80" t="s">
        <v>548</v>
      </c>
      <c r="D63" s="10" t="s">
        <v>552</v>
      </c>
      <c r="E63" s="2" t="s">
        <v>588</v>
      </c>
      <c r="F63" s="2" t="s">
        <v>584</v>
      </c>
      <c r="G63" s="67" t="s">
        <v>564</v>
      </c>
      <c r="H63" s="14" t="s">
        <v>65</v>
      </c>
      <c r="I63" s="67" t="s">
        <v>517</v>
      </c>
      <c r="J63" s="9" t="s">
        <v>0</v>
      </c>
      <c r="K63" s="110" t="s">
        <v>531</v>
      </c>
      <c r="L63" s="137" t="s">
        <v>593</v>
      </c>
      <c r="M63" s="110" t="s">
        <v>532</v>
      </c>
      <c r="N63" s="67" t="s">
        <v>532</v>
      </c>
      <c r="O63" s="67" t="s">
        <v>570</v>
      </c>
      <c r="P63" s="67" t="s">
        <v>573</v>
      </c>
      <c r="Q63" s="137" t="s">
        <v>0</v>
      </c>
      <c r="R63" s="110" t="s">
        <v>519</v>
      </c>
      <c r="S63" s="172">
        <v>100</v>
      </c>
      <c r="T63" s="165">
        <v>25</v>
      </c>
      <c r="U63" s="137" t="s">
        <v>576</v>
      </c>
      <c r="V63" s="360">
        <v>2000000</v>
      </c>
      <c r="W63" s="208">
        <v>10328956.244485943</v>
      </c>
      <c r="X63" s="165">
        <v>50</v>
      </c>
      <c r="Y63" s="195">
        <v>2</v>
      </c>
      <c r="Z63" s="208">
        <v>7.0236902462504407</v>
      </c>
      <c r="AA63" s="208">
        <v>175.59225615626102</v>
      </c>
      <c r="AB63" s="208">
        <v>6.1499311125701084</v>
      </c>
      <c r="AC63" s="201">
        <v>22.685696562761461</v>
      </c>
      <c r="AD63" s="201">
        <v>11.966842855253905</v>
      </c>
      <c r="AE63" s="265">
        <v>6.9090599438307922</v>
      </c>
      <c r="AF63" s="208">
        <v>9668124.3025222402</v>
      </c>
      <c r="AG63" s="378">
        <v>241703107.56305599</v>
      </c>
      <c r="AH63" s="110"/>
      <c r="AI63" s="393"/>
    </row>
    <row r="64" spans="1:35" hidden="1" x14ac:dyDescent="0.3">
      <c r="A64" s="145">
        <v>45229</v>
      </c>
      <c r="B64" s="189">
        <v>63</v>
      </c>
      <c r="C64" s="80" t="s">
        <v>548</v>
      </c>
      <c r="D64" s="10" t="s">
        <v>552</v>
      </c>
      <c r="E64" s="2" t="s">
        <v>588</v>
      </c>
      <c r="F64" s="2" t="s">
        <v>584</v>
      </c>
      <c r="G64" s="67" t="s">
        <v>564</v>
      </c>
      <c r="H64" s="14" t="s">
        <v>66</v>
      </c>
      <c r="I64" s="67" t="s">
        <v>517</v>
      </c>
      <c r="J64" s="9" t="s">
        <v>0</v>
      </c>
      <c r="K64" s="110" t="s">
        <v>531</v>
      </c>
      <c r="L64" s="137" t="s">
        <v>593</v>
      </c>
      <c r="M64" s="110" t="s">
        <v>532</v>
      </c>
      <c r="N64" s="67" t="s">
        <v>532</v>
      </c>
      <c r="O64" s="67" t="s">
        <v>570</v>
      </c>
      <c r="P64" s="67" t="s">
        <v>574</v>
      </c>
      <c r="Q64" s="137" t="s">
        <v>0</v>
      </c>
      <c r="R64" s="110" t="s">
        <v>519</v>
      </c>
      <c r="S64" s="172">
        <v>100</v>
      </c>
      <c r="T64" s="165">
        <v>25</v>
      </c>
      <c r="U64" s="137" t="s">
        <v>576</v>
      </c>
      <c r="V64" s="360">
        <v>2000000</v>
      </c>
      <c r="W64" s="208">
        <v>18791090.961361483</v>
      </c>
      <c r="X64" s="165">
        <v>50</v>
      </c>
      <c r="Y64" s="195">
        <v>2</v>
      </c>
      <c r="Z64" s="208">
        <v>12.777941853725808</v>
      </c>
      <c r="AA64" s="270">
        <v>319.44854634314521</v>
      </c>
      <c r="AB64" s="208">
        <v>4.4594489515594553</v>
      </c>
      <c r="AC64" s="201">
        <v>15.498603142796085</v>
      </c>
      <c r="AD64" s="201">
        <v>0.56912334522542485</v>
      </c>
      <c r="AE64" s="265">
        <v>0.32858351656799939</v>
      </c>
      <c r="AF64" s="208">
        <v>17588863.665816281</v>
      </c>
      <c r="AG64" s="378">
        <v>439721591.64540702</v>
      </c>
      <c r="AH64" s="110"/>
      <c r="AI64" s="393"/>
    </row>
    <row r="65" spans="1:35" x14ac:dyDescent="0.3">
      <c r="A65" s="145">
        <v>45229</v>
      </c>
      <c r="B65" s="189">
        <v>64</v>
      </c>
      <c r="C65" s="34" t="s">
        <v>547</v>
      </c>
      <c r="D65" s="10" t="s">
        <v>552</v>
      </c>
      <c r="E65" s="2" t="s">
        <v>588</v>
      </c>
      <c r="F65" s="2" t="s">
        <v>584</v>
      </c>
      <c r="G65" s="67" t="s">
        <v>564</v>
      </c>
      <c r="H65" s="14" t="s">
        <v>67</v>
      </c>
      <c r="I65" s="67" t="s">
        <v>517</v>
      </c>
      <c r="J65" s="9" t="s">
        <v>0</v>
      </c>
      <c r="K65" s="110" t="s">
        <v>531</v>
      </c>
      <c r="L65" s="137" t="s">
        <v>593</v>
      </c>
      <c r="M65" s="110" t="s">
        <v>531</v>
      </c>
      <c r="N65" s="67" t="s">
        <v>532</v>
      </c>
      <c r="O65" s="67" t="s">
        <v>570</v>
      </c>
      <c r="P65" s="67" t="s">
        <v>573</v>
      </c>
      <c r="Q65" s="137" t="s">
        <v>0</v>
      </c>
      <c r="R65" s="110" t="s">
        <v>519</v>
      </c>
      <c r="S65" s="172">
        <v>100</v>
      </c>
      <c r="T65" s="165" t="s">
        <v>0</v>
      </c>
      <c r="U65" s="137" t="s">
        <v>576</v>
      </c>
      <c r="V65" s="360">
        <v>2000000</v>
      </c>
      <c r="W65" s="208">
        <v>13128628.545369972</v>
      </c>
      <c r="X65" s="165">
        <v>50</v>
      </c>
      <c r="Y65" s="195">
        <v>2</v>
      </c>
      <c r="Z65" s="208">
        <v>8.9274674108515804</v>
      </c>
      <c r="AA65" s="270">
        <v>223.18668527128952</v>
      </c>
      <c r="AB65" s="208">
        <v>1.3993920934407489</v>
      </c>
      <c r="AC65" s="201">
        <v>16.073576256553768</v>
      </c>
      <c r="AD65" s="201">
        <v>0.26357829604011629</v>
      </c>
      <c r="AE65" s="265">
        <v>0.15217700017130401</v>
      </c>
      <c r="AF65" s="208">
        <v>12288677.548231373</v>
      </c>
      <c r="AG65" s="378">
        <v>307216938.70578432</v>
      </c>
      <c r="AH65" s="110"/>
      <c r="AI65" s="393" t="s">
        <v>752</v>
      </c>
    </row>
    <row r="66" spans="1:35" ht="16.2" thickBot="1" x14ac:dyDescent="0.35">
      <c r="A66" s="148">
        <v>45229</v>
      </c>
      <c r="B66" s="190">
        <v>65</v>
      </c>
      <c r="C66" s="32" t="s">
        <v>547</v>
      </c>
      <c r="D66" s="25" t="s">
        <v>552</v>
      </c>
      <c r="E66" s="23" t="s">
        <v>588</v>
      </c>
      <c r="F66" s="23" t="s">
        <v>584</v>
      </c>
      <c r="G66" s="79" t="s">
        <v>564</v>
      </c>
      <c r="H66" s="328" t="s">
        <v>68</v>
      </c>
      <c r="I66" s="130" t="s">
        <v>517</v>
      </c>
      <c r="J66" s="116" t="s">
        <v>0</v>
      </c>
      <c r="K66" s="110" t="s">
        <v>531</v>
      </c>
      <c r="L66" s="357" t="s">
        <v>593</v>
      </c>
      <c r="M66" s="108" t="s">
        <v>532</v>
      </c>
      <c r="N66" s="79" t="s">
        <v>532</v>
      </c>
      <c r="O66" s="79" t="s">
        <v>570</v>
      </c>
      <c r="P66" s="118" t="s">
        <v>573</v>
      </c>
      <c r="Q66" s="138" t="s">
        <v>0</v>
      </c>
      <c r="R66" s="111" t="s">
        <v>519</v>
      </c>
      <c r="S66" s="175">
        <v>100</v>
      </c>
      <c r="T66" s="169" t="s">
        <v>0</v>
      </c>
      <c r="U66" s="108" t="s">
        <v>576</v>
      </c>
      <c r="V66" s="363">
        <v>20000000</v>
      </c>
      <c r="W66" s="211">
        <v>27593472.273566492</v>
      </c>
      <c r="X66" s="169">
        <v>50</v>
      </c>
      <c r="Y66" s="205">
        <v>2</v>
      </c>
      <c r="Z66" s="271">
        <v>18.763561146025214</v>
      </c>
      <c r="AA66" s="272">
        <v>469.08902865063038</v>
      </c>
      <c r="AB66" s="211">
        <v>1.1679304071038703</v>
      </c>
      <c r="AC66" s="203">
        <v>14.764777676614846</v>
      </c>
      <c r="AD66" s="203">
        <v>0.10757883523760821</v>
      </c>
      <c r="AE66" s="268">
        <v>6.21106694835395E-2</v>
      </c>
      <c r="AF66" s="211">
        <v>25828081.130797639</v>
      </c>
      <c r="AG66" s="380">
        <v>645702028.26994109</v>
      </c>
      <c r="AH66" s="111"/>
      <c r="AI66" s="393" t="s">
        <v>752</v>
      </c>
    </row>
    <row r="67" spans="1:35" hidden="1" x14ac:dyDescent="0.3">
      <c r="A67" s="149">
        <v>45245</v>
      </c>
      <c r="B67" s="188">
        <v>66</v>
      </c>
      <c r="C67" s="71" t="s">
        <v>549</v>
      </c>
      <c r="D67" s="20" t="s">
        <v>552</v>
      </c>
      <c r="E67" s="17" t="s">
        <v>588</v>
      </c>
      <c r="F67" s="17" t="s">
        <v>584</v>
      </c>
      <c r="G67" s="43" t="s">
        <v>563</v>
      </c>
      <c r="H67" s="329" t="s">
        <v>69</v>
      </c>
      <c r="I67" s="43" t="s">
        <v>517</v>
      </c>
      <c r="J67" s="19" t="s">
        <v>0</v>
      </c>
      <c r="K67" s="17" t="s">
        <v>531</v>
      </c>
      <c r="L67" s="89" t="s">
        <v>593</v>
      </c>
      <c r="M67" s="17" t="s">
        <v>532</v>
      </c>
      <c r="N67" s="17" t="s">
        <v>532</v>
      </c>
      <c r="O67" s="17" t="s">
        <v>570</v>
      </c>
      <c r="P67" s="117" t="s">
        <v>573</v>
      </c>
      <c r="Q67" s="330" t="s">
        <v>0</v>
      </c>
      <c r="R67" s="117" t="s">
        <v>519</v>
      </c>
      <c r="S67" s="170">
        <v>100</v>
      </c>
      <c r="T67" s="164" t="s">
        <v>0</v>
      </c>
      <c r="U67" s="72" t="s">
        <v>576</v>
      </c>
      <c r="V67" s="364">
        <v>20</v>
      </c>
      <c r="W67" s="209">
        <v>54.844216704713439</v>
      </c>
      <c r="X67" s="164">
        <v>50</v>
      </c>
      <c r="Y67" s="194">
        <v>2</v>
      </c>
      <c r="Z67" s="209">
        <v>3.729406735920514E-5</v>
      </c>
      <c r="AA67" s="202">
        <v>9.3235168398012849E-4</v>
      </c>
      <c r="AB67" s="209">
        <v>1.4529990428825792E-5</v>
      </c>
      <c r="AC67" s="232">
        <v>34.541393038934402</v>
      </c>
      <c r="AD67" s="209">
        <v>0.59616931997873779</v>
      </c>
      <c r="AE67" s="279">
        <v>0.34419851737232043</v>
      </c>
      <c r="AF67" s="209">
        <v>51.33536165948059</v>
      </c>
      <c r="AG67" s="1">
        <v>1283.3840414870147</v>
      </c>
      <c r="AH67" s="117"/>
      <c r="AI67" s="404"/>
    </row>
    <row r="68" spans="1:35" hidden="1" x14ac:dyDescent="0.3">
      <c r="A68" s="145">
        <v>45245</v>
      </c>
      <c r="B68" s="189">
        <v>67</v>
      </c>
      <c r="C68" s="70" t="s">
        <v>549</v>
      </c>
      <c r="D68" s="10" t="s">
        <v>552</v>
      </c>
      <c r="E68" s="2" t="s">
        <v>588</v>
      </c>
      <c r="F68" s="2" t="s">
        <v>584</v>
      </c>
      <c r="G68" s="106" t="s">
        <v>563</v>
      </c>
      <c r="H68" s="132" t="s">
        <v>70</v>
      </c>
      <c r="I68" s="110" t="s">
        <v>517</v>
      </c>
      <c r="J68" s="96" t="s">
        <v>0</v>
      </c>
      <c r="K68" s="2" t="s">
        <v>531</v>
      </c>
      <c r="L68" s="67" t="s">
        <v>593</v>
      </c>
      <c r="M68" s="67" t="s">
        <v>532</v>
      </c>
      <c r="N68" s="67" t="s">
        <v>532</v>
      </c>
      <c r="O68" s="67" t="s">
        <v>570</v>
      </c>
      <c r="P68" s="110" t="s">
        <v>573</v>
      </c>
      <c r="Q68" s="137" t="s">
        <v>0</v>
      </c>
      <c r="R68" s="110" t="s">
        <v>519</v>
      </c>
      <c r="S68" s="172">
        <v>100</v>
      </c>
      <c r="T68" s="165" t="s">
        <v>0</v>
      </c>
      <c r="U68" s="67" t="s">
        <v>576</v>
      </c>
      <c r="V68" s="361">
        <v>200</v>
      </c>
      <c r="W68" s="208">
        <v>220.75737101745244</v>
      </c>
      <c r="X68" s="165">
        <v>50</v>
      </c>
      <c r="Y68" s="195">
        <v>2</v>
      </c>
      <c r="Z68" s="208">
        <v>1.5011501229186765E-4</v>
      </c>
      <c r="AA68" s="270">
        <v>3.7528753072966913E-3</v>
      </c>
      <c r="AB68" s="208">
        <v>3.4608000327224655E-5</v>
      </c>
      <c r="AC68" s="216">
        <v>32.202218899389287</v>
      </c>
      <c r="AD68" s="208">
        <v>0.38055703183141998</v>
      </c>
      <c r="AE68" s="270">
        <v>0.21971470476987531</v>
      </c>
      <c r="AF68" s="208">
        <v>206.6336281397397</v>
      </c>
      <c r="AG68" s="378">
        <v>5165.8407034934935</v>
      </c>
      <c r="AH68" s="110"/>
      <c r="AI68" s="393"/>
    </row>
    <row r="69" spans="1:35" hidden="1" x14ac:dyDescent="0.3">
      <c r="A69" s="145">
        <v>45245</v>
      </c>
      <c r="B69" s="189">
        <v>68</v>
      </c>
      <c r="C69" s="70" t="s">
        <v>549</v>
      </c>
      <c r="D69" s="10" t="s">
        <v>552</v>
      </c>
      <c r="E69" s="2" t="s">
        <v>588</v>
      </c>
      <c r="F69" s="2" t="s">
        <v>584</v>
      </c>
      <c r="G69" s="106" t="s">
        <v>563</v>
      </c>
      <c r="H69" s="132" t="s">
        <v>71</v>
      </c>
      <c r="I69" s="110" t="s">
        <v>517</v>
      </c>
      <c r="J69" s="96" t="s">
        <v>0</v>
      </c>
      <c r="K69" s="2" t="s">
        <v>531</v>
      </c>
      <c r="L69" s="67" t="s">
        <v>593</v>
      </c>
      <c r="M69" s="67" t="s">
        <v>532</v>
      </c>
      <c r="N69" s="67" t="s">
        <v>532</v>
      </c>
      <c r="O69" s="67" t="s">
        <v>570</v>
      </c>
      <c r="P69" s="110" t="s">
        <v>573</v>
      </c>
      <c r="Q69" s="137" t="s">
        <v>0</v>
      </c>
      <c r="R69" s="110" t="s">
        <v>519</v>
      </c>
      <c r="S69" s="172">
        <v>100</v>
      </c>
      <c r="T69" s="165" t="s">
        <v>0</v>
      </c>
      <c r="U69" s="67" t="s">
        <v>576</v>
      </c>
      <c r="V69" s="361">
        <v>2000</v>
      </c>
      <c r="W69" s="208">
        <v>1620.5514514489614</v>
      </c>
      <c r="X69" s="165">
        <v>50</v>
      </c>
      <c r="Y69" s="195">
        <v>2</v>
      </c>
      <c r="Z69" s="208">
        <v>1.1019749869852938E-3</v>
      </c>
      <c r="AA69" s="270">
        <v>2.7549374674632345E-2</v>
      </c>
      <c r="AB69" s="208">
        <v>2.2116793726853406E-4</v>
      </c>
      <c r="AC69" s="216">
        <v>28.913673424250721</v>
      </c>
      <c r="AD69" s="208">
        <v>0.33404810977432559</v>
      </c>
      <c r="AE69" s="270">
        <v>0.19286276610049255</v>
      </c>
      <c r="AF69" s="208">
        <v>1516.8708725632862</v>
      </c>
      <c r="AG69" s="378">
        <v>37921.771814082153</v>
      </c>
      <c r="AH69" s="110"/>
      <c r="AI69" s="393"/>
    </row>
    <row r="70" spans="1:35" hidden="1" x14ac:dyDescent="0.3">
      <c r="A70" s="145">
        <v>45245</v>
      </c>
      <c r="B70" s="189">
        <v>69</v>
      </c>
      <c r="C70" s="70" t="s">
        <v>549</v>
      </c>
      <c r="D70" s="10" t="s">
        <v>552</v>
      </c>
      <c r="E70" s="2" t="s">
        <v>588</v>
      </c>
      <c r="F70" s="2" t="s">
        <v>584</v>
      </c>
      <c r="G70" s="106" t="s">
        <v>563</v>
      </c>
      <c r="H70" s="132" t="s">
        <v>72</v>
      </c>
      <c r="I70" s="110" t="s">
        <v>517</v>
      </c>
      <c r="J70" s="96" t="s">
        <v>0</v>
      </c>
      <c r="K70" s="2" t="s">
        <v>531</v>
      </c>
      <c r="L70" s="67" t="s">
        <v>593</v>
      </c>
      <c r="M70" s="67" t="s">
        <v>532</v>
      </c>
      <c r="N70" s="67" t="s">
        <v>532</v>
      </c>
      <c r="O70" s="67" t="s">
        <v>570</v>
      </c>
      <c r="P70" s="110" t="s">
        <v>573</v>
      </c>
      <c r="Q70" s="137" t="s">
        <v>0</v>
      </c>
      <c r="R70" s="110" t="s">
        <v>519</v>
      </c>
      <c r="S70" s="172">
        <v>100</v>
      </c>
      <c r="T70" s="165" t="s">
        <v>0</v>
      </c>
      <c r="U70" s="67" t="s">
        <v>576</v>
      </c>
      <c r="V70" s="361">
        <v>20000</v>
      </c>
      <c r="W70" s="208">
        <v>61734.97616828265</v>
      </c>
      <c r="X70" s="165">
        <v>50</v>
      </c>
      <c r="Y70" s="195">
        <v>2</v>
      </c>
      <c r="Z70" s="208">
        <v>4.19797837944322E-2</v>
      </c>
      <c r="AA70" s="270">
        <v>1.049494594860805</v>
      </c>
      <c r="AB70" s="208">
        <v>1.299184456813131E-2</v>
      </c>
      <c r="AC70" s="216">
        <v>22.959185591851636</v>
      </c>
      <c r="AD70" s="208">
        <v>0.56435484222387633</v>
      </c>
      <c r="AE70" s="270">
        <v>0.32583042007642382</v>
      </c>
      <c r="AF70" s="208">
        <v>57785.260125081477</v>
      </c>
      <c r="AG70" s="378">
        <v>1444631.5031270368</v>
      </c>
      <c r="AH70" s="110"/>
      <c r="AI70" s="393"/>
    </row>
    <row r="71" spans="1:35" hidden="1" x14ac:dyDescent="0.3">
      <c r="A71" s="145">
        <v>45245</v>
      </c>
      <c r="B71" s="189">
        <v>70</v>
      </c>
      <c r="C71" s="70" t="s">
        <v>549</v>
      </c>
      <c r="D71" s="10" t="s">
        <v>552</v>
      </c>
      <c r="E71" s="2" t="s">
        <v>588</v>
      </c>
      <c r="F71" s="2" t="s">
        <v>584</v>
      </c>
      <c r="G71" s="106" t="s">
        <v>563</v>
      </c>
      <c r="H71" s="132" t="s">
        <v>73</v>
      </c>
      <c r="I71" s="110" t="s">
        <v>517</v>
      </c>
      <c r="J71" s="96" t="s">
        <v>0</v>
      </c>
      <c r="K71" s="2" t="s">
        <v>531</v>
      </c>
      <c r="L71" s="79" t="s">
        <v>593</v>
      </c>
      <c r="M71" s="67" t="s">
        <v>532</v>
      </c>
      <c r="N71" s="67" t="s">
        <v>532</v>
      </c>
      <c r="O71" s="67" t="s">
        <v>570</v>
      </c>
      <c r="P71" s="110" t="s">
        <v>573</v>
      </c>
      <c r="Q71" s="137" t="s">
        <v>0</v>
      </c>
      <c r="R71" s="110" t="s">
        <v>519</v>
      </c>
      <c r="S71" s="172">
        <v>100</v>
      </c>
      <c r="T71" s="165" t="s">
        <v>0</v>
      </c>
      <c r="U71" s="67" t="s">
        <v>576</v>
      </c>
      <c r="V71" s="361">
        <v>200000</v>
      </c>
      <c r="W71" s="208">
        <v>466268.54897489224</v>
      </c>
      <c r="X71" s="165">
        <v>50</v>
      </c>
      <c r="Y71" s="195">
        <v>2</v>
      </c>
      <c r="Z71" s="208">
        <v>0.31706261330292673</v>
      </c>
      <c r="AA71" s="270">
        <v>7.9265653325731682</v>
      </c>
      <c r="AB71" s="208">
        <v>9.4545428318798683E-2</v>
      </c>
      <c r="AC71" s="216">
        <v>19.615505181174761</v>
      </c>
      <c r="AD71" s="208">
        <v>0.46289726313371093</v>
      </c>
      <c r="AE71" s="270">
        <v>0.26725385947738906</v>
      </c>
      <c r="AF71" s="208">
        <v>436437.34982927033</v>
      </c>
      <c r="AG71" s="378">
        <v>10910933.745731756</v>
      </c>
      <c r="AH71" s="110"/>
      <c r="AI71" s="393"/>
    </row>
    <row r="72" spans="1:35" hidden="1" x14ac:dyDescent="0.3">
      <c r="A72" s="145">
        <v>45245</v>
      </c>
      <c r="B72" s="189">
        <v>71</v>
      </c>
      <c r="C72" s="70" t="s">
        <v>549</v>
      </c>
      <c r="D72" s="10" t="s">
        <v>552</v>
      </c>
      <c r="E72" s="2" t="s">
        <v>588</v>
      </c>
      <c r="F72" s="2" t="s">
        <v>584</v>
      </c>
      <c r="G72" s="106" t="s">
        <v>563</v>
      </c>
      <c r="H72" s="132" t="s">
        <v>74</v>
      </c>
      <c r="I72" s="110" t="s">
        <v>517</v>
      </c>
      <c r="J72" s="96" t="s">
        <v>0</v>
      </c>
      <c r="K72" s="67" t="s">
        <v>531</v>
      </c>
      <c r="L72" s="110" t="s">
        <v>593</v>
      </c>
      <c r="M72" s="106" t="s">
        <v>532</v>
      </c>
      <c r="N72" s="67" t="s">
        <v>532</v>
      </c>
      <c r="O72" s="67" t="s">
        <v>570</v>
      </c>
      <c r="P72" s="110" t="s">
        <v>573</v>
      </c>
      <c r="Q72" s="137" t="s">
        <v>0</v>
      </c>
      <c r="R72" s="110" t="s">
        <v>519</v>
      </c>
      <c r="S72" s="172">
        <v>100</v>
      </c>
      <c r="T72" s="165" t="s">
        <v>0</v>
      </c>
      <c r="U72" s="67" t="s">
        <v>576</v>
      </c>
      <c r="V72" s="361">
        <v>2000000</v>
      </c>
      <c r="W72" s="208">
        <v>10235590.079400824</v>
      </c>
      <c r="X72" s="165">
        <v>50</v>
      </c>
      <c r="Y72" s="195">
        <v>2</v>
      </c>
      <c r="Z72" s="208">
        <v>6.96020125399256</v>
      </c>
      <c r="AA72" s="270">
        <v>174.005031349814</v>
      </c>
      <c r="AB72" s="208">
        <v>2.1627266148133577</v>
      </c>
      <c r="AC72" s="216">
        <v>14.540345112421186</v>
      </c>
      <c r="AD72" s="208">
        <v>0.52672529937591761</v>
      </c>
      <c r="AE72" s="270">
        <v>0.30410499338367225</v>
      </c>
      <c r="AF72" s="208">
        <v>9580731.5719958972</v>
      </c>
      <c r="AG72" s="378">
        <v>239518289.29989749</v>
      </c>
      <c r="AH72" s="110"/>
      <c r="AI72" s="393"/>
    </row>
    <row r="73" spans="1:35" hidden="1" x14ac:dyDescent="0.3">
      <c r="A73" s="145">
        <v>45245</v>
      </c>
      <c r="B73" s="189">
        <v>72</v>
      </c>
      <c r="C73" s="80" t="s">
        <v>548</v>
      </c>
      <c r="D73" s="10" t="s">
        <v>552</v>
      </c>
      <c r="E73" s="2" t="s">
        <v>588</v>
      </c>
      <c r="F73" s="2" t="s">
        <v>584</v>
      </c>
      <c r="G73" s="106" t="s">
        <v>563</v>
      </c>
      <c r="H73" s="132" t="s">
        <v>75</v>
      </c>
      <c r="I73" s="110" t="s">
        <v>517</v>
      </c>
      <c r="J73" s="96" t="s">
        <v>0</v>
      </c>
      <c r="K73" s="67" t="s">
        <v>531</v>
      </c>
      <c r="L73" s="110" t="s">
        <v>593</v>
      </c>
      <c r="M73" s="106" t="s">
        <v>531</v>
      </c>
      <c r="N73" s="67" t="s">
        <v>532</v>
      </c>
      <c r="O73" s="67" t="s">
        <v>570</v>
      </c>
      <c r="P73" s="110" t="s">
        <v>573</v>
      </c>
      <c r="Q73" s="137" t="s">
        <v>0</v>
      </c>
      <c r="R73" s="110" t="s">
        <v>519</v>
      </c>
      <c r="S73" s="172">
        <v>100</v>
      </c>
      <c r="T73" s="165">
        <v>25</v>
      </c>
      <c r="U73" s="67" t="s">
        <v>576</v>
      </c>
      <c r="V73" s="361">
        <v>20000000</v>
      </c>
      <c r="W73" s="208">
        <v>38818429.84645316</v>
      </c>
      <c r="X73" s="165">
        <v>50</v>
      </c>
      <c r="Y73" s="195">
        <v>2</v>
      </c>
      <c r="Z73" s="208">
        <v>26.396532295588148</v>
      </c>
      <c r="AA73" s="270">
        <v>659.91330738970373</v>
      </c>
      <c r="AB73" s="208">
        <v>4.5813259904399466</v>
      </c>
      <c r="AC73" s="216">
        <v>12.306906443942694</v>
      </c>
      <c r="AD73" s="208">
        <v>0.28035487691319477</v>
      </c>
      <c r="AE73" s="270">
        <v>0.1618629636544574</v>
      </c>
      <c r="AF73" s="208">
        <v>36334881.870043851</v>
      </c>
      <c r="AG73" s="378">
        <v>908372046.75109625</v>
      </c>
      <c r="AH73" s="110"/>
      <c r="AI73" s="393"/>
    </row>
    <row r="74" spans="1:35" hidden="1" x14ac:dyDescent="0.3">
      <c r="A74" s="145">
        <v>45245</v>
      </c>
      <c r="B74" s="189">
        <v>73</v>
      </c>
      <c r="C74" s="80" t="s">
        <v>548</v>
      </c>
      <c r="D74" s="10" t="s">
        <v>552</v>
      </c>
      <c r="E74" s="2" t="s">
        <v>588</v>
      </c>
      <c r="F74" s="2" t="s">
        <v>584</v>
      </c>
      <c r="G74" s="67" t="s">
        <v>563</v>
      </c>
      <c r="H74" s="132" t="s">
        <v>76</v>
      </c>
      <c r="I74" s="110" t="s">
        <v>522</v>
      </c>
      <c r="J74" s="95" t="s">
        <v>550</v>
      </c>
      <c r="K74" s="67" t="s">
        <v>531</v>
      </c>
      <c r="L74" s="110" t="s">
        <v>606</v>
      </c>
      <c r="M74" s="65" t="s">
        <v>531</v>
      </c>
      <c r="N74" s="2" t="s">
        <v>532</v>
      </c>
      <c r="O74" s="2" t="s">
        <v>570</v>
      </c>
      <c r="P74" s="110" t="s">
        <v>573</v>
      </c>
      <c r="Q74" s="137" t="s">
        <v>0</v>
      </c>
      <c r="R74" s="110" t="s">
        <v>519</v>
      </c>
      <c r="S74" s="172">
        <v>100</v>
      </c>
      <c r="T74" s="165">
        <v>25</v>
      </c>
      <c r="U74" s="365" t="s">
        <v>0</v>
      </c>
      <c r="V74" s="165" t="s">
        <v>0</v>
      </c>
      <c r="W74" s="208">
        <v>21.883338744458232</v>
      </c>
      <c r="X74" s="165">
        <v>50</v>
      </c>
      <c r="Y74" s="195">
        <v>2</v>
      </c>
      <c r="Z74" s="208">
        <v>1.4880670346231598E-5</v>
      </c>
      <c r="AA74" s="270">
        <v>3.7201675865578996E-4</v>
      </c>
      <c r="AB74" s="208">
        <v>5.7821635334166801E-6</v>
      </c>
      <c r="AC74" s="216">
        <v>36.071780190689786</v>
      </c>
      <c r="AD74" s="208">
        <v>0.70172536765437599</v>
      </c>
      <c r="AE74" s="270">
        <v>0.40514132991244312</v>
      </c>
      <c r="AF74" s="208">
        <v>20.483273830167409</v>
      </c>
      <c r="AG74" s="378">
        <v>512.08184575418534</v>
      </c>
      <c r="AH74" s="110">
        <v>2</v>
      </c>
      <c r="AI74" s="393" t="s">
        <v>615</v>
      </c>
    </row>
    <row r="75" spans="1:35" hidden="1" x14ac:dyDescent="0.3">
      <c r="A75" s="145">
        <v>45245</v>
      </c>
      <c r="B75" s="189">
        <v>74</v>
      </c>
      <c r="C75" s="80" t="s">
        <v>548</v>
      </c>
      <c r="D75" s="10" t="s">
        <v>552</v>
      </c>
      <c r="E75" s="2" t="s">
        <v>588</v>
      </c>
      <c r="F75" s="2" t="s">
        <v>584</v>
      </c>
      <c r="G75" s="67" t="s">
        <v>563</v>
      </c>
      <c r="H75" s="131" t="s">
        <v>77</v>
      </c>
      <c r="I75" s="75" t="s">
        <v>522</v>
      </c>
      <c r="J75" s="15" t="s">
        <v>550</v>
      </c>
      <c r="K75" s="67" t="s">
        <v>531</v>
      </c>
      <c r="L75" s="110" t="s">
        <v>606</v>
      </c>
      <c r="M75" s="65" t="s">
        <v>531</v>
      </c>
      <c r="N75" s="2" t="s">
        <v>532</v>
      </c>
      <c r="O75" s="2" t="s">
        <v>570</v>
      </c>
      <c r="P75" s="89" t="s">
        <v>574</v>
      </c>
      <c r="Q75" s="137" t="s">
        <v>0</v>
      </c>
      <c r="R75" s="110" t="s">
        <v>519</v>
      </c>
      <c r="S75" s="172">
        <v>100</v>
      </c>
      <c r="T75" s="165">
        <v>25</v>
      </c>
      <c r="U75" s="365" t="s">
        <v>0</v>
      </c>
      <c r="V75" s="165" t="s">
        <v>0</v>
      </c>
      <c r="W75" s="208">
        <v>15.345687655254167</v>
      </c>
      <c r="X75" s="165">
        <v>50</v>
      </c>
      <c r="Y75" s="195">
        <v>2</v>
      </c>
      <c r="Z75" s="208">
        <v>1.0435067605572835E-5</v>
      </c>
      <c r="AA75" s="270">
        <v>2.6087669013932085E-4</v>
      </c>
      <c r="AB75" s="208">
        <v>6.506556056130368E-6</v>
      </c>
      <c r="AC75" s="216">
        <v>36.922525414190403</v>
      </c>
      <c r="AD75" s="208">
        <v>1.5000645491921589</v>
      </c>
      <c r="AE75" s="270">
        <v>0.86606267127790759</v>
      </c>
      <c r="AF75" s="208">
        <v>14.363892366944791</v>
      </c>
      <c r="AG75" s="378">
        <v>359.09730917361981</v>
      </c>
      <c r="AH75" s="110">
        <v>2</v>
      </c>
      <c r="AI75" s="393" t="s">
        <v>615</v>
      </c>
    </row>
    <row r="76" spans="1:35" hidden="1" x14ac:dyDescent="0.3">
      <c r="A76" s="145">
        <v>45245</v>
      </c>
      <c r="B76" s="189">
        <v>75</v>
      </c>
      <c r="C76" s="80" t="s">
        <v>548</v>
      </c>
      <c r="D76" s="10" t="s">
        <v>552</v>
      </c>
      <c r="E76" s="2" t="s">
        <v>588</v>
      </c>
      <c r="F76" s="2" t="s">
        <v>584</v>
      </c>
      <c r="G76" s="67" t="s">
        <v>563</v>
      </c>
      <c r="H76" s="14" t="s">
        <v>78</v>
      </c>
      <c r="I76" s="110" t="s">
        <v>522</v>
      </c>
      <c r="J76" s="15" t="s">
        <v>550</v>
      </c>
      <c r="K76" s="2" t="s">
        <v>531</v>
      </c>
      <c r="L76" s="75" t="s">
        <v>606</v>
      </c>
      <c r="M76" s="2" t="s">
        <v>531</v>
      </c>
      <c r="N76" s="2" t="s">
        <v>532</v>
      </c>
      <c r="O76" s="2" t="s">
        <v>570</v>
      </c>
      <c r="P76" s="67" t="s">
        <v>503</v>
      </c>
      <c r="Q76" s="137" t="s">
        <v>0</v>
      </c>
      <c r="R76" s="110" t="s">
        <v>519</v>
      </c>
      <c r="S76" s="172">
        <v>100</v>
      </c>
      <c r="T76" s="165">
        <v>25</v>
      </c>
      <c r="U76" s="365" t="s">
        <v>0</v>
      </c>
      <c r="V76" s="165" t="s">
        <v>0</v>
      </c>
      <c r="W76" s="208" t="s">
        <v>0</v>
      </c>
      <c r="X76" s="165">
        <v>50</v>
      </c>
      <c r="Y76" s="195">
        <v>2</v>
      </c>
      <c r="Z76" s="302" t="s">
        <v>0</v>
      </c>
      <c r="AA76" s="308" t="s">
        <v>0</v>
      </c>
      <c r="AB76" s="302" t="s">
        <v>0</v>
      </c>
      <c r="AC76" s="233">
        <v>37.928789775214604</v>
      </c>
      <c r="AD76" s="214">
        <v>0.10070646567048963</v>
      </c>
      <c r="AE76" s="273">
        <v>7.1210224784933468E-2</v>
      </c>
      <c r="AF76" s="302" t="s">
        <v>0</v>
      </c>
      <c r="AG76" s="381" t="s">
        <v>0</v>
      </c>
      <c r="AH76" s="400">
        <v>2</v>
      </c>
      <c r="AI76" s="393" t="s">
        <v>615</v>
      </c>
    </row>
    <row r="77" spans="1:35" hidden="1" x14ac:dyDescent="0.3">
      <c r="A77" s="145">
        <v>45245</v>
      </c>
      <c r="B77" s="189">
        <v>76</v>
      </c>
      <c r="C77" s="80" t="s">
        <v>548</v>
      </c>
      <c r="D77" s="10" t="s">
        <v>552</v>
      </c>
      <c r="E77" s="2" t="s">
        <v>588</v>
      </c>
      <c r="F77" s="2" t="s">
        <v>584</v>
      </c>
      <c r="G77" s="67" t="s">
        <v>563</v>
      </c>
      <c r="H77" s="14" t="s">
        <v>79</v>
      </c>
      <c r="I77" s="75" t="s">
        <v>522</v>
      </c>
      <c r="J77" s="15" t="s">
        <v>550</v>
      </c>
      <c r="K77" s="2" t="s">
        <v>531</v>
      </c>
      <c r="L77" s="2" t="s">
        <v>606</v>
      </c>
      <c r="M77" s="2" t="s">
        <v>531</v>
      </c>
      <c r="N77" s="2" t="s">
        <v>532</v>
      </c>
      <c r="O77" s="2" t="s">
        <v>570</v>
      </c>
      <c r="P77" s="67" t="s">
        <v>575</v>
      </c>
      <c r="Q77" s="137" t="s">
        <v>0</v>
      </c>
      <c r="R77" s="110" t="s">
        <v>519</v>
      </c>
      <c r="S77" s="172">
        <v>100</v>
      </c>
      <c r="T77" s="165">
        <v>25</v>
      </c>
      <c r="U77" s="365" t="s">
        <v>0</v>
      </c>
      <c r="V77" s="165" t="s">
        <v>0</v>
      </c>
      <c r="W77" s="208">
        <v>15.793369933493988</v>
      </c>
      <c r="X77" s="165">
        <v>50</v>
      </c>
      <c r="Y77" s="195">
        <v>2</v>
      </c>
      <c r="Z77" s="208">
        <v>1.0739491554775911E-5</v>
      </c>
      <c r="AA77" s="270">
        <v>2.6848728886939778E-4</v>
      </c>
      <c r="AB77" s="208">
        <v>7.6410093752576607E-6</v>
      </c>
      <c r="AC77" s="216">
        <v>36.772191274633201</v>
      </c>
      <c r="AD77" s="208">
        <v>1.0942091467038559</v>
      </c>
      <c r="AE77" s="270">
        <v>0.63174194539922202</v>
      </c>
      <c r="AF77" s="208">
        <v>14.782932569227526</v>
      </c>
      <c r="AG77" s="378">
        <v>369.5733142306882</v>
      </c>
      <c r="AH77" s="110">
        <v>2</v>
      </c>
      <c r="AI77" s="393" t="s">
        <v>615</v>
      </c>
    </row>
    <row r="78" spans="1:35" hidden="1" x14ac:dyDescent="0.3">
      <c r="A78" s="145">
        <v>45245</v>
      </c>
      <c r="B78" s="189">
        <v>77</v>
      </c>
      <c r="C78" s="80" t="s">
        <v>548</v>
      </c>
      <c r="D78" s="10" t="s">
        <v>552</v>
      </c>
      <c r="E78" s="2" t="s">
        <v>588</v>
      </c>
      <c r="F78" s="2" t="s">
        <v>584</v>
      </c>
      <c r="G78" s="67" t="s">
        <v>563</v>
      </c>
      <c r="H78" s="14" t="s">
        <v>80</v>
      </c>
      <c r="I78" s="2" t="s">
        <v>523</v>
      </c>
      <c r="J78" s="15" t="s">
        <v>550</v>
      </c>
      <c r="K78" s="2" t="s">
        <v>531</v>
      </c>
      <c r="L78" s="2" t="s">
        <v>607</v>
      </c>
      <c r="M78" s="2" t="s">
        <v>531</v>
      </c>
      <c r="N78" s="2" t="s">
        <v>532</v>
      </c>
      <c r="O78" s="2" t="s">
        <v>570</v>
      </c>
      <c r="P78" s="67" t="s">
        <v>573</v>
      </c>
      <c r="Q78" s="137" t="s">
        <v>0</v>
      </c>
      <c r="R78" s="110" t="s">
        <v>519</v>
      </c>
      <c r="S78" s="172">
        <v>100</v>
      </c>
      <c r="T78" s="165">
        <v>25</v>
      </c>
      <c r="U78" s="365" t="s">
        <v>0</v>
      </c>
      <c r="V78" s="165" t="s">
        <v>0</v>
      </c>
      <c r="W78" s="208">
        <v>13.375084862836831</v>
      </c>
      <c r="X78" s="165">
        <v>50</v>
      </c>
      <c r="Y78" s="195">
        <v>2</v>
      </c>
      <c r="Z78" s="208">
        <v>9.0950577067290456E-6</v>
      </c>
      <c r="AA78" s="270">
        <v>2.2737644266822613E-4</v>
      </c>
      <c r="AB78" s="208">
        <v>3.8384679193628528E-6</v>
      </c>
      <c r="AC78" s="216">
        <v>36.897664262563943</v>
      </c>
      <c r="AD78" s="208">
        <v>0.75495195673797122</v>
      </c>
      <c r="AE78" s="270">
        <v>0.43587171544790243</v>
      </c>
      <c r="AF78" s="208">
        <v>12.519365940747655</v>
      </c>
      <c r="AG78" s="378">
        <v>312.98414851869137</v>
      </c>
      <c r="AH78" s="110">
        <v>2</v>
      </c>
      <c r="AI78" s="393" t="s">
        <v>613</v>
      </c>
    </row>
    <row r="79" spans="1:35" hidden="1" x14ac:dyDescent="0.3">
      <c r="A79" s="145">
        <v>45245</v>
      </c>
      <c r="B79" s="189">
        <v>78</v>
      </c>
      <c r="C79" s="80" t="s">
        <v>548</v>
      </c>
      <c r="D79" s="10" t="s">
        <v>552</v>
      </c>
      <c r="E79" s="2" t="s">
        <v>588</v>
      </c>
      <c r="F79" s="2" t="s">
        <v>584</v>
      </c>
      <c r="G79" s="67" t="s">
        <v>563</v>
      </c>
      <c r="H79" s="14" t="s">
        <v>81</v>
      </c>
      <c r="I79" s="2" t="s">
        <v>523</v>
      </c>
      <c r="J79" s="15" t="s">
        <v>550</v>
      </c>
      <c r="K79" s="2" t="s">
        <v>531</v>
      </c>
      <c r="L79" s="2" t="s">
        <v>607</v>
      </c>
      <c r="M79" s="2" t="s">
        <v>531</v>
      </c>
      <c r="N79" s="2" t="s">
        <v>532</v>
      </c>
      <c r="O79" s="2" t="s">
        <v>570</v>
      </c>
      <c r="P79" s="67" t="s">
        <v>574</v>
      </c>
      <c r="Q79" s="137" t="s">
        <v>0</v>
      </c>
      <c r="R79" s="110" t="s">
        <v>519</v>
      </c>
      <c r="S79" s="172">
        <v>100</v>
      </c>
      <c r="T79" s="165">
        <v>25</v>
      </c>
      <c r="U79" s="365" t="s">
        <v>0</v>
      </c>
      <c r="V79" s="165" t="s">
        <v>0</v>
      </c>
      <c r="W79" s="208">
        <v>13.571298292183878</v>
      </c>
      <c r="X79" s="165">
        <v>50</v>
      </c>
      <c r="Y79" s="195">
        <v>2</v>
      </c>
      <c r="Z79" s="208">
        <v>9.2284828386850367E-6</v>
      </c>
      <c r="AA79" s="270">
        <v>2.3071207096712592E-4</v>
      </c>
      <c r="AB79" s="208">
        <v>5.0678507268271594E-6</v>
      </c>
      <c r="AC79" s="216">
        <v>36.914920162461549</v>
      </c>
      <c r="AD79" s="208">
        <v>0.83575278465568559</v>
      </c>
      <c r="AE79" s="270">
        <v>0.48252209519693945</v>
      </c>
      <c r="AF79" s="208">
        <v>12.703025913725478</v>
      </c>
      <c r="AG79" s="378">
        <v>317.57564784313695</v>
      </c>
      <c r="AH79" s="110">
        <v>2</v>
      </c>
      <c r="AI79" s="393" t="s">
        <v>613</v>
      </c>
    </row>
    <row r="80" spans="1:35" hidden="1" x14ac:dyDescent="0.3">
      <c r="A80" s="145">
        <v>45245</v>
      </c>
      <c r="B80" s="188">
        <v>79</v>
      </c>
      <c r="C80" s="80" t="s">
        <v>548</v>
      </c>
      <c r="D80" s="10" t="s">
        <v>552</v>
      </c>
      <c r="E80" s="2" t="s">
        <v>588</v>
      </c>
      <c r="F80" s="2" t="s">
        <v>584</v>
      </c>
      <c r="G80" s="67" t="s">
        <v>563</v>
      </c>
      <c r="H80" s="14" t="s">
        <v>82</v>
      </c>
      <c r="I80" s="2" t="s">
        <v>522</v>
      </c>
      <c r="J80" s="12" t="s">
        <v>551</v>
      </c>
      <c r="K80" s="2" t="s">
        <v>531</v>
      </c>
      <c r="L80" s="2" t="s">
        <v>606</v>
      </c>
      <c r="M80" s="2" t="s">
        <v>531</v>
      </c>
      <c r="N80" s="2" t="s">
        <v>532</v>
      </c>
      <c r="O80" s="2" t="s">
        <v>570</v>
      </c>
      <c r="P80" s="67" t="s">
        <v>573</v>
      </c>
      <c r="Q80" s="137" t="s">
        <v>0</v>
      </c>
      <c r="R80" s="110" t="s">
        <v>519</v>
      </c>
      <c r="S80" s="172">
        <v>100</v>
      </c>
      <c r="T80" s="165">
        <v>25</v>
      </c>
      <c r="U80" s="365" t="s">
        <v>0</v>
      </c>
      <c r="V80" s="165" t="s">
        <v>0</v>
      </c>
      <c r="W80" s="208">
        <v>13.037665719920509</v>
      </c>
      <c r="X80" s="165">
        <v>50</v>
      </c>
      <c r="Y80" s="195">
        <v>2</v>
      </c>
      <c r="Z80" s="208">
        <v>8.8656126895459458E-6</v>
      </c>
      <c r="AA80" s="270">
        <v>2.2164031723864865E-4</v>
      </c>
      <c r="AB80" s="208">
        <v>2.3423666194917225E-6</v>
      </c>
      <c r="AC80" s="216">
        <v>36.872607050180171</v>
      </c>
      <c r="AD80" s="208">
        <v>0.46642622930828725</v>
      </c>
      <c r="AE80" s="270">
        <v>0.26929130904824178</v>
      </c>
      <c r="AF80" s="208">
        <v>12.203534395086201</v>
      </c>
      <c r="AG80" s="378">
        <v>305.08835987715503</v>
      </c>
      <c r="AH80" s="110">
        <v>2</v>
      </c>
      <c r="AI80" s="393" t="s">
        <v>616</v>
      </c>
    </row>
    <row r="81" spans="1:35" hidden="1" x14ac:dyDescent="0.3">
      <c r="A81" s="145">
        <v>45245</v>
      </c>
      <c r="B81" s="189">
        <v>80</v>
      </c>
      <c r="C81" s="80" t="s">
        <v>548</v>
      </c>
      <c r="D81" s="10" t="s">
        <v>552</v>
      </c>
      <c r="E81" s="2" t="s">
        <v>588</v>
      </c>
      <c r="F81" s="2" t="s">
        <v>584</v>
      </c>
      <c r="G81" s="67" t="s">
        <v>563</v>
      </c>
      <c r="H81" s="14" t="s">
        <v>83</v>
      </c>
      <c r="I81" s="2" t="s">
        <v>522</v>
      </c>
      <c r="J81" s="12" t="s">
        <v>551</v>
      </c>
      <c r="K81" s="2" t="s">
        <v>531</v>
      </c>
      <c r="L81" s="2" t="s">
        <v>606</v>
      </c>
      <c r="M81" s="2" t="s">
        <v>531</v>
      </c>
      <c r="N81" s="2" t="s">
        <v>532</v>
      </c>
      <c r="O81" s="2" t="s">
        <v>570</v>
      </c>
      <c r="P81" s="67" t="s">
        <v>574</v>
      </c>
      <c r="Q81" s="137" t="s">
        <v>0</v>
      </c>
      <c r="R81" s="110" t="s">
        <v>519</v>
      </c>
      <c r="S81" s="172">
        <v>100</v>
      </c>
      <c r="T81" s="165">
        <v>25</v>
      </c>
      <c r="U81" s="365" t="s">
        <v>0</v>
      </c>
      <c r="V81" s="165" t="s">
        <v>0</v>
      </c>
      <c r="W81" s="208">
        <v>9.4819576251038455</v>
      </c>
      <c r="X81" s="165">
        <v>50</v>
      </c>
      <c r="Y81" s="195">
        <v>2</v>
      </c>
      <c r="Z81" s="208">
        <v>6.4477311850706155E-6</v>
      </c>
      <c r="AA81" s="270">
        <v>1.6119327962676539E-4</v>
      </c>
      <c r="AB81" s="208">
        <v>3.4903137438768636E-6</v>
      </c>
      <c r="AC81" s="216">
        <v>37.5929454136324</v>
      </c>
      <c r="AD81" s="208">
        <v>1.1852142788989692</v>
      </c>
      <c r="AE81" s="270">
        <v>0.68428378296970815</v>
      </c>
      <c r="AF81" s="208">
        <v>8.8753154511320123</v>
      </c>
      <c r="AG81" s="378">
        <v>221.8828862783003</v>
      </c>
      <c r="AH81" s="110">
        <v>2</v>
      </c>
      <c r="AI81" s="393" t="s">
        <v>616</v>
      </c>
    </row>
    <row r="82" spans="1:35" hidden="1" x14ac:dyDescent="0.3">
      <c r="A82" s="145">
        <v>45245</v>
      </c>
      <c r="B82" s="189">
        <v>81</v>
      </c>
      <c r="C82" s="80" t="s">
        <v>548</v>
      </c>
      <c r="D82" s="10" t="s">
        <v>552</v>
      </c>
      <c r="E82" s="2" t="s">
        <v>588</v>
      </c>
      <c r="F82" s="2" t="s">
        <v>584</v>
      </c>
      <c r="G82" s="67" t="s">
        <v>563</v>
      </c>
      <c r="H82" s="14" t="s">
        <v>84</v>
      </c>
      <c r="I82" s="2" t="s">
        <v>522</v>
      </c>
      <c r="J82" s="12" t="s">
        <v>551</v>
      </c>
      <c r="K82" s="2" t="s">
        <v>531</v>
      </c>
      <c r="L82" s="2" t="s">
        <v>606</v>
      </c>
      <c r="M82" s="2" t="s">
        <v>531</v>
      </c>
      <c r="N82" s="2" t="s">
        <v>532</v>
      </c>
      <c r="O82" s="2" t="s">
        <v>570</v>
      </c>
      <c r="P82" s="67" t="s">
        <v>503</v>
      </c>
      <c r="Q82" s="137" t="s">
        <v>0</v>
      </c>
      <c r="R82" s="110" t="s">
        <v>519</v>
      </c>
      <c r="S82" s="172">
        <v>100</v>
      </c>
      <c r="T82" s="165">
        <v>25</v>
      </c>
      <c r="U82" s="365" t="s">
        <v>0</v>
      </c>
      <c r="V82" s="165" t="s">
        <v>0</v>
      </c>
      <c r="W82" s="208">
        <v>19.665525381128898</v>
      </c>
      <c r="X82" s="165">
        <v>50</v>
      </c>
      <c r="Y82" s="195">
        <v>2</v>
      </c>
      <c r="Z82" s="208">
        <v>1.337255725916765E-5</v>
      </c>
      <c r="AA82" s="270">
        <v>3.3431393147919123E-4</v>
      </c>
      <c r="AB82" s="208">
        <v>5.741049766993795E-6</v>
      </c>
      <c r="AC82" s="216">
        <v>36.282929520372164</v>
      </c>
      <c r="AD82" s="208">
        <v>0.84475453343335094</v>
      </c>
      <c r="AE82" s="270">
        <v>0.48771925727690191</v>
      </c>
      <c r="AF82" s="208">
        <v>18.407353014072399</v>
      </c>
      <c r="AG82" s="378">
        <v>460.18382535181001</v>
      </c>
      <c r="AH82" s="110">
        <v>2</v>
      </c>
      <c r="AI82" s="393" t="s">
        <v>616</v>
      </c>
    </row>
    <row r="83" spans="1:35" hidden="1" x14ac:dyDescent="0.3">
      <c r="A83" s="145">
        <v>45245</v>
      </c>
      <c r="B83" s="189">
        <v>82</v>
      </c>
      <c r="C83" s="80" t="s">
        <v>548</v>
      </c>
      <c r="D83" s="10" t="s">
        <v>552</v>
      </c>
      <c r="E83" s="2" t="s">
        <v>588</v>
      </c>
      <c r="F83" s="2" t="s">
        <v>584</v>
      </c>
      <c r="G83" s="67" t="s">
        <v>563</v>
      </c>
      <c r="H83" s="14" t="s">
        <v>85</v>
      </c>
      <c r="I83" s="2" t="s">
        <v>522</v>
      </c>
      <c r="J83" s="12" t="s">
        <v>551</v>
      </c>
      <c r="K83" s="2" t="s">
        <v>531</v>
      </c>
      <c r="L83" s="2" t="s">
        <v>606</v>
      </c>
      <c r="M83" s="2" t="s">
        <v>531</v>
      </c>
      <c r="N83" s="2" t="s">
        <v>532</v>
      </c>
      <c r="O83" s="2" t="s">
        <v>570</v>
      </c>
      <c r="P83" s="67" t="s">
        <v>575</v>
      </c>
      <c r="Q83" s="137" t="s">
        <v>0</v>
      </c>
      <c r="R83" s="110" t="s">
        <v>519</v>
      </c>
      <c r="S83" s="172">
        <v>100</v>
      </c>
      <c r="T83" s="165">
        <v>25</v>
      </c>
      <c r="U83" s="365" t="s">
        <v>0</v>
      </c>
      <c r="V83" s="165" t="s">
        <v>0</v>
      </c>
      <c r="W83" s="208">
        <v>12.821387753320179</v>
      </c>
      <c r="X83" s="165">
        <v>50</v>
      </c>
      <c r="Y83" s="195">
        <v>2</v>
      </c>
      <c r="Z83" s="208">
        <v>8.7185436722577213E-6</v>
      </c>
      <c r="AA83" s="270">
        <v>2.1796359180644304E-4</v>
      </c>
      <c r="AB83" s="208">
        <v>1.175527193471299E-6</v>
      </c>
      <c r="AC83" s="216">
        <v>36.867920301876737</v>
      </c>
      <c r="AD83" s="208">
        <v>0.220135379743927</v>
      </c>
      <c r="AE83" s="270">
        <v>0.12709522075331675</v>
      </c>
      <c r="AF83" s="208">
        <v>12.001093585434692</v>
      </c>
      <c r="AG83" s="378">
        <v>300.02733963586729</v>
      </c>
      <c r="AH83" s="110">
        <v>2</v>
      </c>
      <c r="AI83" s="393" t="s">
        <v>616</v>
      </c>
    </row>
    <row r="84" spans="1:35" hidden="1" x14ac:dyDescent="0.3">
      <c r="A84" s="145">
        <v>45245</v>
      </c>
      <c r="B84" s="189">
        <v>83</v>
      </c>
      <c r="C84" s="80" t="s">
        <v>548</v>
      </c>
      <c r="D84" s="10" t="s">
        <v>552</v>
      </c>
      <c r="E84" s="2" t="s">
        <v>588</v>
      </c>
      <c r="F84" s="2" t="s">
        <v>584</v>
      </c>
      <c r="G84" s="2" t="s">
        <v>563</v>
      </c>
      <c r="H84" s="14" t="s">
        <v>86</v>
      </c>
      <c r="I84" s="2" t="s">
        <v>523</v>
      </c>
      <c r="J84" s="12" t="s">
        <v>551</v>
      </c>
      <c r="K84" s="2" t="s">
        <v>531</v>
      </c>
      <c r="L84" s="2" t="s">
        <v>607</v>
      </c>
      <c r="M84" s="2" t="s">
        <v>531</v>
      </c>
      <c r="N84" s="2" t="s">
        <v>532</v>
      </c>
      <c r="O84" s="2" t="s">
        <v>570</v>
      </c>
      <c r="P84" s="2" t="s">
        <v>573</v>
      </c>
      <c r="Q84" s="137" t="s">
        <v>0</v>
      </c>
      <c r="R84" s="110" t="s">
        <v>519</v>
      </c>
      <c r="S84" s="172">
        <v>100</v>
      </c>
      <c r="T84" s="165">
        <v>25</v>
      </c>
      <c r="U84" s="365" t="s">
        <v>0</v>
      </c>
      <c r="V84" s="165" t="s">
        <v>0</v>
      </c>
      <c r="W84" s="208">
        <v>8.1721540046751588</v>
      </c>
      <c r="X84" s="165">
        <v>50</v>
      </c>
      <c r="Y84" s="195">
        <v>2</v>
      </c>
      <c r="Z84" s="208">
        <v>5.5570647231791082E-6</v>
      </c>
      <c r="AA84" s="270">
        <v>1.389266180794777E-4</v>
      </c>
      <c r="AB84" s="208">
        <v>2.9463888306803472E-6</v>
      </c>
      <c r="AC84" s="216">
        <v>37.768581661967247</v>
      </c>
      <c r="AD84" s="208">
        <v>0.93552276988506067</v>
      </c>
      <c r="AE84" s="270">
        <v>0.54012432302616409</v>
      </c>
      <c r="AF84" s="208">
        <v>7.6493112049664358</v>
      </c>
      <c r="AG84" s="378">
        <v>191.23278012416088</v>
      </c>
      <c r="AH84" s="110">
        <v>2</v>
      </c>
      <c r="AI84" s="393" t="s">
        <v>612</v>
      </c>
    </row>
    <row r="85" spans="1:35" hidden="1" x14ac:dyDescent="0.3">
      <c r="A85" s="145">
        <v>45245</v>
      </c>
      <c r="B85" s="189">
        <v>84</v>
      </c>
      <c r="C85" s="80" t="s">
        <v>548</v>
      </c>
      <c r="D85" s="10" t="s">
        <v>552</v>
      </c>
      <c r="E85" s="2" t="s">
        <v>588</v>
      </c>
      <c r="F85" s="2" t="s">
        <v>584</v>
      </c>
      <c r="G85" s="2" t="s">
        <v>563</v>
      </c>
      <c r="H85" s="14" t="s">
        <v>87</v>
      </c>
      <c r="I85" s="2" t="s">
        <v>523</v>
      </c>
      <c r="J85" s="12" t="s">
        <v>551</v>
      </c>
      <c r="K85" s="2" t="s">
        <v>531</v>
      </c>
      <c r="L85" s="2" t="s">
        <v>607</v>
      </c>
      <c r="M85" s="2" t="s">
        <v>531</v>
      </c>
      <c r="N85" s="2" t="s">
        <v>532</v>
      </c>
      <c r="O85" s="2" t="s">
        <v>570</v>
      </c>
      <c r="P85" s="2" t="s">
        <v>574</v>
      </c>
      <c r="Q85" s="137" t="s">
        <v>0</v>
      </c>
      <c r="R85" s="110" t="s">
        <v>519</v>
      </c>
      <c r="S85" s="172">
        <v>100</v>
      </c>
      <c r="T85" s="165">
        <v>25</v>
      </c>
      <c r="U85" s="365" t="s">
        <v>0</v>
      </c>
      <c r="V85" s="165" t="s">
        <v>0</v>
      </c>
      <c r="W85" s="208">
        <v>14.42142839552834</v>
      </c>
      <c r="X85" s="165">
        <v>50</v>
      </c>
      <c r="Y85" s="195">
        <v>2</v>
      </c>
      <c r="Z85" s="208">
        <v>9.8065713089592715E-6</v>
      </c>
      <c r="AA85" s="270">
        <v>2.4516428272398178E-4</v>
      </c>
      <c r="AB85" s="208">
        <v>4.5093053624645568E-6</v>
      </c>
      <c r="AC85" s="216">
        <v>36.794602881825277</v>
      </c>
      <c r="AD85" s="208">
        <v>0.82512202268008172</v>
      </c>
      <c r="AE85" s="270">
        <v>0.47638442190863373</v>
      </c>
      <c r="AF85" s="208">
        <v>13.498765901184338</v>
      </c>
      <c r="AG85" s="378">
        <v>337.46914752960851</v>
      </c>
      <c r="AH85" s="110">
        <v>2</v>
      </c>
      <c r="AI85" s="393" t="s">
        <v>612</v>
      </c>
    </row>
    <row r="86" spans="1:35" hidden="1" x14ac:dyDescent="0.3">
      <c r="A86" s="145">
        <v>45245</v>
      </c>
      <c r="B86" s="189">
        <v>85</v>
      </c>
      <c r="C86" s="80" t="s">
        <v>548</v>
      </c>
      <c r="D86" s="10" t="s">
        <v>552</v>
      </c>
      <c r="E86" s="2" t="s">
        <v>588</v>
      </c>
      <c r="F86" s="2" t="s">
        <v>584</v>
      </c>
      <c r="G86" s="2" t="s">
        <v>563</v>
      </c>
      <c r="H86" s="14" t="s">
        <v>88</v>
      </c>
      <c r="I86" s="2" t="s">
        <v>520</v>
      </c>
      <c r="J86" s="9" t="s">
        <v>0</v>
      </c>
      <c r="K86" s="2" t="s">
        <v>531</v>
      </c>
      <c r="L86" s="2" t="s">
        <v>530</v>
      </c>
      <c r="M86" s="2" t="s">
        <v>532</v>
      </c>
      <c r="N86" s="2" t="s">
        <v>532</v>
      </c>
      <c r="O86" s="2" t="s">
        <v>570</v>
      </c>
      <c r="P86" s="2" t="s">
        <v>573</v>
      </c>
      <c r="Q86" s="137" t="s">
        <v>0</v>
      </c>
      <c r="R86" s="110" t="s">
        <v>519</v>
      </c>
      <c r="S86" s="172">
        <v>100</v>
      </c>
      <c r="T86" s="165" t="s">
        <v>0</v>
      </c>
      <c r="U86" s="365" t="s">
        <v>0</v>
      </c>
      <c r="V86" s="165" t="s">
        <v>0</v>
      </c>
      <c r="W86" s="208">
        <v>8.0568356297057679</v>
      </c>
      <c r="X86" s="165">
        <v>50</v>
      </c>
      <c r="Y86" s="195">
        <v>2</v>
      </c>
      <c r="Z86" s="208">
        <v>5.4786482281999214E-6</v>
      </c>
      <c r="AA86" s="270">
        <v>1.3696620570499804E-4</v>
      </c>
      <c r="AB86" s="208">
        <v>3.0774709137709554E-6</v>
      </c>
      <c r="AC86" s="216">
        <v>37.888039676989742</v>
      </c>
      <c r="AD86" s="208">
        <v>1.2594401116605356</v>
      </c>
      <c r="AE86" s="270">
        <v>0.72713808749542264</v>
      </c>
      <c r="AF86" s="208">
        <v>7.5413707357477628</v>
      </c>
      <c r="AG86" s="378">
        <v>188.53426839369411</v>
      </c>
      <c r="AH86" s="110">
        <v>2</v>
      </c>
      <c r="AI86" s="393" t="s">
        <v>619</v>
      </c>
    </row>
    <row r="87" spans="1:35" hidden="1" x14ac:dyDescent="0.3">
      <c r="A87" s="145">
        <v>45245</v>
      </c>
      <c r="B87" s="189">
        <v>86</v>
      </c>
      <c r="C87" s="80" t="s">
        <v>548</v>
      </c>
      <c r="D87" s="10" t="s">
        <v>552</v>
      </c>
      <c r="E87" s="2" t="s">
        <v>588</v>
      </c>
      <c r="F87" s="2" t="s">
        <v>584</v>
      </c>
      <c r="G87" s="2" t="s">
        <v>563</v>
      </c>
      <c r="H87" s="14" t="s">
        <v>89</v>
      </c>
      <c r="I87" s="2" t="s">
        <v>520</v>
      </c>
      <c r="J87" s="9" t="s">
        <v>0</v>
      </c>
      <c r="K87" s="2" t="s">
        <v>531</v>
      </c>
      <c r="L87" s="2" t="s">
        <v>530</v>
      </c>
      <c r="M87" s="2" t="s">
        <v>532</v>
      </c>
      <c r="N87" s="2" t="s">
        <v>532</v>
      </c>
      <c r="O87" s="2" t="s">
        <v>570</v>
      </c>
      <c r="P87" s="2" t="s">
        <v>574</v>
      </c>
      <c r="Q87" s="137" t="s">
        <v>0</v>
      </c>
      <c r="R87" s="110" t="s">
        <v>519</v>
      </c>
      <c r="S87" s="172">
        <v>100</v>
      </c>
      <c r="T87" s="165" t="s">
        <v>0</v>
      </c>
      <c r="U87" s="366" t="s">
        <v>0</v>
      </c>
      <c r="V87" s="225" t="s">
        <v>0</v>
      </c>
      <c r="W87" s="208">
        <v>28.407955663181831</v>
      </c>
      <c r="X87" s="165">
        <v>50</v>
      </c>
      <c r="Y87" s="195">
        <v>2</v>
      </c>
      <c r="Z87" s="208">
        <v>1.9317409850963645E-5</v>
      </c>
      <c r="AA87" s="270">
        <v>4.8293524627409111E-4</v>
      </c>
      <c r="AB87" s="208">
        <v>2.8668643439309137E-6</v>
      </c>
      <c r="AC87" s="216">
        <v>35.560876830316552</v>
      </c>
      <c r="AD87" s="208">
        <v>0.25045396031587824</v>
      </c>
      <c r="AE87" s="270">
        <v>0.14459966140798017</v>
      </c>
      <c r="AF87" s="208">
        <v>26.590455030613946</v>
      </c>
      <c r="AG87" s="378">
        <v>664.76137576534859</v>
      </c>
      <c r="AH87" s="110">
        <v>2</v>
      </c>
      <c r="AI87" s="393" t="s">
        <v>619</v>
      </c>
    </row>
    <row r="88" spans="1:35" hidden="1" x14ac:dyDescent="0.3">
      <c r="A88" s="145">
        <v>45245</v>
      </c>
      <c r="B88" s="189">
        <v>87</v>
      </c>
      <c r="C88" s="70" t="s">
        <v>549</v>
      </c>
      <c r="D88" s="315" t="s">
        <v>0</v>
      </c>
      <c r="E88" s="315" t="s">
        <v>0</v>
      </c>
      <c r="F88" s="315" t="s">
        <v>0</v>
      </c>
      <c r="G88" s="2" t="s">
        <v>563</v>
      </c>
      <c r="H88" s="14" t="s">
        <v>90</v>
      </c>
      <c r="I88" s="2" t="s">
        <v>521</v>
      </c>
      <c r="J88" s="9" t="s">
        <v>0</v>
      </c>
      <c r="K88" s="2" t="s">
        <v>531</v>
      </c>
      <c r="L88" s="2" t="s">
        <v>521</v>
      </c>
      <c r="M88" s="2" t="s">
        <v>532</v>
      </c>
      <c r="N88" s="2" t="s">
        <v>532</v>
      </c>
      <c r="O88" s="2" t="s">
        <v>570</v>
      </c>
      <c r="P88" s="2" t="s">
        <v>573</v>
      </c>
      <c r="Q88" s="137" t="s">
        <v>0</v>
      </c>
      <c r="R88" s="110" t="s">
        <v>0</v>
      </c>
      <c r="S88" s="172">
        <v>100</v>
      </c>
      <c r="T88" s="165" t="s">
        <v>0</v>
      </c>
      <c r="U88" s="110" t="s">
        <v>0</v>
      </c>
      <c r="V88" s="165" t="s">
        <v>0</v>
      </c>
      <c r="W88" s="208">
        <v>19.10441864691412</v>
      </c>
      <c r="X88" s="165">
        <v>50</v>
      </c>
      <c r="Y88" s="195">
        <v>2</v>
      </c>
      <c r="Z88" s="208">
        <v>1.2991004679901603E-5</v>
      </c>
      <c r="AA88" s="270">
        <v>3.2477511699754004E-4</v>
      </c>
      <c r="AB88" s="208">
        <v>6.1717135317511266E-6</v>
      </c>
      <c r="AC88" s="216">
        <v>36.36626098979476</v>
      </c>
      <c r="AD88" s="208">
        <v>0.96338141347874429</v>
      </c>
      <c r="AE88" s="270">
        <v>0.55620851840423524</v>
      </c>
      <c r="AF88" s="208">
        <v>17.882145091319625</v>
      </c>
      <c r="AG88" s="378">
        <v>447.05362728299059</v>
      </c>
      <c r="AH88" s="110">
        <v>2</v>
      </c>
      <c r="AI88" s="394" t="s">
        <v>620</v>
      </c>
    </row>
    <row r="89" spans="1:35" hidden="1" x14ac:dyDescent="0.3">
      <c r="A89" s="145">
        <v>45245</v>
      </c>
      <c r="B89" s="189">
        <v>88</v>
      </c>
      <c r="C89" s="80" t="s">
        <v>548</v>
      </c>
      <c r="D89" s="10" t="s">
        <v>552</v>
      </c>
      <c r="E89" s="2" t="s">
        <v>588</v>
      </c>
      <c r="F89" s="2" t="s">
        <v>584</v>
      </c>
      <c r="G89" s="2" t="s">
        <v>564</v>
      </c>
      <c r="H89" s="14" t="s">
        <v>68</v>
      </c>
      <c r="I89" s="2" t="s">
        <v>517</v>
      </c>
      <c r="J89" s="9" t="s">
        <v>0</v>
      </c>
      <c r="K89" s="2" t="s">
        <v>531</v>
      </c>
      <c r="L89" s="2" t="s">
        <v>593</v>
      </c>
      <c r="M89" s="2" t="s">
        <v>531</v>
      </c>
      <c r="N89" s="2" t="s">
        <v>532</v>
      </c>
      <c r="O89" s="2" t="s">
        <v>570</v>
      </c>
      <c r="P89" s="2" t="s">
        <v>573</v>
      </c>
      <c r="Q89" s="137" t="s">
        <v>0</v>
      </c>
      <c r="R89" s="110" t="s">
        <v>519</v>
      </c>
      <c r="S89" s="172">
        <v>100</v>
      </c>
      <c r="T89" s="165" t="s">
        <v>0</v>
      </c>
      <c r="U89" s="110" t="s">
        <v>576</v>
      </c>
      <c r="V89" s="360">
        <v>2000000</v>
      </c>
      <c r="W89" s="208">
        <v>10633445.916563936</v>
      </c>
      <c r="X89" s="165">
        <v>50</v>
      </c>
      <c r="Y89" s="195">
        <v>2</v>
      </c>
      <c r="Z89" s="274">
        <v>7.2307432232634756</v>
      </c>
      <c r="AA89" s="275">
        <v>180.76858058158689</v>
      </c>
      <c r="AB89" s="302" t="s">
        <v>0</v>
      </c>
      <c r="AC89" s="233">
        <v>14.422481150565496</v>
      </c>
      <c r="AD89" s="214">
        <v>8.9124048657018215E-2</v>
      </c>
      <c r="AE89" s="273">
        <v>5.1455793483398772E-2</v>
      </c>
      <c r="AF89" s="214">
        <v>9953133.1580932792</v>
      </c>
      <c r="AG89" s="378">
        <v>248828328.95233196</v>
      </c>
      <c r="AH89" s="110"/>
      <c r="AI89" s="393"/>
    </row>
    <row r="90" spans="1:35" ht="16.2" hidden="1" thickBot="1" x14ac:dyDescent="0.35">
      <c r="A90" s="150">
        <v>45245</v>
      </c>
      <c r="B90" s="190">
        <v>89</v>
      </c>
      <c r="C90" s="86" t="s">
        <v>548</v>
      </c>
      <c r="D90" s="7" t="s">
        <v>552</v>
      </c>
      <c r="E90" s="3" t="s">
        <v>588</v>
      </c>
      <c r="F90" s="3" t="s">
        <v>584</v>
      </c>
      <c r="G90" s="5" t="s">
        <v>564</v>
      </c>
      <c r="H90" s="327" t="s">
        <v>91</v>
      </c>
      <c r="I90" s="5" t="s">
        <v>517</v>
      </c>
      <c r="J90" s="6" t="s">
        <v>0</v>
      </c>
      <c r="K90" s="2" t="s">
        <v>531</v>
      </c>
      <c r="L90" s="107" t="s">
        <v>593</v>
      </c>
      <c r="M90" s="108" t="s">
        <v>532</v>
      </c>
      <c r="N90" s="5" t="s">
        <v>532</v>
      </c>
      <c r="O90" s="5" t="s">
        <v>570</v>
      </c>
      <c r="P90" s="5" t="s">
        <v>574</v>
      </c>
      <c r="Q90" s="5" t="s">
        <v>0</v>
      </c>
      <c r="R90" s="111" t="s">
        <v>519</v>
      </c>
      <c r="S90" s="171">
        <v>100</v>
      </c>
      <c r="T90" s="169" t="s">
        <v>0</v>
      </c>
      <c r="U90" s="5" t="s">
        <v>576</v>
      </c>
      <c r="V90" s="367">
        <v>2000000</v>
      </c>
      <c r="W90" s="211">
        <v>12197138.032871891</v>
      </c>
      <c r="X90" s="169">
        <v>50</v>
      </c>
      <c r="Y90" s="205">
        <v>2</v>
      </c>
      <c r="Z90" s="219">
        <v>8.2940538623528859</v>
      </c>
      <c r="AA90" s="219">
        <v>207.35134655882214</v>
      </c>
      <c r="AB90" s="310" t="s">
        <v>0</v>
      </c>
      <c r="AC90" s="234">
        <v>14.196622373137407</v>
      </c>
      <c r="AD90" s="219">
        <v>0.47426577989201524</v>
      </c>
      <c r="AE90" s="289">
        <v>0.27381747568808279</v>
      </c>
      <c r="AF90" s="219">
        <v>11416782.474974645</v>
      </c>
      <c r="AG90" s="380">
        <v>285419561.87436616</v>
      </c>
      <c r="AH90" s="111"/>
      <c r="AI90" s="408"/>
    </row>
    <row r="91" spans="1:35" hidden="1" x14ac:dyDescent="0.3">
      <c r="A91" s="147">
        <v>45250</v>
      </c>
      <c r="B91" s="188">
        <v>90</v>
      </c>
      <c r="C91" s="71" t="s">
        <v>549</v>
      </c>
      <c r="D91" s="85" t="s">
        <v>552</v>
      </c>
      <c r="E91" s="28" t="s">
        <v>588</v>
      </c>
      <c r="F91" s="28" t="s">
        <v>584</v>
      </c>
      <c r="G91" s="72" t="s">
        <v>564</v>
      </c>
      <c r="H91" s="320" t="s">
        <v>92</v>
      </c>
      <c r="I91" s="72" t="s">
        <v>517</v>
      </c>
      <c r="J91" s="73" t="s">
        <v>0</v>
      </c>
      <c r="K91" s="28" t="s">
        <v>531</v>
      </c>
      <c r="L91" s="89" t="s">
        <v>593</v>
      </c>
      <c r="M91" s="72" t="s">
        <v>532</v>
      </c>
      <c r="N91" s="72" t="s">
        <v>532</v>
      </c>
      <c r="O91" s="72" t="s">
        <v>570</v>
      </c>
      <c r="P91" s="72" t="s">
        <v>573</v>
      </c>
      <c r="Q91" s="72" t="s">
        <v>0</v>
      </c>
      <c r="R91" s="117" t="s">
        <v>519</v>
      </c>
      <c r="S91" s="176">
        <v>100</v>
      </c>
      <c r="T91" s="164" t="s">
        <v>0</v>
      </c>
      <c r="U91" s="72" t="s">
        <v>576</v>
      </c>
      <c r="V91" s="364">
        <v>20</v>
      </c>
      <c r="W91" s="209">
        <v>60.209854342235587</v>
      </c>
      <c r="X91" s="164">
        <v>50</v>
      </c>
      <c r="Y91" s="194">
        <v>2</v>
      </c>
      <c r="Z91" s="209">
        <v>4.0942700952720199E-5</v>
      </c>
      <c r="AA91" s="209">
        <v>1.023567523818005E-3</v>
      </c>
      <c r="AB91" s="209">
        <v>1.3838865075450886E-5</v>
      </c>
      <c r="AC91" s="235">
        <v>33.711919999999999</v>
      </c>
      <c r="AD91" s="209">
        <v>0.62284200000000001</v>
      </c>
      <c r="AE91" s="279">
        <v>0.35959799999999997</v>
      </c>
      <c r="AF91" s="209">
        <v>56.357713426102649</v>
      </c>
      <c r="AG91" s="206">
        <v>1408.9428356525661</v>
      </c>
      <c r="AH91" s="117"/>
      <c r="AI91" s="404"/>
    </row>
    <row r="92" spans="1:35" hidden="1" x14ac:dyDescent="0.3">
      <c r="A92" s="148">
        <v>45250</v>
      </c>
      <c r="B92" s="189">
        <v>91</v>
      </c>
      <c r="C92" s="70" t="s">
        <v>549</v>
      </c>
      <c r="D92" s="84" t="s">
        <v>552</v>
      </c>
      <c r="E92" s="44" t="s">
        <v>588</v>
      </c>
      <c r="F92" s="44" t="s">
        <v>584</v>
      </c>
      <c r="G92" s="2" t="s">
        <v>564</v>
      </c>
      <c r="H92" s="14" t="s">
        <v>93</v>
      </c>
      <c r="I92" s="79" t="s">
        <v>517</v>
      </c>
      <c r="J92" s="9" t="s">
        <v>0</v>
      </c>
      <c r="K92" s="83" t="s">
        <v>531</v>
      </c>
      <c r="L92" s="67" t="s">
        <v>593</v>
      </c>
      <c r="M92" s="79" t="s">
        <v>532</v>
      </c>
      <c r="N92" s="79" t="s">
        <v>532</v>
      </c>
      <c r="O92" s="79" t="s">
        <v>570</v>
      </c>
      <c r="P92" s="2" t="s">
        <v>573</v>
      </c>
      <c r="Q92" s="67" t="s">
        <v>0</v>
      </c>
      <c r="R92" s="110" t="s">
        <v>519</v>
      </c>
      <c r="S92" s="175">
        <v>100</v>
      </c>
      <c r="T92" s="165" t="s">
        <v>0</v>
      </c>
      <c r="U92" s="67" t="s">
        <v>576</v>
      </c>
      <c r="V92" s="361">
        <v>200</v>
      </c>
      <c r="W92" s="208">
        <v>169.65896109416067</v>
      </c>
      <c r="X92" s="165">
        <v>50</v>
      </c>
      <c r="Y92" s="195">
        <v>2</v>
      </c>
      <c r="Z92" s="208">
        <v>1.1536809354402925E-4</v>
      </c>
      <c r="AA92" s="208">
        <v>2.8842023386007314E-3</v>
      </c>
      <c r="AB92" s="208">
        <v>1.446674712182024E-5</v>
      </c>
      <c r="AC92" s="201">
        <v>31.957719999999998</v>
      </c>
      <c r="AD92" s="201">
        <v>0.21073800000000001</v>
      </c>
      <c r="AE92" s="265">
        <v>0.12167</v>
      </c>
      <c r="AF92" s="208">
        <v>158.80442186700003</v>
      </c>
      <c r="AG92" s="206">
        <v>3970.1105466750005</v>
      </c>
      <c r="AH92" s="110"/>
      <c r="AI92" s="393"/>
    </row>
    <row r="93" spans="1:35" hidden="1" x14ac:dyDescent="0.3">
      <c r="A93" s="145">
        <v>45250</v>
      </c>
      <c r="B93" s="188">
        <v>92</v>
      </c>
      <c r="C93" s="70" t="s">
        <v>549</v>
      </c>
      <c r="D93" s="82" t="s">
        <v>552</v>
      </c>
      <c r="E93" s="2" t="s">
        <v>588</v>
      </c>
      <c r="F93" s="2" t="s">
        <v>584</v>
      </c>
      <c r="G93" s="75" t="s">
        <v>564</v>
      </c>
      <c r="H93" s="131" t="s">
        <v>94</v>
      </c>
      <c r="I93" s="2" t="s">
        <v>517</v>
      </c>
      <c r="J93" s="9" t="s">
        <v>0</v>
      </c>
      <c r="K93" s="83" t="s">
        <v>531</v>
      </c>
      <c r="L93" s="67" t="s">
        <v>593</v>
      </c>
      <c r="M93" s="23" t="s">
        <v>532</v>
      </c>
      <c r="N93" s="2" t="s">
        <v>532</v>
      </c>
      <c r="O93" s="2" t="s">
        <v>570</v>
      </c>
      <c r="P93" s="75" t="s">
        <v>573</v>
      </c>
      <c r="Q93" s="67" t="s">
        <v>0</v>
      </c>
      <c r="R93" s="110" t="s">
        <v>519</v>
      </c>
      <c r="S93" s="175">
        <v>100</v>
      </c>
      <c r="T93" s="165" t="s">
        <v>0</v>
      </c>
      <c r="U93" s="67" t="s">
        <v>576</v>
      </c>
      <c r="V93" s="361">
        <v>2000</v>
      </c>
      <c r="W93" s="208">
        <v>2082.0230714802315</v>
      </c>
      <c r="X93" s="165">
        <v>50</v>
      </c>
      <c r="Y93" s="195">
        <v>2</v>
      </c>
      <c r="Z93" s="208">
        <v>1.4157756886065572E-3</v>
      </c>
      <c r="AA93" s="264">
        <v>3.5394392215163932E-2</v>
      </c>
      <c r="AB93" s="208">
        <v>5.1714540910176357E-5</v>
      </c>
      <c r="AC93" s="201">
        <v>27.859829999999999</v>
      </c>
      <c r="AD93" s="201">
        <v>6.0141E-2</v>
      </c>
      <c r="AE93" s="265">
        <v>3.4722000000000003E-2</v>
      </c>
      <c r="AF93" s="208">
        <v>1948.8181941457947</v>
      </c>
      <c r="AG93" s="206">
        <v>48720.454853644864</v>
      </c>
      <c r="AH93" s="110"/>
      <c r="AI93" s="393"/>
    </row>
    <row r="94" spans="1:35" hidden="1" x14ac:dyDescent="0.3">
      <c r="A94" s="145">
        <v>45250</v>
      </c>
      <c r="B94" s="189">
        <v>93</v>
      </c>
      <c r="C94" s="70" t="s">
        <v>549</v>
      </c>
      <c r="D94" s="82" t="s">
        <v>552</v>
      </c>
      <c r="E94" s="2" t="s">
        <v>588</v>
      </c>
      <c r="F94" s="2" t="s">
        <v>584</v>
      </c>
      <c r="G94" s="2" t="s">
        <v>564</v>
      </c>
      <c r="H94" s="14" t="s">
        <v>95</v>
      </c>
      <c r="I94" s="2" t="s">
        <v>517</v>
      </c>
      <c r="J94" s="9" t="s">
        <v>0</v>
      </c>
      <c r="K94" s="83" t="s">
        <v>531</v>
      </c>
      <c r="L94" s="67" t="s">
        <v>593</v>
      </c>
      <c r="M94" s="23" t="s">
        <v>532</v>
      </c>
      <c r="N94" s="2" t="s">
        <v>532</v>
      </c>
      <c r="O94" s="2" t="s">
        <v>570</v>
      </c>
      <c r="P94" s="2" t="s">
        <v>573</v>
      </c>
      <c r="Q94" s="67" t="s">
        <v>0</v>
      </c>
      <c r="R94" s="110" t="s">
        <v>519</v>
      </c>
      <c r="S94" s="175">
        <v>100</v>
      </c>
      <c r="T94" s="165" t="s">
        <v>0</v>
      </c>
      <c r="U94" s="67" t="s">
        <v>576</v>
      </c>
      <c r="V94" s="361">
        <v>20000</v>
      </c>
      <c r="W94" s="208">
        <v>40028.637889889702</v>
      </c>
      <c r="X94" s="165">
        <v>50</v>
      </c>
      <c r="Y94" s="195">
        <v>2</v>
      </c>
      <c r="Z94" s="208">
        <v>2.7219473765124996E-2</v>
      </c>
      <c r="AA94" s="264">
        <v>0.68048684412812488</v>
      </c>
      <c r="AB94" s="208">
        <v>1.0194707782883294E-3</v>
      </c>
      <c r="AC94" s="201">
        <v>23.03783</v>
      </c>
      <c r="AD94" s="201">
        <v>6.0461000000000001E-2</v>
      </c>
      <c r="AE94" s="265">
        <v>3.4907000000000001E-2</v>
      </c>
      <c r="AF94" s="208">
        <v>37467.662522697203</v>
      </c>
      <c r="AG94" s="206">
        <v>936691.56306742993</v>
      </c>
      <c r="AH94" s="110"/>
      <c r="AI94" s="393"/>
    </row>
    <row r="95" spans="1:35" hidden="1" x14ac:dyDescent="0.3">
      <c r="A95" s="145">
        <v>45250</v>
      </c>
      <c r="B95" s="189">
        <v>94</v>
      </c>
      <c r="C95" s="70" t="s">
        <v>549</v>
      </c>
      <c r="D95" s="82" t="s">
        <v>552</v>
      </c>
      <c r="E95" s="2" t="s">
        <v>588</v>
      </c>
      <c r="F95" s="2" t="s">
        <v>584</v>
      </c>
      <c r="G95" s="2" t="s">
        <v>564</v>
      </c>
      <c r="H95" s="14" t="s">
        <v>96</v>
      </c>
      <c r="I95" s="2" t="s">
        <v>517</v>
      </c>
      <c r="J95" s="9" t="s">
        <v>0</v>
      </c>
      <c r="K95" s="83" t="s">
        <v>531</v>
      </c>
      <c r="L95" s="79" t="s">
        <v>593</v>
      </c>
      <c r="M95" s="23" t="s">
        <v>532</v>
      </c>
      <c r="N95" s="2" t="s">
        <v>532</v>
      </c>
      <c r="O95" s="2" t="s">
        <v>570</v>
      </c>
      <c r="P95" s="2" t="s">
        <v>573</v>
      </c>
      <c r="Q95" s="67" t="s">
        <v>0</v>
      </c>
      <c r="R95" s="110" t="s">
        <v>519</v>
      </c>
      <c r="S95" s="175">
        <v>100</v>
      </c>
      <c r="T95" s="165" t="s">
        <v>0</v>
      </c>
      <c r="U95" s="67" t="s">
        <v>576</v>
      </c>
      <c r="V95" s="361">
        <v>200000</v>
      </c>
      <c r="W95" s="208">
        <v>398129.47826301091</v>
      </c>
      <c r="X95" s="165">
        <v>50</v>
      </c>
      <c r="Y95" s="195">
        <v>2</v>
      </c>
      <c r="Z95" s="208">
        <v>0.27072804521884741</v>
      </c>
      <c r="AA95" s="264">
        <v>6.7682011304711853</v>
      </c>
      <c r="AB95" s="208">
        <v>7.1262737864952151E-3</v>
      </c>
      <c r="AC95" s="201">
        <v>19.290469999999999</v>
      </c>
      <c r="AD95" s="201">
        <v>4.3006999999999997E-2</v>
      </c>
      <c r="AE95" s="265">
        <v>2.4830000000000001E-2</v>
      </c>
      <c r="AF95" s="208">
        <v>372657.72002858197</v>
      </c>
      <c r="AG95" s="206">
        <v>9316443.0007145498</v>
      </c>
      <c r="AH95" s="110"/>
      <c r="AI95" s="393"/>
    </row>
    <row r="96" spans="1:35" hidden="1" x14ac:dyDescent="0.3">
      <c r="A96" s="145">
        <v>45250</v>
      </c>
      <c r="B96" s="189">
        <v>95</v>
      </c>
      <c r="C96" s="70" t="s">
        <v>549</v>
      </c>
      <c r="D96" s="82" t="s">
        <v>552</v>
      </c>
      <c r="E96" s="2" t="s">
        <v>588</v>
      </c>
      <c r="F96" s="2" t="s">
        <v>584</v>
      </c>
      <c r="G96" s="2" t="s">
        <v>564</v>
      </c>
      <c r="H96" s="14" t="s">
        <v>97</v>
      </c>
      <c r="I96" s="2" t="s">
        <v>517</v>
      </c>
      <c r="J96" s="9" t="s">
        <v>0</v>
      </c>
      <c r="K96" s="130" t="s">
        <v>531</v>
      </c>
      <c r="L96" s="110" t="s">
        <v>593</v>
      </c>
      <c r="M96" s="83" t="s">
        <v>532</v>
      </c>
      <c r="N96" s="2" t="s">
        <v>532</v>
      </c>
      <c r="O96" s="2" t="s">
        <v>570</v>
      </c>
      <c r="P96" s="2" t="s">
        <v>573</v>
      </c>
      <c r="Q96" s="67" t="s">
        <v>0</v>
      </c>
      <c r="R96" s="110" t="s">
        <v>519</v>
      </c>
      <c r="S96" s="175">
        <v>100</v>
      </c>
      <c r="T96" s="165" t="s">
        <v>0</v>
      </c>
      <c r="U96" s="67" t="s">
        <v>576</v>
      </c>
      <c r="V96" s="361">
        <v>2000000</v>
      </c>
      <c r="W96" s="238">
        <v>10975358.249563761</v>
      </c>
      <c r="X96" s="165">
        <v>50</v>
      </c>
      <c r="Y96" s="195">
        <v>2</v>
      </c>
      <c r="Z96" s="208">
        <v>7.4632436097033574</v>
      </c>
      <c r="AA96" s="264">
        <v>186.58109024258394</v>
      </c>
      <c r="AB96" s="208">
        <v>0.4715696119170264</v>
      </c>
      <c r="AC96" s="201">
        <v>13.882440000000001</v>
      </c>
      <c r="AD96" s="201">
        <v>0.103282</v>
      </c>
      <c r="AE96" s="265">
        <v>5.9630000000000002E-2</v>
      </c>
      <c r="AF96" s="208">
        <v>10273170.425922001</v>
      </c>
      <c r="AG96" s="206">
        <v>256829260.64805001</v>
      </c>
      <c r="AH96" s="110"/>
      <c r="AI96" s="393"/>
    </row>
    <row r="97" spans="1:35" hidden="1" x14ac:dyDescent="0.3">
      <c r="A97" s="145">
        <v>45250</v>
      </c>
      <c r="B97" s="189">
        <v>96</v>
      </c>
      <c r="C97" s="70" t="s">
        <v>549</v>
      </c>
      <c r="D97" s="82" t="s">
        <v>552</v>
      </c>
      <c r="E97" s="2" t="s">
        <v>588</v>
      </c>
      <c r="F97" s="2" t="s">
        <v>584</v>
      </c>
      <c r="G97" s="2" t="s">
        <v>564</v>
      </c>
      <c r="H97" s="14" t="s">
        <v>98</v>
      </c>
      <c r="I97" s="2" t="s">
        <v>517</v>
      </c>
      <c r="J97" s="9" t="s">
        <v>0</v>
      </c>
      <c r="K97" s="130" t="s">
        <v>531</v>
      </c>
      <c r="L97" s="110" t="s">
        <v>593</v>
      </c>
      <c r="M97" s="83" t="s">
        <v>531</v>
      </c>
      <c r="N97" s="2" t="s">
        <v>532</v>
      </c>
      <c r="O97" s="2" t="s">
        <v>570</v>
      </c>
      <c r="P97" s="2" t="s">
        <v>573</v>
      </c>
      <c r="Q97" s="67" t="s">
        <v>0</v>
      </c>
      <c r="R97" s="110" t="s">
        <v>519</v>
      </c>
      <c r="S97" s="175">
        <v>100</v>
      </c>
      <c r="T97" s="165" t="s">
        <v>0</v>
      </c>
      <c r="U97" s="67" t="s">
        <v>576</v>
      </c>
      <c r="V97" s="361">
        <v>20000000</v>
      </c>
      <c r="W97" s="208">
        <v>45221914.103670478</v>
      </c>
      <c r="X97" s="165">
        <v>50</v>
      </c>
      <c r="Y97" s="195">
        <v>2</v>
      </c>
      <c r="Z97" s="208">
        <v>30.750901590495925</v>
      </c>
      <c r="AA97" s="264">
        <v>768.77253976239808</v>
      </c>
      <c r="AB97" s="208">
        <v>0.76474929451073881</v>
      </c>
      <c r="AC97" s="201">
        <v>11.57104</v>
      </c>
      <c r="AD97" s="201">
        <v>4.0629999999999999E-2</v>
      </c>
      <c r="AE97" s="265">
        <v>2.3458E-2</v>
      </c>
      <c r="AF97" s="208">
        <v>42328680.30452472</v>
      </c>
      <c r="AG97" s="206">
        <v>1058217007.6131183</v>
      </c>
      <c r="AH97" s="110"/>
      <c r="AI97" s="393"/>
    </row>
    <row r="98" spans="1:35" hidden="1" x14ac:dyDescent="0.3">
      <c r="A98" s="145">
        <v>45250</v>
      </c>
      <c r="B98" s="189">
        <v>97</v>
      </c>
      <c r="C98" s="80" t="s">
        <v>548</v>
      </c>
      <c r="D98" s="82" t="s">
        <v>552</v>
      </c>
      <c r="E98" s="2" t="s">
        <v>588</v>
      </c>
      <c r="F98" s="2" t="s">
        <v>584</v>
      </c>
      <c r="G98" s="2" t="s">
        <v>564</v>
      </c>
      <c r="H98" s="14" t="s">
        <v>99</v>
      </c>
      <c r="I98" s="2" t="s">
        <v>522</v>
      </c>
      <c r="J98" s="15" t="s">
        <v>550</v>
      </c>
      <c r="K98" s="130" t="s">
        <v>531</v>
      </c>
      <c r="L98" s="110" t="s">
        <v>606</v>
      </c>
      <c r="M98" s="65" t="s">
        <v>531</v>
      </c>
      <c r="N98" s="2" t="s">
        <v>532</v>
      </c>
      <c r="O98" s="2" t="s">
        <v>570</v>
      </c>
      <c r="P98" s="2" t="s">
        <v>573</v>
      </c>
      <c r="Q98" s="67" t="s">
        <v>0</v>
      </c>
      <c r="R98" s="110" t="s">
        <v>519</v>
      </c>
      <c r="S98" s="175">
        <v>100</v>
      </c>
      <c r="T98" s="165">
        <v>25</v>
      </c>
      <c r="U98" s="67" t="s">
        <v>0</v>
      </c>
      <c r="V98" s="165" t="s">
        <v>0</v>
      </c>
      <c r="W98" s="208">
        <v>18.786182128203787</v>
      </c>
      <c r="X98" s="165">
        <v>50</v>
      </c>
      <c r="Y98" s="195">
        <v>2</v>
      </c>
      <c r="Z98" s="208">
        <v>1.2774603847178575E-5</v>
      </c>
      <c r="AA98" s="264">
        <v>3.1936509617946441E-4</v>
      </c>
      <c r="AB98" s="208">
        <v>7.2841852059635128E-6</v>
      </c>
      <c r="AC98" s="201">
        <v>35.740110000000001</v>
      </c>
      <c r="AD98" s="201">
        <v>1.027649</v>
      </c>
      <c r="AE98" s="265">
        <v>0.59331299999999998</v>
      </c>
      <c r="AF98" s="208">
        <v>17.584268892828035</v>
      </c>
      <c r="AG98" s="206">
        <v>439.6067223207009</v>
      </c>
      <c r="AH98" s="110">
        <v>2</v>
      </c>
      <c r="AI98" s="393" t="s">
        <v>615</v>
      </c>
    </row>
    <row r="99" spans="1:35" hidden="1" x14ac:dyDescent="0.3">
      <c r="A99" s="145">
        <v>45250</v>
      </c>
      <c r="B99" s="189">
        <v>98</v>
      </c>
      <c r="C99" s="80" t="s">
        <v>548</v>
      </c>
      <c r="D99" s="82" t="s">
        <v>552</v>
      </c>
      <c r="E99" s="2" t="s">
        <v>588</v>
      </c>
      <c r="F99" s="2" t="s">
        <v>584</v>
      </c>
      <c r="G99" s="2" t="s">
        <v>564</v>
      </c>
      <c r="H99" s="14" t="s">
        <v>100</v>
      </c>
      <c r="I99" s="2" t="s">
        <v>522</v>
      </c>
      <c r="J99" s="15" t="s">
        <v>550</v>
      </c>
      <c r="K99" s="83" t="s">
        <v>531</v>
      </c>
      <c r="L99" s="75" t="s">
        <v>606</v>
      </c>
      <c r="M99" s="2" t="s">
        <v>531</v>
      </c>
      <c r="N99" s="2" t="s">
        <v>532</v>
      </c>
      <c r="O99" s="2" t="s">
        <v>570</v>
      </c>
      <c r="P99" s="2" t="s">
        <v>574</v>
      </c>
      <c r="Q99" s="67" t="s">
        <v>0</v>
      </c>
      <c r="R99" s="110" t="s">
        <v>519</v>
      </c>
      <c r="S99" s="175">
        <v>100</v>
      </c>
      <c r="T99" s="165">
        <v>25</v>
      </c>
      <c r="U99" s="67" t="s">
        <v>0</v>
      </c>
      <c r="V99" s="165" t="s">
        <v>0</v>
      </c>
      <c r="W99" s="208">
        <v>10.673520990107788</v>
      </c>
      <c r="X99" s="165">
        <v>50</v>
      </c>
      <c r="Y99" s="195">
        <v>2</v>
      </c>
      <c r="Z99" s="208">
        <v>7.2579942732732948E-6</v>
      </c>
      <c r="AA99" s="264">
        <v>1.8144985683183238E-4</v>
      </c>
      <c r="AB99" s="208">
        <v>2.9455301114473182E-6</v>
      </c>
      <c r="AC99" s="201">
        <v>36.542290000000001</v>
      </c>
      <c r="AD99" s="201">
        <v>0.61573900000000004</v>
      </c>
      <c r="AE99" s="265">
        <v>0.35549700000000001</v>
      </c>
      <c r="AF99" s="208">
        <v>9.9906442853827873</v>
      </c>
      <c r="AG99" s="206">
        <v>249.76610713456969</v>
      </c>
      <c r="AH99" s="110">
        <v>2</v>
      </c>
      <c r="AI99" s="393" t="s">
        <v>615</v>
      </c>
    </row>
    <row r="100" spans="1:35" hidden="1" x14ac:dyDescent="0.3">
      <c r="A100" s="145">
        <v>45250</v>
      </c>
      <c r="B100" s="189">
        <v>99</v>
      </c>
      <c r="C100" s="80" t="s">
        <v>548</v>
      </c>
      <c r="D100" s="82" t="s">
        <v>552</v>
      </c>
      <c r="E100" s="2" t="s">
        <v>588</v>
      </c>
      <c r="F100" s="2" t="s">
        <v>584</v>
      </c>
      <c r="G100" s="2" t="s">
        <v>564</v>
      </c>
      <c r="H100" s="14" t="s">
        <v>101</v>
      </c>
      <c r="I100" s="2" t="s">
        <v>522</v>
      </c>
      <c r="J100" s="15" t="s">
        <v>550</v>
      </c>
      <c r="K100" s="83" t="s">
        <v>531</v>
      </c>
      <c r="L100" s="2" t="s">
        <v>606</v>
      </c>
      <c r="M100" s="2" t="s">
        <v>531</v>
      </c>
      <c r="N100" s="2" t="s">
        <v>532</v>
      </c>
      <c r="O100" s="2" t="s">
        <v>570</v>
      </c>
      <c r="P100" s="2" t="s">
        <v>503</v>
      </c>
      <c r="Q100" s="67" t="s">
        <v>0</v>
      </c>
      <c r="R100" s="110" t="s">
        <v>519</v>
      </c>
      <c r="S100" s="175">
        <v>100</v>
      </c>
      <c r="T100" s="165">
        <v>25</v>
      </c>
      <c r="U100" s="67" t="s">
        <v>0</v>
      </c>
      <c r="V100" s="165" t="s">
        <v>0</v>
      </c>
      <c r="W100" s="208">
        <v>14.196313102547954</v>
      </c>
      <c r="X100" s="165">
        <v>50</v>
      </c>
      <c r="Y100" s="195">
        <v>2</v>
      </c>
      <c r="Z100" s="208">
        <v>9.6534929097326094E-6</v>
      </c>
      <c r="AA100" s="264">
        <v>2.4133732274331522E-4</v>
      </c>
      <c r="AB100" s="208">
        <v>6.4308392555206315E-6</v>
      </c>
      <c r="AC100" s="201">
        <v>36.278289999999998</v>
      </c>
      <c r="AD100" s="201">
        <v>1.2263109999999999</v>
      </c>
      <c r="AE100" s="265">
        <v>0.70801099999999995</v>
      </c>
      <c r="AF100" s="208">
        <v>13.288053164735777</v>
      </c>
      <c r="AG100" s="206">
        <v>332.20132911839443</v>
      </c>
      <c r="AH100" s="110">
        <v>2</v>
      </c>
      <c r="AI100" s="393" t="s">
        <v>615</v>
      </c>
    </row>
    <row r="101" spans="1:35" hidden="1" x14ac:dyDescent="0.3">
      <c r="A101" s="145">
        <v>45250</v>
      </c>
      <c r="B101" s="189">
        <v>100</v>
      </c>
      <c r="C101" s="80" t="s">
        <v>548</v>
      </c>
      <c r="D101" s="82" t="s">
        <v>552</v>
      </c>
      <c r="E101" s="2" t="s">
        <v>588</v>
      </c>
      <c r="F101" s="2" t="s">
        <v>584</v>
      </c>
      <c r="G101" s="2" t="s">
        <v>564</v>
      </c>
      <c r="H101" s="14" t="s">
        <v>102</v>
      </c>
      <c r="I101" s="2" t="s">
        <v>522</v>
      </c>
      <c r="J101" s="15" t="s">
        <v>550</v>
      </c>
      <c r="K101" s="83" t="s">
        <v>531</v>
      </c>
      <c r="L101" s="2" t="s">
        <v>606</v>
      </c>
      <c r="M101" s="2" t="s">
        <v>531</v>
      </c>
      <c r="N101" s="2" t="s">
        <v>532</v>
      </c>
      <c r="O101" s="2" t="s">
        <v>570</v>
      </c>
      <c r="P101" s="2" t="s">
        <v>575</v>
      </c>
      <c r="Q101" s="67" t="s">
        <v>0</v>
      </c>
      <c r="R101" s="110" t="s">
        <v>519</v>
      </c>
      <c r="S101" s="175">
        <v>100</v>
      </c>
      <c r="T101" s="165">
        <v>25</v>
      </c>
      <c r="U101" s="67" t="s">
        <v>0</v>
      </c>
      <c r="V101" s="165" t="s">
        <v>0</v>
      </c>
      <c r="W101" s="208">
        <v>14.905208734327946</v>
      </c>
      <c r="X101" s="165">
        <v>50</v>
      </c>
      <c r="Y101" s="195">
        <v>2</v>
      </c>
      <c r="Z101" s="208">
        <v>1.0135541939343003E-5</v>
      </c>
      <c r="AA101" s="264">
        <v>2.5338854848357508E-4</v>
      </c>
      <c r="AB101" s="208">
        <v>5.0955409997458158E-6</v>
      </c>
      <c r="AC101" s="201">
        <v>36.042029999999997</v>
      </c>
      <c r="AD101" s="201">
        <v>0.76521300000000003</v>
      </c>
      <c r="AE101" s="265">
        <v>0.44179600000000002</v>
      </c>
      <c r="AF101" s="208">
        <v>13.951594661411473</v>
      </c>
      <c r="AG101" s="206">
        <v>348.78986653528682</v>
      </c>
      <c r="AH101" s="110">
        <v>2</v>
      </c>
      <c r="AI101" s="393" t="s">
        <v>615</v>
      </c>
    </row>
    <row r="102" spans="1:35" hidden="1" x14ac:dyDescent="0.3">
      <c r="A102" s="145">
        <v>45250</v>
      </c>
      <c r="B102" s="189">
        <v>101</v>
      </c>
      <c r="C102" s="80" t="s">
        <v>548</v>
      </c>
      <c r="D102" s="82" t="s">
        <v>552</v>
      </c>
      <c r="E102" s="2" t="s">
        <v>588</v>
      </c>
      <c r="F102" s="2" t="s">
        <v>584</v>
      </c>
      <c r="G102" s="2" t="s">
        <v>564</v>
      </c>
      <c r="H102" s="14" t="s">
        <v>103</v>
      </c>
      <c r="I102" s="2" t="s">
        <v>523</v>
      </c>
      <c r="J102" s="15" t="s">
        <v>550</v>
      </c>
      <c r="K102" s="83" t="s">
        <v>531</v>
      </c>
      <c r="L102" s="2" t="s">
        <v>607</v>
      </c>
      <c r="M102" s="2" t="s">
        <v>531</v>
      </c>
      <c r="N102" s="2" t="s">
        <v>532</v>
      </c>
      <c r="O102" s="2" t="s">
        <v>570</v>
      </c>
      <c r="P102" s="2" t="s">
        <v>573</v>
      </c>
      <c r="Q102" s="67" t="s">
        <v>0</v>
      </c>
      <c r="R102" s="110" t="s">
        <v>519</v>
      </c>
      <c r="S102" s="175">
        <v>100</v>
      </c>
      <c r="T102" s="165">
        <v>25</v>
      </c>
      <c r="U102" s="67" t="s">
        <v>0</v>
      </c>
      <c r="V102" s="165" t="s">
        <v>0</v>
      </c>
      <c r="W102" s="208">
        <v>14.99247610852006</v>
      </c>
      <c r="X102" s="165">
        <v>50</v>
      </c>
      <c r="Y102" s="195">
        <v>2</v>
      </c>
      <c r="Z102" s="208">
        <v>1.0194883753793642E-5</v>
      </c>
      <c r="AA102" s="264">
        <v>2.5487209384484103E-4</v>
      </c>
      <c r="AB102" s="208">
        <v>6.9228921111532216E-6</v>
      </c>
      <c r="AC102" s="201">
        <v>36.143340000000002</v>
      </c>
      <c r="AD102" s="201">
        <v>1.053847</v>
      </c>
      <c r="AE102" s="265">
        <v>0.60843899999999995</v>
      </c>
      <c r="AF102" s="208">
        <v>14.033278793019111</v>
      </c>
      <c r="AG102" s="206">
        <v>350.8319698254777</v>
      </c>
      <c r="AH102" s="110">
        <v>2</v>
      </c>
      <c r="AI102" s="393" t="s">
        <v>613</v>
      </c>
    </row>
    <row r="103" spans="1:35" hidden="1" x14ac:dyDescent="0.3">
      <c r="A103" s="145">
        <v>45250</v>
      </c>
      <c r="B103" s="189">
        <v>102</v>
      </c>
      <c r="C103" s="80" t="s">
        <v>548</v>
      </c>
      <c r="D103" s="82" t="s">
        <v>552</v>
      </c>
      <c r="E103" s="2" t="s">
        <v>588</v>
      </c>
      <c r="F103" s="2" t="s">
        <v>584</v>
      </c>
      <c r="G103" s="2" t="s">
        <v>564</v>
      </c>
      <c r="H103" s="14" t="s">
        <v>104</v>
      </c>
      <c r="I103" s="2" t="s">
        <v>523</v>
      </c>
      <c r="J103" s="15" t="s">
        <v>550</v>
      </c>
      <c r="K103" s="83" t="s">
        <v>531</v>
      </c>
      <c r="L103" s="2" t="s">
        <v>607</v>
      </c>
      <c r="M103" s="2" t="s">
        <v>531</v>
      </c>
      <c r="N103" s="2" t="s">
        <v>532</v>
      </c>
      <c r="O103" s="2" t="s">
        <v>570</v>
      </c>
      <c r="P103" s="2" t="s">
        <v>574</v>
      </c>
      <c r="Q103" s="67" t="s">
        <v>0</v>
      </c>
      <c r="R103" s="110" t="s">
        <v>519</v>
      </c>
      <c r="S103" s="175">
        <v>100</v>
      </c>
      <c r="T103" s="165">
        <v>25</v>
      </c>
      <c r="U103" s="67" t="s">
        <v>0</v>
      </c>
      <c r="V103" s="165" t="s">
        <v>0</v>
      </c>
      <c r="W103" s="208">
        <v>15.926802340728207</v>
      </c>
      <c r="X103" s="165">
        <v>50</v>
      </c>
      <c r="Y103" s="195">
        <v>2</v>
      </c>
      <c r="Z103" s="293" t="s">
        <v>0</v>
      </c>
      <c r="AA103" s="294" t="s">
        <v>0</v>
      </c>
      <c r="AB103" s="293" t="s">
        <v>0</v>
      </c>
      <c r="AC103" s="201">
        <v>36.283250000000002</v>
      </c>
      <c r="AD103" s="201">
        <v>1.848141</v>
      </c>
      <c r="AE103" s="265">
        <v>1.3068329999999999</v>
      </c>
      <c r="AF103" s="293" t="s">
        <v>0</v>
      </c>
      <c r="AG103" s="382" t="s">
        <v>0</v>
      </c>
      <c r="AH103" s="400">
        <v>2</v>
      </c>
      <c r="AI103" s="393" t="s">
        <v>613</v>
      </c>
    </row>
    <row r="104" spans="1:35" hidden="1" x14ac:dyDescent="0.3">
      <c r="A104" s="145">
        <v>45250</v>
      </c>
      <c r="B104" s="189">
        <v>103</v>
      </c>
      <c r="C104" s="80" t="s">
        <v>548</v>
      </c>
      <c r="D104" s="82" t="s">
        <v>552</v>
      </c>
      <c r="E104" s="2" t="s">
        <v>588</v>
      </c>
      <c r="F104" s="2" t="s">
        <v>584</v>
      </c>
      <c r="G104" s="2" t="s">
        <v>564</v>
      </c>
      <c r="H104" s="14" t="s">
        <v>105</v>
      </c>
      <c r="I104" s="2" t="s">
        <v>522</v>
      </c>
      <c r="J104" s="12" t="s">
        <v>551</v>
      </c>
      <c r="K104" s="83" t="s">
        <v>531</v>
      </c>
      <c r="L104" s="2" t="s">
        <v>606</v>
      </c>
      <c r="M104" s="2" t="s">
        <v>531</v>
      </c>
      <c r="N104" s="2" t="s">
        <v>532</v>
      </c>
      <c r="O104" s="2" t="s">
        <v>570</v>
      </c>
      <c r="P104" s="2" t="s">
        <v>573</v>
      </c>
      <c r="Q104" s="67" t="s">
        <v>0</v>
      </c>
      <c r="R104" s="110" t="s">
        <v>519</v>
      </c>
      <c r="S104" s="175">
        <v>100</v>
      </c>
      <c r="T104" s="165">
        <v>25</v>
      </c>
      <c r="U104" s="67" t="s">
        <v>0</v>
      </c>
      <c r="V104" s="165" t="s">
        <v>0</v>
      </c>
      <c r="W104" s="208">
        <v>19.771532426802281</v>
      </c>
      <c r="X104" s="165">
        <v>50</v>
      </c>
      <c r="Y104" s="195">
        <v>2</v>
      </c>
      <c r="Z104" s="208">
        <v>1.344464205022555E-5</v>
      </c>
      <c r="AA104" s="264">
        <v>3.3611605125563875E-4</v>
      </c>
      <c r="AB104" s="208">
        <v>5.7915423886088367E-6</v>
      </c>
      <c r="AC104" s="201">
        <v>35.567488103248003</v>
      </c>
      <c r="AD104" s="201">
        <v>0.76234724033098655</v>
      </c>
      <c r="AE104" s="265">
        <v>0.44014138442106343</v>
      </c>
      <c r="AF104" s="208">
        <v>18.506577879611019</v>
      </c>
      <c r="AG104" s="206">
        <v>462.66444699027545</v>
      </c>
      <c r="AH104" s="110">
        <v>2</v>
      </c>
      <c r="AI104" s="393" t="s">
        <v>616</v>
      </c>
    </row>
    <row r="105" spans="1:35" hidden="1" x14ac:dyDescent="0.3">
      <c r="A105" s="145">
        <v>45250</v>
      </c>
      <c r="B105" s="189">
        <v>104</v>
      </c>
      <c r="C105" s="80" t="s">
        <v>548</v>
      </c>
      <c r="D105" s="82" t="s">
        <v>552</v>
      </c>
      <c r="E105" s="2" t="s">
        <v>588</v>
      </c>
      <c r="F105" s="2" t="s">
        <v>584</v>
      </c>
      <c r="G105" s="2" t="s">
        <v>564</v>
      </c>
      <c r="H105" s="14" t="s">
        <v>106</v>
      </c>
      <c r="I105" s="2" t="s">
        <v>522</v>
      </c>
      <c r="J105" s="12" t="s">
        <v>551</v>
      </c>
      <c r="K105" s="83" t="s">
        <v>531</v>
      </c>
      <c r="L105" s="2" t="s">
        <v>606</v>
      </c>
      <c r="M105" s="2" t="s">
        <v>531</v>
      </c>
      <c r="N105" s="2" t="s">
        <v>532</v>
      </c>
      <c r="O105" s="2" t="s">
        <v>570</v>
      </c>
      <c r="P105" s="2" t="s">
        <v>574</v>
      </c>
      <c r="Q105" s="67" t="s">
        <v>0</v>
      </c>
      <c r="R105" s="110" t="s">
        <v>519</v>
      </c>
      <c r="S105" s="175">
        <v>100</v>
      </c>
      <c r="T105" s="165">
        <v>25</v>
      </c>
      <c r="U105" s="67" t="s">
        <v>0</v>
      </c>
      <c r="V105" s="165" t="s">
        <v>0</v>
      </c>
      <c r="W105" s="208">
        <v>14.693207486611964</v>
      </c>
      <c r="X105" s="165">
        <v>50</v>
      </c>
      <c r="Y105" s="195">
        <v>2</v>
      </c>
      <c r="Z105" s="208">
        <v>9.9913810908961358E-6</v>
      </c>
      <c r="AA105" s="264">
        <v>2.4978452727240338E-4</v>
      </c>
      <c r="AB105" s="208">
        <v>8.2917769308264813E-6</v>
      </c>
      <c r="AC105" s="201">
        <v>36.29092873999155</v>
      </c>
      <c r="AD105" s="201">
        <v>1.2720362729967387</v>
      </c>
      <c r="AE105" s="265">
        <v>0.73441048463363545</v>
      </c>
      <c r="AF105" s="208">
        <v>13.753156952247771</v>
      </c>
      <c r="AG105" s="206">
        <v>343.82892380619427</v>
      </c>
      <c r="AH105" s="110">
        <v>2</v>
      </c>
      <c r="AI105" s="393" t="s">
        <v>616</v>
      </c>
    </row>
    <row r="106" spans="1:35" hidden="1" x14ac:dyDescent="0.3">
      <c r="A106" s="145">
        <v>45250</v>
      </c>
      <c r="B106" s="188">
        <v>105</v>
      </c>
      <c r="C106" s="80" t="s">
        <v>548</v>
      </c>
      <c r="D106" s="82" t="s">
        <v>552</v>
      </c>
      <c r="E106" s="2" t="s">
        <v>588</v>
      </c>
      <c r="F106" s="2" t="s">
        <v>584</v>
      </c>
      <c r="G106" s="2" t="s">
        <v>564</v>
      </c>
      <c r="H106" s="14" t="s">
        <v>107</v>
      </c>
      <c r="I106" s="2" t="s">
        <v>522</v>
      </c>
      <c r="J106" s="12" t="s">
        <v>551</v>
      </c>
      <c r="K106" s="83" t="s">
        <v>531</v>
      </c>
      <c r="L106" s="2" t="s">
        <v>606</v>
      </c>
      <c r="M106" s="2" t="s">
        <v>531</v>
      </c>
      <c r="N106" s="2" t="s">
        <v>532</v>
      </c>
      <c r="O106" s="2" t="s">
        <v>570</v>
      </c>
      <c r="P106" s="2" t="s">
        <v>503</v>
      </c>
      <c r="Q106" s="67" t="s">
        <v>0</v>
      </c>
      <c r="R106" s="110" t="s">
        <v>519</v>
      </c>
      <c r="S106" s="175">
        <v>100</v>
      </c>
      <c r="T106" s="165">
        <v>25</v>
      </c>
      <c r="U106" s="67" t="s">
        <v>0</v>
      </c>
      <c r="V106" s="165" t="s">
        <v>0</v>
      </c>
      <c r="W106" s="208">
        <v>16.218234071188807</v>
      </c>
      <c r="X106" s="165">
        <v>50</v>
      </c>
      <c r="Y106" s="195">
        <v>2</v>
      </c>
      <c r="Z106" s="208">
        <v>1.102839916840839E-5</v>
      </c>
      <c r="AA106" s="264">
        <v>2.7570997921020973E-4</v>
      </c>
      <c r="AB106" s="208">
        <v>1.1169885124080529E-6</v>
      </c>
      <c r="AC106" s="201">
        <v>35.783822830710101</v>
      </c>
      <c r="AD106" s="201">
        <v>0.16771607832798471</v>
      </c>
      <c r="AE106" s="265">
        <v>9.6830922970090341E-2</v>
      </c>
      <c r="AF106" s="208">
        <v>15.1806145031703</v>
      </c>
      <c r="AG106" s="206">
        <v>379.5153625792575</v>
      </c>
      <c r="AH106" s="110">
        <v>2</v>
      </c>
      <c r="AI106" s="393" t="s">
        <v>616</v>
      </c>
    </row>
    <row r="107" spans="1:35" hidden="1" x14ac:dyDescent="0.3">
      <c r="A107" s="145">
        <v>45250</v>
      </c>
      <c r="B107" s="189">
        <v>106</v>
      </c>
      <c r="C107" s="80" t="s">
        <v>548</v>
      </c>
      <c r="D107" s="82" t="s">
        <v>552</v>
      </c>
      <c r="E107" s="2" t="s">
        <v>588</v>
      </c>
      <c r="F107" s="2" t="s">
        <v>584</v>
      </c>
      <c r="G107" s="2" t="s">
        <v>564</v>
      </c>
      <c r="H107" s="14" t="s">
        <v>108</v>
      </c>
      <c r="I107" s="2" t="s">
        <v>522</v>
      </c>
      <c r="J107" s="12" t="s">
        <v>551</v>
      </c>
      <c r="K107" s="83" t="s">
        <v>531</v>
      </c>
      <c r="L107" s="2" t="s">
        <v>606</v>
      </c>
      <c r="M107" s="2" t="s">
        <v>531</v>
      </c>
      <c r="N107" s="2" t="s">
        <v>532</v>
      </c>
      <c r="O107" s="2" t="s">
        <v>570</v>
      </c>
      <c r="P107" s="2" t="s">
        <v>575</v>
      </c>
      <c r="Q107" s="67" t="s">
        <v>0</v>
      </c>
      <c r="R107" s="110" t="s">
        <v>519</v>
      </c>
      <c r="S107" s="175">
        <v>100</v>
      </c>
      <c r="T107" s="165">
        <v>25</v>
      </c>
      <c r="U107" s="67" t="s">
        <v>0</v>
      </c>
      <c r="V107" s="165" t="s">
        <v>0</v>
      </c>
      <c r="W107" s="208">
        <v>13.895405228773098</v>
      </c>
      <c r="X107" s="165">
        <v>50</v>
      </c>
      <c r="Y107" s="195">
        <v>2</v>
      </c>
      <c r="Z107" s="208">
        <v>9.4488755555657069E-6</v>
      </c>
      <c r="AA107" s="264">
        <v>2.3622188888914268E-4</v>
      </c>
      <c r="AB107" s="208">
        <v>4.0796776680438348E-6</v>
      </c>
      <c r="AC107" s="201">
        <v>36.159505070806638</v>
      </c>
      <c r="AD107" s="201">
        <v>0.84136999572511495</v>
      </c>
      <c r="AE107" s="265">
        <v>0.48576519351996944</v>
      </c>
      <c r="AF107" s="208">
        <v>13.006396949102561</v>
      </c>
      <c r="AG107" s="206">
        <v>325.15992372756403</v>
      </c>
      <c r="AH107" s="110">
        <v>2</v>
      </c>
      <c r="AI107" s="393" t="s">
        <v>616</v>
      </c>
    </row>
    <row r="108" spans="1:35" hidden="1" x14ac:dyDescent="0.3">
      <c r="A108" s="145">
        <v>45250</v>
      </c>
      <c r="B108" s="189">
        <v>107</v>
      </c>
      <c r="C108" s="80" t="s">
        <v>548</v>
      </c>
      <c r="D108" s="82" t="s">
        <v>552</v>
      </c>
      <c r="E108" s="2" t="s">
        <v>588</v>
      </c>
      <c r="F108" s="2" t="s">
        <v>584</v>
      </c>
      <c r="G108" s="2" t="s">
        <v>564</v>
      </c>
      <c r="H108" s="14" t="s">
        <v>109</v>
      </c>
      <c r="I108" s="2" t="s">
        <v>523</v>
      </c>
      <c r="J108" s="12" t="s">
        <v>551</v>
      </c>
      <c r="K108" s="83" t="s">
        <v>531</v>
      </c>
      <c r="L108" s="2" t="s">
        <v>607</v>
      </c>
      <c r="M108" s="2" t="s">
        <v>531</v>
      </c>
      <c r="N108" s="2" t="s">
        <v>532</v>
      </c>
      <c r="O108" s="2" t="s">
        <v>570</v>
      </c>
      <c r="P108" s="2" t="s">
        <v>573</v>
      </c>
      <c r="Q108" s="67" t="s">
        <v>0</v>
      </c>
      <c r="R108" s="110" t="s">
        <v>519</v>
      </c>
      <c r="S108" s="175">
        <v>100</v>
      </c>
      <c r="T108" s="165">
        <v>25</v>
      </c>
      <c r="U108" s="67" t="s">
        <v>0</v>
      </c>
      <c r="V108" s="165" t="s">
        <v>0</v>
      </c>
      <c r="W108" s="208">
        <v>20.628232630141895</v>
      </c>
      <c r="X108" s="165">
        <v>50</v>
      </c>
      <c r="Y108" s="195">
        <v>2</v>
      </c>
      <c r="Z108" s="208">
        <v>1.4027198188496489E-5</v>
      </c>
      <c r="AA108" s="264">
        <v>3.5067995471241222E-4</v>
      </c>
      <c r="AB108" s="208">
        <v>6.6113941309071795E-6</v>
      </c>
      <c r="AC108" s="201">
        <v>35.500407587465148</v>
      </c>
      <c r="AD108" s="201">
        <v>0.73699422669724712</v>
      </c>
      <c r="AE108" s="265">
        <v>0.42550381517485575</v>
      </c>
      <c r="AF108" s="208">
        <v>19.308467621404162</v>
      </c>
      <c r="AG108" s="206">
        <v>482.71169053510403</v>
      </c>
      <c r="AH108" s="110">
        <v>2</v>
      </c>
      <c r="AI108" s="393" t="s">
        <v>612</v>
      </c>
    </row>
    <row r="109" spans="1:35" hidden="1" x14ac:dyDescent="0.3">
      <c r="A109" s="145">
        <v>45250</v>
      </c>
      <c r="B109" s="189">
        <v>108</v>
      </c>
      <c r="C109" s="80" t="s">
        <v>548</v>
      </c>
      <c r="D109" s="82" t="s">
        <v>552</v>
      </c>
      <c r="E109" s="2" t="s">
        <v>588</v>
      </c>
      <c r="F109" s="2" t="s">
        <v>584</v>
      </c>
      <c r="G109" s="2" t="s">
        <v>564</v>
      </c>
      <c r="H109" s="14" t="s">
        <v>110</v>
      </c>
      <c r="I109" s="2" t="s">
        <v>523</v>
      </c>
      <c r="J109" s="12" t="s">
        <v>551</v>
      </c>
      <c r="K109" s="83" t="s">
        <v>531</v>
      </c>
      <c r="L109" s="2" t="s">
        <v>607</v>
      </c>
      <c r="M109" s="2" t="s">
        <v>531</v>
      </c>
      <c r="N109" s="2" t="s">
        <v>532</v>
      </c>
      <c r="O109" s="2" t="s">
        <v>570</v>
      </c>
      <c r="P109" s="2" t="s">
        <v>574</v>
      </c>
      <c r="Q109" s="67" t="s">
        <v>0</v>
      </c>
      <c r="R109" s="110" t="s">
        <v>519</v>
      </c>
      <c r="S109" s="175">
        <v>100</v>
      </c>
      <c r="T109" s="165">
        <v>25</v>
      </c>
      <c r="U109" s="67" t="s">
        <v>0</v>
      </c>
      <c r="V109" s="165" t="s">
        <v>0</v>
      </c>
      <c r="W109" s="208">
        <v>28.786211807921656</v>
      </c>
      <c r="X109" s="165">
        <v>50</v>
      </c>
      <c r="Y109" s="195">
        <v>2</v>
      </c>
      <c r="Z109" s="208">
        <v>1.9574624029386727E-5</v>
      </c>
      <c r="AA109" s="264">
        <v>4.8936560073466813E-4</v>
      </c>
      <c r="AB109" s="208">
        <v>4.0588309536118093E-6</v>
      </c>
      <c r="AC109" s="201">
        <v>34.865814261951471</v>
      </c>
      <c r="AD109" s="201">
        <v>0.34016682906997242</v>
      </c>
      <c r="AE109" s="265">
        <v>0.19639541033293001</v>
      </c>
      <c r="AF109" s="208">
        <v>26.944510884756014</v>
      </c>
      <c r="AG109" s="206">
        <v>673.61277211890024</v>
      </c>
      <c r="AH109" s="110">
        <v>2</v>
      </c>
      <c r="AI109" s="393" t="s">
        <v>612</v>
      </c>
    </row>
    <row r="110" spans="1:35" hidden="1" x14ac:dyDescent="0.3">
      <c r="A110" s="145">
        <v>45250</v>
      </c>
      <c r="B110" s="189">
        <v>109</v>
      </c>
      <c r="C110" s="80" t="s">
        <v>548</v>
      </c>
      <c r="D110" s="82" t="s">
        <v>552</v>
      </c>
      <c r="E110" s="2" t="s">
        <v>588</v>
      </c>
      <c r="F110" s="2" t="s">
        <v>584</v>
      </c>
      <c r="G110" s="2" t="s">
        <v>564</v>
      </c>
      <c r="H110" s="14" t="s">
        <v>111</v>
      </c>
      <c r="I110" s="2" t="s">
        <v>520</v>
      </c>
      <c r="J110" s="9" t="s">
        <v>0</v>
      </c>
      <c r="K110" s="83" t="s">
        <v>531</v>
      </c>
      <c r="L110" s="2" t="s">
        <v>530</v>
      </c>
      <c r="M110" s="2" t="s">
        <v>532</v>
      </c>
      <c r="N110" s="2" t="s">
        <v>532</v>
      </c>
      <c r="O110" s="2" t="s">
        <v>570</v>
      </c>
      <c r="P110" s="2" t="s">
        <v>573</v>
      </c>
      <c r="Q110" s="67" t="s">
        <v>0</v>
      </c>
      <c r="R110" s="110" t="s">
        <v>519</v>
      </c>
      <c r="S110" s="175">
        <v>100</v>
      </c>
      <c r="T110" s="165" t="s">
        <v>0</v>
      </c>
      <c r="U110" s="67" t="s">
        <v>0</v>
      </c>
      <c r="V110" s="165" t="s">
        <v>0</v>
      </c>
      <c r="W110" s="208">
        <v>13.775196374369239</v>
      </c>
      <c r="X110" s="165">
        <v>50</v>
      </c>
      <c r="Y110" s="195">
        <v>2</v>
      </c>
      <c r="Z110" s="208">
        <v>9.3671335345710827E-6</v>
      </c>
      <c r="AA110" s="264">
        <v>2.3417833836427706E-4</v>
      </c>
      <c r="AB110" s="208">
        <v>2.7018906297693199E-6</v>
      </c>
      <c r="AC110" s="201">
        <v>36.097004460605127</v>
      </c>
      <c r="AD110" s="201">
        <v>0.52531116389827026</v>
      </c>
      <c r="AE110" s="265">
        <v>0.303288541884982</v>
      </c>
      <c r="AF110" s="208">
        <v>12.893878886373741</v>
      </c>
      <c r="AG110" s="206">
        <v>322.34697215934352</v>
      </c>
      <c r="AH110" s="110">
        <v>2</v>
      </c>
      <c r="AI110" s="393" t="s">
        <v>619</v>
      </c>
    </row>
    <row r="111" spans="1:35" hidden="1" x14ac:dyDescent="0.3">
      <c r="A111" s="145">
        <v>45250</v>
      </c>
      <c r="B111" s="189">
        <v>110</v>
      </c>
      <c r="C111" s="80" t="s">
        <v>548</v>
      </c>
      <c r="D111" s="82" t="s">
        <v>552</v>
      </c>
      <c r="E111" s="2" t="s">
        <v>588</v>
      </c>
      <c r="F111" s="2" t="s">
        <v>584</v>
      </c>
      <c r="G111" s="2" t="s">
        <v>564</v>
      </c>
      <c r="H111" s="14" t="s">
        <v>112</v>
      </c>
      <c r="I111" s="2" t="s">
        <v>520</v>
      </c>
      <c r="J111" s="9" t="s">
        <v>0</v>
      </c>
      <c r="K111" s="83" t="s">
        <v>531</v>
      </c>
      <c r="L111" s="2" t="s">
        <v>530</v>
      </c>
      <c r="M111" s="2" t="s">
        <v>532</v>
      </c>
      <c r="N111" s="2" t="s">
        <v>532</v>
      </c>
      <c r="O111" s="2" t="s">
        <v>570</v>
      </c>
      <c r="P111" s="2" t="s">
        <v>574</v>
      </c>
      <c r="Q111" s="67" t="s">
        <v>0</v>
      </c>
      <c r="R111" s="110" t="s">
        <v>519</v>
      </c>
      <c r="S111" s="175">
        <v>100</v>
      </c>
      <c r="T111" s="165" t="s">
        <v>0</v>
      </c>
      <c r="U111" s="67" t="s">
        <v>0</v>
      </c>
      <c r="V111" s="165" t="s">
        <v>0</v>
      </c>
      <c r="W111" s="208">
        <v>20.525190543546771</v>
      </c>
      <c r="X111" s="165">
        <v>50</v>
      </c>
      <c r="Y111" s="195">
        <v>2</v>
      </c>
      <c r="Z111" s="208">
        <v>1.3957129569611803E-5</v>
      </c>
      <c r="AA111" s="264">
        <v>3.4892823924029509E-4</v>
      </c>
      <c r="AB111" s="208">
        <v>9.2208758079342266E-6</v>
      </c>
      <c r="AC111" s="201">
        <v>35.705202989985359</v>
      </c>
      <c r="AD111" s="201">
        <v>1.3210675522256667</v>
      </c>
      <c r="AE111" s="265">
        <v>0.76271870689516874</v>
      </c>
      <c r="AF111" s="208">
        <v>19.212018021075494</v>
      </c>
      <c r="AG111" s="206">
        <v>480.3004505268874</v>
      </c>
      <c r="AH111" s="110">
        <v>2</v>
      </c>
      <c r="AI111" s="393" t="s">
        <v>619</v>
      </c>
    </row>
    <row r="112" spans="1:35" hidden="1" x14ac:dyDescent="0.3">
      <c r="A112" s="145">
        <v>45250</v>
      </c>
      <c r="B112" s="189">
        <v>111</v>
      </c>
      <c r="C112" s="70" t="s">
        <v>549</v>
      </c>
      <c r="D112" s="315" t="s">
        <v>0</v>
      </c>
      <c r="E112" s="315" t="s">
        <v>0</v>
      </c>
      <c r="F112" s="315" t="s">
        <v>0</v>
      </c>
      <c r="G112" s="2" t="s">
        <v>564</v>
      </c>
      <c r="H112" s="14" t="s">
        <v>113</v>
      </c>
      <c r="I112" s="2" t="s">
        <v>521</v>
      </c>
      <c r="J112" s="9" t="s">
        <v>0</v>
      </c>
      <c r="K112" s="83" t="s">
        <v>531</v>
      </c>
      <c r="L112" s="2" t="s">
        <v>521</v>
      </c>
      <c r="M112" s="2" t="s">
        <v>532</v>
      </c>
      <c r="N112" s="2" t="s">
        <v>532</v>
      </c>
      <c r="O112" s="2" t="s">
        <v>570</v>
      </c>
      <c r="P112" s="2" t="s">
        <v>573</v>
      </c>
      <c r="Q112" s="67" t="s">
        <v>0</v>
      </c>
      <c r="R112" s="110" t="s">
        <v>0</v>
      </c>
      <c r="S112" s="175">
        <v>100</v>
      </c>
      <c r="T112" s="165" t="s">
        <v>0</v>
      </c>
      <c r="U112" s="67" t="s">
        <v>0</v>
      </c>
      <c r="V112" s="165" t="s">
        <v>0</v>
      </c>
      <c r="W112" s="208">
        <v>11.227587007883713</v>
      </c>
      <c r="X112" s="165">
        <v>50</v>
      </c>
      <c r="Y112" s="195">
        <v>2</v>
      </c>
      <c r="Z112" s="208">
        <v>7.6347591653609243E-6</v>
      </c>
      <c r="AA112" s="264">
        <v>1.9086897913402312E-4</v>
      </c>
      <c r="AB112" s="208">
        <v>6.2452660699889175E-6</v>
      </c>
      <c r="AC112" s="201">
        <v>36.745890671497378</v>
      </c>
      <c r="AD112" s="201">
        <v>1.3360073168453968</v>
      </c>
      <c r="AE112" s="265">
        <v>0.77134418401999949</v>
      </c>
      <c r="AF112" s="208">
        <v>10.509261946728854</v>
      </c>
      <c r="AG112" s="206">
        <v>262.73154866822136</v>
      </c>
      <c r="AH112" s="110">
        <v>2</v>
      </c>
      <c r="AI112" s="394" t="s">
        <v>620</v>
      </c>
    </row>
    <row r="113" spans="1:35" hidden="1" x14ac:dyDescent="0.3">
      <c r="A113" s="145">
        <v>45250</v>
      </c>
      <c r="B113" s="189">
        <v>112</v>
      </c>
      <c r="C113" s="80" t="s">
        <v>548</v>
      </c>
      <c r="D113" s="82" t="s">
        <v>552</v>
      </c>
      <c r="E113" s="2" t="s">
        <v>588</v>
      </c>
      <c r="F113" s="2" t="s">
        <v>584</v>
      </c>
      <c r="G113" s="2" t="s">
        <v>564</v>
      </c>
      <c r="H113" s="14" t="s">
        <v>114</v>
      </c>
      <c r="I113" s="2" t="s">
        <v>517</v>
      </c>
      <c r="J113" s="9" t="s">
        <v>0</v>
      </c>
      <c r="K113" s="83" t="s">
        <v>531</v>
      </c>
      <c r="L113" s="67" t="s">
        <v>593</v>
      </c>
      <c r="M113" s="67" t="s">
        <v>532</v>
      </c>
      <c r="N113" s="2" t="s">
        <v>532</v>
      </c>
      <c r="O113" s="2" t="s">
        <v>570</v>
      </c>
      <c r="P113" s="2" t="s">
        <v>573</v>
      </c>
      <c r="Q113" s="67" t="s">
        <v>0</v>
      </c>
      <c r="R113" s="110" t="s">
        <v>519</v>
      </c>
      <c r="S113" s="177">
        <v>100</v>
      </c>
      <c r="T113" s="165" t="s">
        <v>0</v>
      </c>
      <c r="U113" s="67" t="s">
        <v>576</v>
      </c>
      <c r="V113" s="360">
        <v>2000000</v>
      </c>
      <c r="W113" s="208">
        <v>11481038.226004504</v>
      </c>
      <c r="X113" s="165">
        <v>50</v>
      </c>
      <c r="Y113" s="195">
        <v>2</v>
      </c>
      <c r="Z113" s="208">
        <v>7.8071059936830629</v>
      </c>
      <c r="AA113" s="264">
        <v>195.17764984207656</v>
      </c>
      <c r="AB113" s="208">
        <v>0.40506358814963667</v>
      </c>
      <c r="AC113" s="201">
        <v>13.808224150367153</v>
      </c>
      <c r="AD113" s="201">
        <v>8.3526239454650694E-2</v>
      </c>
      <c r="AE113" s="265">
        <v>4.8223896833539719E-2</v>
      </c>
      <c r="AF113" s="208">
        <v>10746497.716095736</v>
      </c>
      <c r="AG113" s="206">
        <v>268662442.9023934</v>
      </c>
      <c r="AH113" s="110"/>
      <c r="AI113" s="393"/>
    </row>
    <row r="114" spans="1:35" ht="16.2" hidden="1" thickBot="1" x14ac:dyDescent="0.35">
      <c r="A114" s="150">
        <v>45250</v>
      </c>
      <c r="B114" s="190">
        <v>113</v>
      </c>
      <c r="C114" s="80" t="s">
        <v>548</v>
      </c>
      <c r="D114" s="81" t="s">
        <v>552</v>
      </c>
      <c r="E114" s="3" t="s">
        <v>588</v>
      </c>
      <c r="F114" s="3" t="s">
        <v>584</v>
      </c>
      <c r="G114" s="47" t="s">
        <v>564</v>
      </c>
      <c r="H114" s="331" t="s">
        <v>115</v>
      </c>
      <c r="I114" s="108" t="s">
        <v>517</v>
      </c>
      <c r="J114" s="9" t="s">
        <v>0</v>
      </c>
      <c r="K114" s="83" t="s">
        <v>531</v>
      </c>
      <c r="L114" s="107" t="s">
        <v>593</v>
      </c>
      <c r="M114" s="108" t="s">
        <v>532</v>
      </c>
      <c r="N114" s="5" t="s">
        <v>532</v>
      </c>
      <c r="O114" s="5" t="s">
        <v>570</v>
      </c>
      <c r="P114" s="47" t="s">
        <v>574</v>
      </c>
      <c r="Q114" s="67" t="s">
        <v>0</v>
      </c>
      <c r="R114" s="111" t="s">
        <v>519</v>
      </c>
      <c r="S114" s="178">
        <v>100</v>
      </c>
      <c r="T114" s="169" t="s">
        <v>0</v>
      </c>
      <c r="U114" s="91" t="s">
        <v>576</v>
      </c>
      <c r="V114" s="363">
        <v>2000000</v>
      </c>
      <c r="W114" s="211" t="s">
        <v>0</v>
      </c>
      <c r="X114" s="169">
        <v>50</v>
      </c>
      <c r="Y114" s="205">
        <v>2</v>
      </c>
      <c r="Z114" s="296" t="s">
        <v>0</v>
      </c>
      <c r="AA114" s="304" t="s">
        <v>0</v>
      </c>
      <c r="AB114" s="296" t="s">
        <v>0</v>
      </c>
      <c r="AC114" s="313" t="s">
        <v>0</v>
      </c>
      <c r="AD114" s="313" t="s">
        <v>0</v>
      </c>
      <c r="AE114" s="314" t="s">
        <v>0</v>
      </c>
      <c r="AF114" s="296" t="s">
        <v>0</v>
      </c>
      <c r="AG114" s="383" t="s">
        <v>0</v>
      </c>
      <c r="AH114" s="409"/>
      <c r="AI114" s="408"/>
    </row>
    <row r="115" spans="1:35" hidden="1" x14ac:dyDescent="0.3">
      <c r="A115" s="147">
        <v>45264</v>
      </c>
      <c r="B115" s="188">
        <v>114</v>
      </c>
      <c r="C115" s="71" t="s">
        <v>549</v>
      </c>
      <c r="D115" s="30" t="s">
        <v>552</v>
      </c>
      <c r="E115" s="28" t="s">
        <v>588</v>
      </c>
      <c r="F115" s="28" t="s">
        <v>584</v>
      </c>
      <c r="G115" s="72" t="s">
        <v>565</v>
      </c>
      <c r="H115" s="320" t="s">
        <v>116</v>
      </c>
      <c r="I115" s="72" t="s">
        <v>517</v>
      </c>
      <c r="J115" s="73" t="s">
        <v>0</v>
      </c>
      <c r="K115" s="28" t="s">
        <v>531</v>
      </c>
      <c r="L115" s="89" t="s">
        <v>593</v>
      </c>
      <c r="M115" s="72" t="s">
        <v>532</v>
      </c>
      <c r="N115" s="72" t="s">
        <v>532</v>
      </c>
      <c r="O115" s="72" t="s">
        <v>570</v>
      </c>
      <c r="P115" s="72" t="s">
        <v>573</v>
      </c>
      <c r="Q115" s="72" t="s">
        <v>0</v>
      </c>
      <c r="R115" s="117" t="s">
        <v>519</v>
      </c>
      <c r="S115" s="176">
        <v>100</v>
      </c>
      <c r="T115" s="164" t="s">
        <v>0</v>
      </c>
      <c r="U115" s="72" t="s">
        <v>576</v>
      </c>
      <c r="V115" s="392">
        <v>200</v>
      </c>
      <c r="W115" s="209">
        <v>124.13193575673051</v>
      </c>
      <c r="X115" s="164">
        <v>50</v>
      </c>
      <c r="Y115" s="194">
        <v>2</v>
      </c>
      <c r="Z115" s="209">
        <v>8.4409716314576744E-5</v>
      </c>
      <c r="AA115" s="264">
        <v>2.1102429078644186E-3</v>
      </c>
      <c r="AB115" s="209">
        <v>2.6676639437994453E-5</v>
      </c>
      <c r="AC115" s="201">
        <v>33.637822227769725</v>
      </c>
      <c r="AD115" s="201">
        <v>0.56366583621843713</v>
      </c>
      <c r="AE115" s="265">
        <v>0.32543262227371023</v>
      </c>
      <c r="AF115" s="209">
        <v>116.19015091185568</v>
      </c>
      <c r="AG115" s="206">
        <v>2904.7537727963918</v>
      </c>
      <c r="AH115" s="117" t="s">
        <v>648</v>
      </c>
      <c r="AI115" s="404" t="s">
        <v>627</v>
      </c>
    </row>
    <row r="116" spans="1:35" hidden="1" x14ac:dyDescent="0.3">
      <c r="A116" s="145">
        <v>45264</v>
      </c>
      <c r="B116" s="189">
        <v>115</v>
      </c>
      <c r="C116" s="70" t="s">
        <v>549</v>
      </c>
      <c r="D116" s="10" t="s">
        <v>552</v>
      </c>
      <c r="E116" s="2" t="s">
        <v>588</v>
      </c>
      <c r="F116" s="2" t="s">
        <v>584</v>
      </c>
      <c r="G116" s="67" t="s">
        <v>565</v>
      </c>
      <c r="H116" s="14" t="s">
        <v>117</v>
      </c>
      <c r="I116" s="67" t="s">
        <v>517</v>
      </c>
      <c r="J116" s="9" t="s">
        <v>0</v>
      </c>
      <c r="K116" s="2" t="s">
        <v>531</v>
      </c>
      <c r="L116" s="67" t="s">
        <v>593</v>
      </c>
      <c r="M116" s="67" t="s">
        <v>532</v>
      </c>
      <c r="N116" s="67" t="s">
        <v>532</v>
      </c>
      <c r="O116" s="67" t="s">
        <v>570</v>
      </c>
      <c r="P116" s="67" t="s">
        <v>573</v>
      </c>
      <c r="Q116" s="67" t="s">
        <v>0</v>
      </c>
      <c r="R116" s="110" t="s">
        <v>519</v>
      </c>
      <c r="S116" s="172">
        <v>100</v>
      </c>
      <c r="T116" s="165" t="s">
        <v>0</v>
      </c>
      <c r="U116" s="67" t="s">
        <v>576</v>
      </c>
      <c r="V116" s="391">
        <v>2000</v>
      </c>
      <c r="W116" s="208">
        <v>1313.7077109680808</v>
      </c>
      <c r="X116" s="165">
        <v>50</v>
      </c>
      <c r="Y116" s="195">
        <v>2</v>
      </c>
      <c r="Z116" s="208">
        <v>8.9332124345829506E-4</v>
      </c>
      <c r="AA116" s="264">
        <v>2.2333031086457376E-2</v>
      </c>
      <c r="AB116" s="208">
        <v>2.7979840905764235E-4</v>
      </c>
      <c r="AC116" s="201">
        <v>29.740534969934938</v>
      </c>
      <c r="AD116" s="201">
        <v>0.49791064881398422</v>
      </c>
      <c r="AE116" s="265">
        <v>0.28746884712513504</v>
      </c>
      <c r="AF116" s="208">
        <v>1229.6585585403923</v>
      </c>
      <c r="AG116" s="206">
        <v>30741.463963509806</v>
      </c>
      <c r="AH116" s="110" t="s">
        <v>648</v>
      </c>
      <c r="AI116" s="394" t="s">
        <v>628</v>
      </c>
    </row>
    <row r="117" spans="1:35" hidden="1" x14ac:dyDescent="0.3">
      <c r="A117" s="145">
        <v>45264</v>
      </c>
      <c r="B117" s="189">
        <v>116</v>
      </c>
      <c r="C117" s="70" t="s">
        <v>549</v>
      </c>
      <c r="D117" s="10" t="s">
        <v>552</v>
      </c>
      <c r="E117" s="2" t="s">
        <v>588</v>
      </c>
      <c r="F117" s="2" t="s">
        <v>584</v>
      </c>
      <c r="G117" s="67" t="s">
        <v>565</v>
      </c>
      <c r="H117" s="14" t="s">
        <v>118</v>
      </c>
      <c r="I117" s="67" t="s">
        <v>517</v>
      </c>
      <c r="J117" s="9" t="s">
        <v>0</v>
      </c>
      <c r="K117" s="2" t="s">
        <v>531</v>
      </c>
      <c r="L117" s="67" t="s">
        <v>593</v>
      </c>
      <c r="M117" s="67" t="s">
        <v>532</v>
      </c>
      <c r="N117" s="67" t="s">
        <v>532</v>
      </c>
      <c r="O117" s="67" t="s">
        <v>570</v>
      </c>
      <c r="P117" s="67" t="s">
        <v>574</v>
      </c>
      <c r="Q117" s="67" t="s">
        <v>0</v>
      </c>
      <c r="R117" s="110" t="s">
        <v>519</v>
      </c>
      <c r="S117" s="172">
        <v>100</v>
      </c>
      <c r="T117" s="165" t="s">
        <v>0</v>
      </c>
      <c r="U117" s="67" t="s">
        <v>576</v>
      </c>
      <c r="V117" s="391">
        <v>2000</v>
      </c>
      <c r="W117" s="208">
        <v>1665.5416193602384</v>
      </c>
      <c r="X117" s="165">
        <v>50</v>
      </c>
      <c r="Y117" s="195">
        <v>2</v>
      </c>
      <c r="Z117" s="208">
        <v>1.1325683011649621E-3</v>
      </c>
      <c r="AA117" s="264">
        <v>2.8314207529124055E-2</v>
      </c>
      <c r="AB117" s="208">
        <v>5.2839853329429416E-4</v>
      </c>
      <c r="AC117" s="201">
        <v>29.408325265033767</v>
      </c>
      <c r="AD117" s="201">
        <v>0.72037208051978419</v>
      </c>
      <c r="AE117" s="265">
        <v>0.41590701460478818</v>
      </c>
      <c r="AF117" s="208">
        <v>1558.9826334674704</v>
      </c>
      <c r="AG117" s="206">
        <v>38974.565836686765</v>
      </c>
      <c r="AH117" s="110" t="s">
        <v>648</v>
      </c>
      <c r="AI117" s="394" t="s">
        <v>628</v>
      </c>
    </row>
    <row r="118" spans="1:35" hidden="1" x14ac:dyDescent="0.3">
      <c r="A118" s="145">
        <v>45264</v>
      </c>
      <c r="B118" s="189">
        <v>117</v>
      </c>
      <c r="C118" s="70" t="s">
        <v>549</v>
      </c>
      <c r="D118" s="10" t="s">
        <v>552</v>
      </c>
      <c r="E118" s="2" t="s">
        <v>588</v>
      </c>
      <c r="F118" s="2" t="s">
        <v>584</v>
      </c>
      <c r="G118" s="67" t="s">
        <v>565</v>
      </c>
      <c r="H118" s="14" t="s">
        <v>119</v>
      </c>
      <c r="I118" s="67" t="s">
        <v>517</v>
      </c>
      <c r="J118" s="9" t="s">
        <v>0</v>
      </c>
      <c r="K118" s="2" t="s">
        <v>531</v>
      </c>
      <c r="L118" s="67" t="s">
        <v>593</v>
      </c>
      <c r="M118" s="67" t="s">
        <v>532</v>
      </c>
      <c r="N118" s="67" t="s">
        <v>532</v>
      </c>
      <c r="O118" s="67" t="s">
        <v>570</v>
      </c>
      <c r="P118" s="67" t="s">
        <v>573</v>
      </c>
      <c r="Q118" s="67" t="s">
        <v>0</v>
      </c>
      <c r="R118" s="110" t="s">
        <v>519</v>
      </c>
      <c r="S118" s="172">
        <v>100</v>
      </c>
      <c r="T118" s="165" t="s">
        <v>0</v>
      </c>
      <c r="U118" s="67" t="s">
        <v>576</v>
      </c>
      <c r="V118" s="391">
        <v>20000</v>
      </c>
      <c r="W118" s="208">
        <v>31426.418914506768</v>
      </c>
      <c r="X118" s="165">
        <v>50</v>
      </c>
      <c r="Y118" s="195">
        <v>2</v>
      </c>
      <c r="Z118" s="208">
        <v>2.1369964861864602E-2</v>
      </c>
      <c r="AA118" s="264">
        <v>0.53424912154661508</v>
      </c>
      <c r="AB118" s="208">
        <v>2.8546953879790122E-3</v>
      </c>
      <c r="AC118" s="201">
        <v>24.467703014765693</v>
      </c>
      <c r="AD118" s="201">
        <v>0.22638514687386832</v>
      </c>
      <c r="AE118" s="265">
        <v>0.13070352548816086</v>
      </c>
      <c r="AF118" s="208">
        <v>29415.801292680262</v>
      </c>
      <c r="AG118" s="206">
        <v>735395.03231700673</v>
      </c>
      <c r="AH118" s="110" t="s">
        <v>648</v>
      </c>
      <c r="AI118" s="394" t="s">
        <v>650</v>
      </c>
    </row>
    <row r="119" spans="1:35" hidden="1" x14ac:dyDescent="0.3">
      <c r="A119" s="145">
        <v>45264</v>
      </c>
      <c r="B119" s="188">
        <v>118</v>
      </c>
      <c r="C119" s="70" t="s">
        <v>549</v>
      </c>
      <c r="D119" s="10" t="s">
        <v>552</v>
      </c>
      <c r="E119" s="2" t="s">
        <v>588</v>
      </c>
      <c r="F119" s="2" t="s">
        <v>584</v>
      </c>
      <c r="G119" s="67" t="s">
        <v>565</v>
      </c>
      <c r="H119" s="14" t="s">
        <v>120</v>
      </c>
      <c r="I119" s="67" t="s">
        <v>517</v>
      </c>
      <c r="J119" s="9" t="s">
        <v>0</v>
      </c>
      <c r="K119" s="2" t="s">
        <v>531</v>
      </c>
      <c r="L119" s="67" t="s">
        <v>593</v>
      </c>
      <c r="M119" s="67" t="s">
        <v>532</v>
      </c>
      <c r="N119" s="67" t="s">
        <v>532</v>
      </c>
      <c r="O119" s="67" t="s">
        <v>570</v>
      </c>
      <c r="P119" s="67" t="s">
        <v>574</v>
      </c>
      <c r="Q119" s="67" t="s">
        <v>0</v>
      </c>
      <c r="R119" s="110" t="s">
        <v>519</v>
      </c>
      <c r="S119" s="172">
        <v>100</v>
      </c>
      <c r="T119" s="165" t="s">
        <v>0</v>
      </c>
      <c r="U119" s="67" t="s">
        <v>576</v>
      </c>
      <c r="V119" s="391">
        <v>20000</v>
      </c>
      <c r="W119" s="208">
        <v>23302.92356497348</v>
      </c>
      <c r="X119" s="165">
        <v>50</v>
      </c>
      <c r="Y119" s="195">
        <v>2</v>
      </c>
      <c r="Z119" s="208">
        <v>1.5845988024181967E-2</v>
      </c>
      <c r="AA119" s="264">
        <v>0.39614970060454918</v>
      </c>
      <c r="AB119" s="208">
        <v>2.051065762452238E-3</v>
      </c>
      <c r="AC119" s="201">
        <v>24.959324326018429</v>
      </c>
      <c r="AD119" s="201">
        <v>0.20934248395123101</v>
      </c>
      <c r="AE119" s="265">
        <v>0.12086393946206814</v>
      </c>
      <c r="AF119" s="208">
        <v>21812.035631248909</v>
      </c>
      <c r="AG119" s="206">
        <v>545300.89078122284</v>
      </c>
      <c r="AH119" s="110" t="s">
        <v>648</v>
      </c>
      <c r="AI119" s="394" t="s">
        <v>650</v>
      </c>
    </row>
    <row r="120" spans="1:35" hidden="1" x14ac:dyDescent="0.3">
      <c r="A120" s="145">
        <v>45264</v>
      </c>
      <c r="B120" s="189">
        <v>119</v>
      </c>
      <c r="C120" s="70" t="s">
        <v>549</v>
      </c>
      <c r="D120" s="10" t="s">
        <v>552</v>
      </c>
      <c r="E120" s="2" t="s">
        <v>588</v>
      </c>
      <c r="F120" s="2" t="s">
        <v>584</v>
      </c>
      <c r="G120" s="79" t="s">
        <v>565</v>
      </c>
      <c r="H120" s="14" t="s">
        <v>121</v>
      </c>
      <c r="I120" s="67" t="s">
        <v>517</v>
      </c>
      <c r="J120" s="9" t="s">
        <v>0</v>
      </c>
      <c r="K120" s="2" t="s">
        <v>531</v>
      </c>
      <c r="L120" s="67" t="s">
        <v>593</v>
      </c>
      <c r="M120" s="67" t="s">
        <v>532</v>
      </c>
      <c r="N120" s="79" t="s">
        <v>532</v>
      </c>
      <c r="O120" s="79" t="s">
        <v>570</v>
      </c>
      <c r="P120" s="79" t="s">
        <v>573</v>
      </c>
      <c r="Q120" s="67" t="s">
        <v>0</v>
      </c>
      <c r="R120" s="110" t="s">
        <v>519</v>
      </c>
      <c r="S120" s="172">
        <v>100</v>
      </c>
      <c r="T120" s="165" t="s">
        <v>0</v>
      </c>
      <c r="U120" s="67" t="s">
        <v>576</v>
      </c>
      <c r="V120" s="391">
        <v>200000</v>
      </c>
      <c r="W120" s="208">
        <v>471136.85449638817</v>
      </c>
      <c r="X120" s="165">
        <v>50</v>
      </c>
      <c r="Y120" s="195">
        <v>2</v>
      </c>
      <c r="Z120" s="208">
        <v>0.32037306105754398</v>
      </c>
      <c r="AA120" s="264">
        <v>8.0093265264385991</v>
      </c>
      <c r="AB120" s="208">
        <v>9.4763500580394011E-3</v>
      </c>
      <c r="AC120" s="201">
        <v>19.996474653638924</v>
      </c>
      <c r="AD120" s="201">
        <v>4.9090483787182428E-2</v>
      </c>
      <c r="AE120" s="265">
        <v>2.8342404029178734E-2</v>
      </c>
      <c r="AF120" s="208">
        <v>440994.18808188708</v>
      </c>
      <c r="AG120" s="206">
        <v>11024854.702047177</v>
      </c>
      <c r="AH120" s="110" t="s">
        <v>648</v>
      </c>
      <c r="AI120" s="394" t="s">
        <v>651</v>
      </c>
    </row>
    <row r="121" spans="1:35" hidden="1" x14ac:dyDescent="0.3">
      <c r="A121" s="145">
        <v>45264</v>
      </c>
      <c r="B121" s="189">
        <v>120</v>
      </c>
      <c r="C121" s="70" t="s">
        <v>549</v>
      </c>
      <c r="D121" s="10" t="s">
        <v>552</v>
      </c>
      <c r="E121" s="2" t="s">
        <v>588</v>
      </c>
      <c r="F121" s="2" t="s">
        <v>584</v>
      </c>
      <c r="G121" s="67" t="s">
        <v>565</v>
      </c>
      <c r="H121" s="14" t="s">
        <v>122</v>
      </c>
      <c r="I121" s="67" t="s">
        <v>517</v>
      </c>
      <c r="J121" s="9" t="s">
        <v>0</v>
      </c>
      <c r="K121" s="2" t="s">
        <v>531</v>
      </c>
      <c r="L121" s="67" t="s">
        <v>593</v>
      </c>
      <c r="M121" s="67" t="s">
        <v>532</v>
      </c>
      <c r="N121" s="67" t="s">
        <v>532</v>
      </c>
      <c r="O121" s="67" t="s">
        <v>570</v>
      </c>
      <c r="P121" s="67" t="s">
        <v>574</v>
      </c>
      <c r="Q121" s="67" t="s">
        <v>0</v>
      </c>
      <c r="R121" s="110" t="s">
        <v>519</v>
      </c>
      <c r="S121" s="172">
        <v>100</v>
      </c>
      <c r="T121" s="165" t="s">
        <v>0</v>
      </c>
      <c r="U121" s="67" t="s">
        <v>576</v>
      </c>
      <c r="V121" s="391">
        <v>200000</v>
      </c>
      <c r="W121" s="208">
        <v>511075.0294211689</v>
      </c>
      <c r="X121" s="165">
        <v>50</v>
      </c>
      <c r="Y121" s="195">
        <v>2</v>
      </c>
      <c r="Z121" s="208">
        <v>0.34753102000639485</v>
      </c>
      <c r="AA121" s="264">
        <v>8.6882755001598717</v>
      </c>
      <c r="AB121" s="208">
        <v>1.1025818510475354E-2</v>
      </c>
      <c r="AC121" s="201">
        <v>19.862464797198889</v>
      </c>
      <c r="AD121" s="201">
        <v>5.255145606477106E-2</v>
      </c>
      <c r="AE121" s="265">
        <v>3.0340597305302364E-2</v>
      </c>
      <c r="AF121" s="208">
        <v>478377.17533142533</v>
      </c>
      <c r="AG121" s="206">
        <v>11959429.383285632</v>
      </c>
      <c r="AH121" s="110" t="s">
        <v>648</v>
      </c>
      <c r="AI121" s="394" t="s">
        <v>651</v>
      </c>
    </row>
    <row r="122" spans="1:35" hidden="1" x14ac:dyDescent="0.3">
      <c r="A122" s="145">
        <v>45264</v>
      </c>
      <c r="B122" s="189">
        <v>121</v>
      </c>
      <c r="C122" s="70" t="s">
        <v>549</v>
      </c>
      <c r="D122" s="10" t="s">
        <v>552</v>
      </c>
      <c r="E122" s="2" t="s">
        <v>588</v>
      </c>
      <c r="F122" s="2" t="s">
        <v>584</v>
      </c>
      <c r="G122" s="67" t="s">
        <v>565</v>
      </c>
      <c r="H122" s="14" t="s">
        <v>123</v>
      </c>
      <c r="I122" s="67" t="s">
        <v>517</v>
      </c>
      <c r="J122" s="9" t="s">
        <v>0</v>
      </c>
      <c r="K122" s="2" t="s">
        <v>531</v>
      </c>
      <c r="L122" s="2" t="s">
        <v>593</v>
      </c>
      <c r="M122" s="67" t="s">
        <v>532</v>
      </c>
      <c r="N122" s="67" t="s">
        <v>532</v>
      </c>
      <c r="O122" s="67" t="s">
        <v>570</v>
      </c>
      <c r="P122" s="67" t="s">
        <v>573</v>
      </c>
      <c r="Q122" s="67" t="s">
        <v>0</v>
      </c>
      <c r="R122" s="110" t="s">
        <v>519</v>
      </c>
      <c r="S122" s="172">
        <v>100</v>
      </c>
      <c r="T122" s="165" t="s">
        <v>0</v>
      </c>
      <c r="U122" s="67" t="s">
        <v>576</v>
      </c>
      <c r="V122" s="391">
        <v>2000000</v>
      </c>
      <c r="W122" s="208">
        <v>6215358.6768247485</v>
      </c>
      <c r="X122" s="165">
        <v>50</v>
      </c>
      <c r="Y122" s="195">
        <v>2</v>
      </c>
      <c r="Z122" s="208">
        <v>4.2264439002408292</v>
      </c>
      <c r="AA122" s="264">
        <v>105.66109750602072</v>
      </c>
      <c r="AB122" s="208">
        <v>0.78790915355102931</v>
      </c>
      <c r="AC122" s="201">
        <v>15.764795908654596</v>
      </c>
      <c r="AD122" s="201">
        <v>0.31372251044302346</v>
      </c>
      <c r="AE122" s="265">
        <v>0.1811277758551248</v>
      </c>
      <c r="AF122" s="208">
        <v>5817708.8613751279</v>
      </c>
      <c r="AG122" s="206">
        <v>145442721.5343782</v>
      </c>
      <c r="AH122" s="110" t="s">
        <v>648</v>
      </c>
      <c r="AI122" s="394" t="s">
        <v>652</v>
      </c>
    </row>
    <row r="123" spans="1:35" hidden="1" x14ac:dyDescent="0.3">
      <c r="A123" s="145">
        <v>45264</v>
      </c>
      <c r="B123" s="189">
        <v>122</v>
      </c>
      <c r="C123" s="70" t="s">
        <v>549</v>
      </c>
      <c r="D123" s="10" t="s">
        <v>552</v>
      </c>
      <c r="E123" s="2" t="s">
        <v>588</v>
      </c>
      <c r="F123" s="2" t="s">
        <v>584</v>
      </c>
      <c r="G123" s="67" t="s">
        <v>565</v>
      </c>
      <c r="H123" s="14" t="s">
        <v>124</v>
      </c>
      <c r="I123" s="67" t="s">
        <v>517</v>
      </c>
      <c r="J123" s="9" t="s">
        <v>0</v>
      </c>
      <c r="K123" s="2" t="s">
        <v>531</v>
      </c>
      <c r="L123" s="2" t="s">
        <v>593</v>
      </c>
      <c r="M123" s="67" t="s">
        <v>532</v>
      </c>
      <c r="N123" s="67" t="s">
        <v>532</v>
      </c>
      <c r="O123" s="67" t="s">
        <v>570</v>
      </c>
      <c r="P123" s="67" t="s">
        <v>574</v>
      </c>
      <c r="Q123" s="67" t="s">
        <v>0</v>
      </c>
      <c r="R123" s="110" t="s">
        <v>519</v>
      </c>
      <c r="S123" s="172">
        <v>100</v>
      </c>
      <c r="T123" s="165" t="s">
        <v>0</v>
      </c>
      <c r="U123" s="67" t="s">
        <v>576</v>
      </c>
      <c r="V123" s="391">
        <v>2000000</v>
      </c>
      <c r="W123" s="208">
        <v>9865093.4274191279</v>
      </c>
      <c r="X123" s="165">
        <v>50</v>
      </c>
      <c r="Y123" s="195">
        <v>2</v>
      </c>
      <c r="Z123" s="208">
        <v>6.7082635306450067</v>
      </c>
      <c r="AA123" s="264">
        <v>167.70658826612518</v>
      </c>
      <c r="AB123" s="208">
        <v>0.2488140541840636</v>
      </c>
      <c r="AC123" s="201">
        <v>14.984640932867315</v>
      </c>
      <c r="AD123" s="201">
        <v>6.0634551957317311E-2</v>
      </c>
      <c r="AE123" s="265">
        <v>3.5007374894749504E-2</v>
      </c>
      <c r="AF123" s="208">
        <v>9233938.7692923732</v>
      </c>
      <c r="AG123" s="206">
        <v>230848469.23230934</v>
      </c>
      <c r="AH123" s="110" t="s">
        <v>648</v>
      </c>
      <c r="AI123" s="394" t="s">
        <v>652</v>
      </c>
    </row>
    <row r="124" spans="1:35" hidden="1" x14ac:dyDescent="0.3">
      <c r="A124" s="145">
        <v>45264</v>
      </c>
      <c r="B124" s="189">
        <v>123</v>
      </c>
      <c r="C124" s="70" t="s">
        <v>549</v>
      </c>
      <c r="D124" s="10" t="s">
        <v>552</v>
      </c>
      <c r="E124" s="2" t="s">
        <v>588</v>
      </c>
      <c r="F124" s="2" t="s">
        <v>584</v>
      </c>
      <c r="G124" s="79" t="s">
        <v>565</v>
      </c>
      <c r="H124" s="14" t="s">
        <v>125</v>
      </c>
      <c r="I124" s="67" t="s">
        <v>525</v>
      </c>
      <c r="J124" s="9" t="s">
        <v>0</v>
      </c>
      <c r="K124" s="2" t="s">
        <v>531</v>
      </c>
      <c r="L124" s="2" t="s">
        <v>533</v>
      </c>
      <c r="M124" s="67" t="s">
        <v>532</v>
      </c>
      <c r="N124" s="67" t="s">
        <v>532</v>
      </c>
      <c r="O124" s="67" t="s">
        <v>570</v>
      </c>
      <c r="P124" s="79" t="s">
        <v>573</v>
      </c>
      <c r="Q124" s="67" t="s">
        <v>0</v>
      </c>
      <c r="R124" s="110" t="s">
        <v>0</v>
      </c>
      <c r="S124" s="172">
        <v>100</v>
      </c>
      <c r="T124" s="165" t="s">
        <v>0</v>
      </c>
      <c r="U124" s="67" t="s">
        <v>0</v>
      </c>
      <c r="V124" s="208" t="s">
        <v>0</v>
      </c>
      <c r="W124" s="208">
        <v>127.31538221500598</v>
      </c>
      <c r="X124" s="165">
        <v>50</v>
      </c>
      <c r="Y124" s="195">
        <v>2</v>
      </c>
      <c r="Z124" s="208">
        <v>8.6574459906204064E-5</v>
      </c>
      <c r="AA124" s="264">
        <v>2.1643614976551017E-3</v>
      </c>
      <c r="AB124" s="208">
        <v>1.0527612823355556E-4</v>
      </c>
      <c r="AC124" s="201">
        <v>34.400776987400882</v>
      </c>
      <c r="AD124" s="201">
        <v>2.0250082130298512</v>
      </c>
      <c r="AE124" s="265">
        <v>1.1691390369039878</v>
      </c>
      <c r="AF124" s="208">
        <v>119.16992498975074</v>
      </c>
      <c r="AG124" s="206">
        <v>2979.2481247437686</v>
      </c>
      <c r="AH124" s="110" t="s">
        <v>646</v>
      </c>
      <c r="AI124" s="393" t="s">
        <v>649</v>
      </c>
    </row>
    <row r="125" spans="1:35" hidden="1" x14ac:dyDescent="0.3">
      <c r="A125" s="145">
        <v>45264</v>
      </c>
      <c r="B125" s="189">
        <v>124</v>
      </c>
      <c r="C125" s="70" t="s">
        <v>549</v>
      </c>
      <c r="D125" s="35" t="s">
        <v>596</v>
      </c>
      <c r="E125" s="2" t="s">
        <v>589</v>
      </c>
      <c r="F125" s="2" t="s">
        <v>585</v>
      </c>
      <c r="G125" s="67" t="s">
        <v>565</v>
      </c>
      <c r="H125" s="332" t="s">
        <v>126</v>
      </c>
      <c r="I125" s="67" t="s">
        <v>517</v>
      </c>
      <c r="J125" s="9" t="s">
        <v>0</v>
      </c>
      <c r="K125" s="2" t="s">
        <v>531</v>
      </c>
      <c r="L125" s="67" t="s">
        <v>593</v>
      </c>
      <c r="M125" s="67" t="s">
        <v>532</v>
      </c>
      <c r="N125" s="67" t="s">
        <v>532</v>
      </c>
      <c r="O125" s="67" t="s">
        <v>570</v>
      </c>
      <c r="P125" s="67" t="s">
        <v>573</v>
      </c>
      <c r="Q125" s="67" t="s">
        <v>0</v>
      </c>
      <c r="R125" s="110" t="s">
        <v>519</v>
      </c>
      <c r="S125" s="172">
        <v>100</v>
      </c>
      <c r="T125" s="165" t="s">
        <v>0</v>
      </c>
      <c r="U125" s="67" t="s">
        <v>576</v>
      </c>
      <c r="V125" s="391">
        <v>200</v>
      </c>
      <c r="W125" s="238">
        <v>1497.4968209011502</v>
      </c>
      <c r="X125" s="165">
        <v>50</v>
      </c>
      <c r="Y125" s="195">
        <v>2</v>
      </c>
      <c r="Z125" s="208">
        <v>1.018297838212782E-3</v>
      </c>
      <c r="AA125" s="264">
        <v>2.5457445955319551E-2</v>
      </c>
      <c r="AB125" s="208">
        <v>6.8481804236471768E-5</v>
      </c>
      <c r="AC125" s="201">
        <v>29.475769670658526</v>
      </c>
      <c r="AD125" s="201">
        <v>0.10963651814376252</v>
      </c>
      <c r="AE125" s="265">
        <v>6.3298673263314578E-2</v>
      </c>
      <c r="AF125" s="208">
        <v>1401.6891024040494</v>
      </c>
      <c r="AG125" s="206">
        <v>35042.227560101244</v>
      </c>
      <c r="AH125" s="110" t="s">
        <v>658</v>
      </c>
      <c r="AI125" s="393" t="s">
        <v>653</v>
      </c>
    </row>
    <row r="126" spans="1:35" hidden="1" x14ac:dyDescent="0.3">
      <c r="A126" s="145">
        <v>45264</v>
      </c>
      <c r="B126" s="189">
        <v>125</v>
      </c>
      <c r="C126" s="70" t="s">
        <v>549</v>
      </c>
      <c r="D126" s="35" t="s">
        <v>596</v>
      </c>
      <c r="E126" s="2" t="s">
        <v>589</v>
      </c>
      <c r="F126" s="2" t="s">
        <v>585</v>
      </c>
      <c r="G126" s="67" t="s">
        <v>565</v>
      </c>
      <c r="H126" s="332" t="s">
        <v>127</v>
      </c>
      <c r="I126" s="67" t="s">
        <v>517</v>
      </c>
      <c r="J126" s="9" t="s">
        <v>0</v>
      </c>
      <c r="K126" s="2" t="s">
        <v>531</v>
      </c>
      <c r="L126" s="67" t="s">
        <v>593</v>
      </c>
      <c r="M126" s="67" t="s">
        <v>532</v>
      </c>
      <c r="N126" s="67" t="s">
        <v>532</v>
      </c>
      <c r="O126" s="67" t="s">
        <v>570</v>
      </c>
      <c r="P126" s="67" t="s">
        <v>573</v>
      </c>
      <c r="Q126" s="67" t="s">
        <v>0</v>
      </c>
      <c r="R126" s="110" t="s">
        <v>519</v>
      </c>
      <c r="S126" s="172">
        <v>100</v>
      </c>
      <c r="T126" s="165" t="s">
        <v>0</v>
      </c>
      <c r="U126" s="67" t="s">
        <v>576</v>
      </c>
      <c r="V126" s="391">
        <v>2000</v>
      </c>
      <c r="W126" s="238">
        <v>11174.742332640406</v>
      </c>
      <c r="X126" s="165">
        <v>50</v>
      </c>
      <c r="Y126" s="195">
        <v>2</v>
      </c>
      <c r="Z126" s="208">
        <v>7.5988247861954756E-3</v>
      </c>
      <c r="AA126" s="264">
        <v>0.1899706196548869</v>
      </c>
      <c r="AB126" s="208">
        <v>6.4489250120876155E-4</v>
      </c>
      <c r="AC126" s="201">
        <v>26.165228108297132</v>
      </c>
      <c r="AD126" s="201">
        <v>0.13684585888339673</v>
      </c>
      <c r="AE126" s="265">
        <v>7.9007993463814652E-2</v>
      </c>
      <c r="AF126" s="208">
        <v>10459.798198709643</v>
      </c>
      <c r="AG126" s="206">
        <v>261494.9549677411</v>
      </c>
      <c r="AH126" s="110" t="s">
        <v>658</v>
      </c>
      <c r="AI126" s="394" t="s">
        <v>654</v>
      </c>
    </row>
    <row r="127" spans="1:35" hidden="1" x14ac:dyDescent="0.3">
      <c r="A127" s="145">
        <v>45264</v>
      </c>
      <c r="B127" s="189">
        <v>126</v>
      </c>
      <c r="C127" s="70" t="s">
        <v>549</v>
      </c>
      <c r="D127" s="35" t="s">
        <v>596</v>
      </c>
      <c r="E127" s="2" t="s">
        <v>589</v>
      </c>
      <c r="F127" s="2" t="s">
        <v>585</v>
      </c>
      <c r="G127" s="67" t="s">
        <v>565</v>
      </c>
      <c r="H127" s="332" t="s">
        <v>128</v>
      </c>
      <c r="I127" s="67" t="s">
        <v>517</v>
      </c>
      <c r="J127" s="9" t="s">
        <v>0</v>
      </c>
      <c r="K127" s="2" t="s">
        <v>531</v>
      </c>
      <c r="L127" s="67" t="s">
        <v>593</v>
      </c>
      <c r="M127" s="67" t="s">
        <v>532</v>
      </c>
      <c r="N127" s="67" t="s">
        <v>532</v>
      </c>
      <c r="O127" s="67" t="s">
        <v>570</v>
      </c>
      <c r="P127" s="67" t="s">
        <v>574</v>
      </c>
      <c r="Q127" s="67" t="s">
        <v>0</v>
      </c>
      <c r="R127" s="110" t="s">
        <v>519</v>
      </c>
      <c r="S127" s="172">
        <v>100</v>
      </c>
      <c r="T127" s="165" t="s">
        <v>0</v>
      </c>
      <c r="U127" s="67" t="s">
        <v>576</v>
      </c>
      <c r="V127" s="391">
        <v>2000</v>
      </c>
      <c r="W127" s="238">
        <v>16181.972300713087</v>
      </c>
      <c r="X127" s="165">
        <v>50</v>
      </c>
      <c r="Y127" s="195">
        <v>2</v>
      </c>
      <c r="Z127" s="208">
        <v>1.1003741164484899E-2</v>
      </c>
      <c r="AA127" s="264">
        <v>0.27509352911212248</v>
      </c>
      <c r="AB127" s="208">
        <v>5.7247454582409882E-4</v>
      </c>
      <c r="AC127" s="201">
        <v>25.55276299240116</v>
      </c>
      <c r="AD127" s="201">
        <v>8.5421746797271991E-2</v>
      </c>
      <c r="AE127" s="265">
        <v>4.9318268508053043E-2</v>
      </c>
      <c r="AF127" s="208">
        <v>15146.672709237737</v>
      </c>
      <c r="AG127" s="206">
        <v>378666.8177309435</v>
      </c>
      <c r="AH127" s="110" t="s">
        <v>658</v>
      </c>
      <c r="AI127" s="394" t="s">
        <v>654</v>
      </c>
    </row>
    <row r="128" spans="1:35" hidden="1" x14ac:dyDescent="0.3">
      <c r="A128" s="145">
        <v>45264</v>
      </c>
      <c r="B128" s="189">
        <v>127</v>
      </c>
      <c r="C128" s="70" t="s">
        <v>549</v>
      </c>
      <c r="D128" s="35" t="s">
        <v>596</v>
      </c>
      <c r="E128" s="2" t="s">
        <v>589</v>
      </c>
      <c r="F128" s="2" t="s">
        <v>585</v>
      </c>
      <c r="G128" s="79" t="s">
        <v>565</v>
      </c>
      <c r="H128" s="14" t="s">
        <v>129</v>
      </c>
      <c r="I128" s="67" t="s">
        <v>517</v>
      </c>
      <c r="J128" s="9" t="s">
        <v>0</v>
      </c>
      <c r="K128" s="2" t="s">
        <v>531</v>
      </c>
      <c r="L128" s="67" t="s">
        <v>593</v>
      </c>
      <c r="M128" s="67" t="s">
        <v>532</v>
      </c>
      <c r="N128" s="67" t="s">
        <v>532</v>
      </c>
      <c r="O128" s="67" t="s">
        <v>570</v>
      </c>
      <c r="P128" s="79" t="s">
        <v>573</v>
      </c>
      <c r="Q128" s="67" t="s">
        <v>0</v>
      </c>
      <c r="R128" s="110" t="s">
        <v>519</v>
      </c>
      <c r="S128" s="172">
        <v>100</v>
      </c>
      <c r="T128" s="165" t="s">
        <v>0</v>
      </c>
      <c r="U128" s="67" t="s">
        <v>576</v>
      </c>
      <c r="V128" s="391">
        <v>20000</v>
      </c>
      <c r="W128" s="208">
        <v>86651.016147015165</v>
      </c>
      <c r="X128" s="165">
        <v>50</v>
      </c>
      <c r="Y128" s="195">
        <v>2</v>
      </c>
      <c r="Z128" s="208">
        <v>5.8922690979970313E-2</v>
      </c>
      <c r="AA128" s="264">
        <v>1.4730672744992579</v>
      </c>
      <c r="AB128" s="208">
        <v>7.120759241779683E-3</v>
      </c>
      <c r="AC128" s="201">
        <v>22.79415470664706</v>
      </c>
      <c r="AD128" s="201">
        <v>0.19756374095868756</v>
      </c>
      <c r="AE128" s="265">
        <v>0.11406347902460777</v>
      </c>
      <c r="AF128" s="208">
        <v>81107.207274349159</v>
      </c>
      <c r="AG128" s="206">
        <v>2027680.1818587293</v>
      </c>
      <c r="AH128" s="110" t="s">
        <v>658</v>
      </c>
      <c r="AI128" s="393" t="s">
        <v>655</v>
      </c>
    </row>
    <row r="129" spans="1:35" hidden="1" x14ac:dyDescent="0.3">
      <c r="A129" s="145">
        <v>45264</v>
      </c>
      <c r="B129" s="189">
        <v>128</v>
      </c>
      <c r="C129" s="70" t="s">
        <v>549</v>
      </c>
      <c r="D129" s="35" t="s">
        <v>596</v>
      </c>
      <c r="E129" s="2" t="s">
        <v>589</v>
      </c>
      <c r="F129" s="2" t="s">
        <v>585</v>
      </c>
      <c r="G129" s="67" t="s">
        <v>565</v>
      </c>
      <c r="H129" s="14" t="s">
        <v>130</v>
      </c>
      <c r="I129" s="67" t="s">
        <v>517</v>
      </c>
      <c r="J129" s="9" t="s">
        <v>0</v>
      </c>
      <c r="K129" s="2" t="s">
        <v>531</v>
      </c>
      <c r="L129" s="67" t="s">
        <v>593</v>
      </c>
      <c r="M129" s="67" t="s">
        <v>532</v>
      </c>
      <c r="N129" s="67" t="s">
        <v>532</v>
      </c>
      <c r="O129" s="67" t="s">
        <v>570</v>
      </c>
      <c r="P129" s="67" t="s">
        <v>574</v>
      </c>
      <c r="Q129" s="67" t="s">
        <v>0</v>
      </c>
      <c r="R129" s="110" t="s">
        <v>519</v>
      </c>
      <c r="S129" s="172">
        <v>100</v>
      </c>
      <c r="T129" s="165" t="s">
        <v>0</v>
      </c>
      <c r="U129" s="67" t="s">
        <v>576</v>
      </c>
      <c r="V129" s="391">
        <v>20000</v>
      </c>
      <c r="W129" s="208">
        <v>106522.37104573807</v>
      </c>
      <c r="X129" s="165">
        <v>50</v>
      </c>
      <c r="Y129" s="195">
        <v>2</v>
      </c>
      <c r="Z129" s="208">
        <v>7.2435212311101879E-2</v>
      </c>
      <c r="AA129" s="264">
        <v>1.810880307777547</v>
      </c>
      <c r="AB129" s="208">
        <v>2.9201570314855022E-3</v>
      </c>
      <c r="AC129" s="201">
        <v>22.446873053357081</v>
      </c>
      <c r="AD129" s="201">
        <v>6.5737474942366994E-2</v>
      </c>
      <c r="AE129" s="265">
        <v>3.7953548853821864E-2</v>
      </c>
      <c r="AF129" s="208">
        <v>99707.221125985801</v>
      </c>
      <c r="AG129" s="206">
        <v>2492680.5281496448</v>
      </c>
      <c r="AH129" s="110" t="s">
        <v>658</v>
      </c>
      <c r="AI129" s="393" t="s">
        <v>655</v>
      </c>
    </row>
    <row r="130" spans="1:35" hidden="1" x14ac:dyDescent="0.3">
      <c r="A130" s="145">
        <v>45264</v>
      </c>
      <c r="B130" s="189">
        <v>129</v>
      </c>
      <c r="C130" s="70" t="s">
        <v>549</v>
      </c>
      <c r="D130" s="35" t="s">
        <v>596</v>
      </c>
      <c r="E130" s="2" t="s">
        <v>589</v>
      </c>
      <c r="F130" s="2" t="s">
        <v>585</v>
      </c>
      <c r="G130" s="67" t="s">
        <v>565</v>
      </c>
      <c r="H130" s="14" t="s">
        <v>131</v>
      </c>
      <c r="I130" s="67" t="s">
        <v>517</v>
      </c>
      <c r="J130" s="9" t="s">
        <v>0</v>
      </c>
      <c r="K130" s="2" t="s">
        <v>531</v>
      </c>
      <c r="L130" s="67" t="s">
        <v>593</v>
      </c>
      <c r="M130" s="67" t="s">
        <v>532</v>
      </c>
      <c r="N130" s="79" t="s">
        <v>532</v>
      </c>
      <c r="O130" s="79" t="s">
        <v>570</v>
      </c>
      <c r="P130" s="67" t="s">
        <v>573</v>
      </c>
      <c r="Q130" s="67" t="s">
        <v>0</v>
      </c>
      <c r="R130" s="110" t="s">
        <v>519</v>
      </c>
      <c r="S130" s="172">
        <v>100</v>
      </c>
      <c r="T130" s="165" t="s">
        <v>0</v>
      </c>
      <c r="U130" s="67" t="s">
        <v>576</v>
      </c>
      <c r="V130" s="391">
        <v>200000</v>
      </c>
      <c r="W130" s="208">
        <v>670539.93043437623</v>
      </c>
      <c r="X130" s="165">
        <v>50</v>
      </c>
      <c r="Y130" s="195">
        <v>2</v>
      </c>
      <c r="Z130" s="208">
        <v>0.4559671526953758</v>
      </c>
      <c r="AA130" s="264">
        <v>11.399178817384396</v>
      </c>
      <c r="AB130" s="208">
        <v>2.0757883057149207E-2</v>
      </c>
      <c r="AC130" s="201">
        <v>19.415562674998871</v>
      </c>
      <c r="AD130" s="201">
        <v>7.579886367045259E-2</v>
      </c>
      <c r="AE130" s="265">
        <v>4.3762494344403553E-2</v>
      </c>
      <c r="AF130" s="208">
        <v>627639.73859459476</v>
      </c>
      <c r="AG130" s="206">
        <v>15690993.464864872</v>
      </c>
      <c r="AH130" s="110" t="s">
        <v>658</v>
      </c>
      <c r="AI130" s="394" t="s">
        <v>656</v>
      </c>
    </row>
    <row r="131" spans="1:35" hidden="1" x14ac:dyDescent="0.3">
      <c r="A131" s="145">
        <v>45264</v>
      </c>
      <c r="B131" s="189">
        <v>130</v>
      </c>
      <c r="C131" s="70" t="s">
        <v>549</v>
      </c>
      <c r="D131" s="35" t="s">
        <v>596</v>
      </c>
      <c r="E131" s="2" t="s">
        <v>589</v>
      </c>
      <c r="F131" s="2" t="s">
        <v>585</v>
      </c>
      <c r="G131" s="67" t="s">
        <v>565</v>
      </c>
      <c r="H131" s="14" t="s">
        <v>132</v>
      </c>
      <c r="I131" s="67" t="s">
        <v>517</v>
      </c>
      <c r="J131" s="9" t="s">
        <v>0</v>
      </c>
      <c r="K131" s="2" t="s">
        <v>531</v>
      </c>
      <c r="L131" s="67" t="s">
        <v>593</v>
      </c>
      <c r="M131" s="67" t="s">
        <v>532</v>
      </c>
      <c r="N131" s="67" t="s">
        <v>532</v>
      </c>
      <c r="O131" s="67" t="s">
        <v>570</v>
      </c>
      <c r="P131" s="67" t="s">
        <v>574</v>
      </c>
      <c r="Q131" s="67" t="s">
        <v>0</v>
      </c>
      <c r="R131" s="110" t="s">
        <v>519</v>
      </c>
      <c r="S131" s="172">
        <v>100</v>
      </c>
      <c r="T131" s="165" t="s">
        <v>0</v>
      </c>
      <c r="U131" s="67" t="s">
        <v>576</v>
      </c>
      <c r="V131" s="391">
        <v>200000</v>
      </c>
      <c r="W131" s="208">
        <v>919914.27271014312</v>
      </c>
      <c r="X131" s="165">
        <v>50</v>
      </c>
      <c r="Y131" s="195">
        <v>2</v>
      </c>
      <c r="Z131" s="208">
        <v>0.62554170544289733</v>
      </c>
      <c r="AA131" s="264">
        <v>15.638542636072433</v>
      </c>
      <c r="AB131" s="208">
        <v>3.4823966779500476E-2</v>
      </c>
      <c r="AC131" s="201">
        <v>18.895064028298339</v>
      </c>
      <c r="AD131" s="201">
        <v>9.1609456152221838E-2</v>
      </c>
      <c r="AE131" s="265">
        <v>5.2890744169800497E-2</v>
      </c>
      <c r="AF131" s="208">
        <v>861059.46483933832</v>
      </c>
      <c r="AG131" s="206">
        <v>21526486.620983455</v>
      </c>
      <c r="AH131" s="110" t="s">
        <v>658</v>
      </c>
      <c r="AI131" s="394" t="s">
        <v>656</v>
      </c>
    </row>
    <row r="132" spans="1:35" hidden="1" x14ac:dyDescent="0.3">
      <c r="A132" s="145">
        <v>45264</v>
      </c>
      <c r="B132" s="188">
        <v>131</v>
      </c>
      <c r="C132" s="70" t="s">
        <v>549</v>
      </c>
      <c r="D132" s="35" t="s">
        <v>596</v>
      </c>
      <c r="E132" s="2" t="s">
        <v>589</v>
      </c>
      <c r="F132" s="2" t="s">
        <v>585</v>
      </c>
      <c r="G132" s="79" t="s">
        <v>565</v>
      </c>
      <c r="H132" s="14" t="s">
        <v>133</v>
      </c>
      <c r="I132" s="67" t="s">
        <v>517</v>
      </c>
      <c r="J132" s="9" t="s">
        <v>0</v>
      </c>
      <c r="K132" s="2" t="s">
        <v>531</v>
      </c>
      <c r="L132" s="2" t="s">
        <v>593</v>
      </c>
      <c r="M132" s="67" t="s">
        <v>532</v>
      </c>
      <c r="N132" s="67" t="s">
        <v>532</v>
      </c>
      <c r="O132" s="67" t="s">
        <v>570</v>
      </c>
      <c r="P132" s="79" t="s">
        <v>573</v>
      </c>
      <c r="Q132" s="67" t="s">
        <v>0</v>
      </c>
      <c r="R132" s="110" t="s">
        <v>519</v>
      </c>
      <c r="S132" s="172">
        <v>100</v>
      </c>
      <c r="T132" s="165" t="s">
        <v>0</v>
      </c>
      <c r="U132" s="67" t="s">
        <v>576</v>
      </c>
      <c r="V132" s="391">
        <v>2000000</v>
      </c>
      <c r="W132" s="208">
        <v>4739961.3372316863</v>
      </c>
      <c r="X132" s="165">
        <v>50</v>
      </c>
      <c r="Y132" s="195">
        <v>2</v>
      </c>
      <c r="Z132" s="208">
        <v>3.223173709317547</v>
      </c>
      <c r="AA132" s="264">
        <v>80.57934273293867</v>
      </c>
      <c r="AB132" s="208">
        <v>0.95810931696138424</v>
      </c>
      <c r="AC132" s="201">
        <v>16.248151214421835</v>
      </c>
      <c r="AD132" s="201">
        <v>0.54718945039605271</v>
      </c>
      <c r="AE132" s="265">
        <v>0.31591997648388442</v>
      </c>
      <c r="AF132" s="208">
        <v>4436705.3468708172</v>
      </c>
      <c r="AG132" s="206">
        <v>110917633.67177042</v>
      </c>
      <c r="AH132" s="110" t="s">
        <v>658</v>
      </c>
      <c r="AI132" s="394" t="s">
        <v>657</v>
      </c>
    </row>
    <row r="133" spans="1:35" hidden="1" x14ac:dyDescent="0.3">
      <c r="A133" s="145">
        <v>45264</v>
      </c>
      <c r="B133" s="189">
        <v>132</v>
      </c>
      <c r="C133" s="70" t="s">
        <v>549</v>
      </c>
      <c r="D133" s="35" t="s">
        <v>596</v>
      </c>
      <c r="E133" s="2" t="s">
        <v>589</v>
      </c>
      <c r="F133" s="2" t="s">
        <v>585</v>
      </c>
      <c r="G133" s="67" t="s">
        <v>565</v>
      </c>
      <c r="H133" s="14" t="s">
        <v>134</v>
      </c>
      <c r="I133" s="67" t="s">
        <v>517</v>
      </c>
      <c r="J133" s="9" t="s">
        <v>0</v>
      </c>
      <c r="K133" s="2" t="s">
        <v>531</v>
      </c>
      <c r="L133" s="2" t="s">
        <v>593</v>
      </c>
      <c r="M133" s="67" t="s">
        <v>532</v>
      </c>
      <c r="N133" s="67" t="s">
        <v>532</v>
      </c>
      <c r="O133" s="67" t="s">
        <v>570</v>
      </c>
      <c r="P133" s="67" t="s">
        <v>574</v>
      </c>
      <c r="Q133" s="67" t="s">
        <v>0</v>
      </c>
      <c r="R133" s="110" t="s">
        <v>519</v>
      </c>
      <c r="S133" s="172">
        <v>100</v>
      </c>
      <c r="T133" s="165" t="s">
        <v>0</v>
      </c>
      <c r="U133" s="67" t="s">
        <v>576</v>
      </c>
      <c r="V133" s="391">
        <v>2000000</v>
      </c>
      <c r="W133" s="208">
        <v>5609730.9044696754</v>
      </c>
      <c r="X133" s="165">
        <v>50</v>
      </c>
      <c r="Y133" s="195">
        <v>2</v>
      </c>
      <c r="Z133" s="208">
        <v>3.8146170150393797</v>
      </c>
      <c r="AA133" s="264">
        <v>95.365425375984486</v>
      </c>
      <c r="AB133" s="208">
        <v>0.13969734860040312</v>
      </c>
      <c r="AC133" s="201">
        <v>15.914845557218973</v>
      </c>
      <c r="AD133" s="201">
        <v>6.0848568942468075E-2</v>
      </c>
      <c r="AE133" s="265">
        <v>3.5130937658737448E-2</v>
      </c>
      <c r="AF133" s="208">
        <v>5250828.2932330854</v>
      </c>
      <c r="AG133" s="206">
        <v>131270707.33082712</v>
      </c>
      <c r="AH133" s="110" t="s">
        <v>658</v>
      </c>
      <c r="AI133" s="394" t="s">
        <v>657</v>
      </c>
    </row>
    <row r="134" spans="1:35" hidden="1" x14ac:dyDescent="0.3">
      <c r="A134" s="145">
        <v>45264</v>
      </c>
      <c r="B134" s="189">
        <v>133</v>
      </c>
      <c r="C134" s="70" t="s">
        <v>549</v>
      </c>
      <c r="D134" s="35" t="s">
        <v>596</v>
      </c>
      <c r="E134" s="2" t="s">
        <v>589</v>
      </c>
      <c r="F134" s="2" t="s">
        <v>585</v>
      </c>
      <c r="G134" s="67" t="s">
        <v>565</v>
      </c>
      <c r="H134" s="14" t="s">
        <v>135</v>
      </c>
      <c r="I134" s="67" t="s">
        <v>525</v>
      </c>
      <c r="J134" s="9" t="s">
        <v>0</v>
      </c>
      <c r="K134" s="2" t="s">
        <v>531</v>
      </c>
      <c r="L134" s="2" t="s">
        <v>533</v>
      </c>
      <c r="M134" s="67" t="s">
        <v>532</v>
      </c>
      <c r="N134" s="67" t="s">
        <v>532</v>
      </c>
      <c r="O134" s="67" t="s">
        <v>570</v>
      </c>
      <c r="P134" s="67" t="s">
        <v>573</v>
      </c>
      <c r="Q134" s="67" t="s">
        <v>0</v>
      </c>
      <c r="R134" s="110" t="s">
        <v>0</v>
      </c>
      <c r="S134" s="172">
        <v>100</v>
      </c>
      <c r="T134" s="165" t="s">
        <v>0</v>
      </c>
      <c r="U134" s="67" t="s">
        <v>0</v>
      </c>
      <c r="V134" s="208" t="s">
        <v>0</v>
      </c>
      <c r="W134" s="208">
        <v>29.317661973437623</v>
      </c>
      <c r="X134" s="165">
        <v>50</v>
      </c>
      <c r="Y134" s="195">
        <v>2</v>
      </c>
      <c r="Z134" s="208">
        <v>1.9936010141937583E-5</v>
      </c>
      <c r="AA134" s="264">
        <v>4.9840025354843959E-4</v>
      </c>
      <c r="AB134" s="208">
        <v>1.6553818004115844E-6</v>
      </c>
      <c r="AC134" s="201">
        <v>35.958694400205836</v>
      </c>
      <c r="AD134" s="201">
        <v>0.13749470368333816</v>
      </c>
      <c r="AE134" s="265">
        <v>7.9382604183723116E-2</v>
      </c>
      <c r="AF134" s="208">
        <v>27.441959623930153</v>
      </c>
      <c r="AG134" s="206">
        <v>686.04899059825379</v>
      </c>
      <c r="AH134" s="110" t="s">
        <v>646</v>
      </c>
      <c r="AI134" s="393" t="s">
        <v>647</v>
      </c>
    </row>
    <row r="135" spans="1:35" hidden="1" x14ac:dyDescent="0.3">
      <c r="A135" s="145">
        <v>45264</v>
      </c>
      <c r="B135" s="189">
        <v>134</v>
      </c>
      <c r="C135" s="70" t="s">
        <v>549</v>
      </c>
      <c r="D135" s="316" t="s">
        <v>0</v>
      </c>
      <c r="E135" s="315" t="s">
        <v>0</v>
      </c>
      <c r="F135" s="315" t="s">
        <v>0</v>
      </c>
      <c r="G135" s="67" t="s">
        <v>565</v>
      </c>
      <c r="H135" s="14" t="s">
        <v>136</v>
      </c>
      <c r="I135" s="67" t="s">
        <v>521</v>
      </c>
      <c r="J135" s="9" t="s">
        <v>0</v>
      </c>
      <c r="K135" s="2" t="s">
        <v>531</v>
      </c>
      <c r="L135" s="2" t="s">
        <v>521</v>
      </c>
      <c r="M135" s="67" t="s">
        <v>532</v>
      </c>
      <c r="N135" s="67" t="s">
        <v>532</v>
      </c>
      <c r="O135" s="67" t="s">
        <v>570</v>
      </c>
      <c r="P135" s="67" t="s">
        <v>573</v>
      </c>
      <c r="Q135" s="67" t="s">
        <v>0</v>
      </c>
      <c r="R135" s="110" t="s">
        <v>0</v>
      </c>
      <c r="S135" s="172">
        <v>100</v>
      </c>
      <c r="T135" s="165" t="s">
        <v>0</v>
      </c>
      <c r="U135" s="67" t="s">
        <v>0</v>
      </c>
      <c r="V135" s="208" t="s">
        <v>0</v>
      </c>
      <c r="W135" s="208">
        <v>17.749288453437181</v>
      </c>
      <c r="X135" s="165">
        <v>50</v>
      </c>
      <c r="Y135" s="195">
        <v>2</v>
      </c>
      <c r="Z135" s="208">
        <v>1.2069516148337284E-5</v>
      </c>
      <c r="AA135" s="264">
        <v>3.0173790370843209E-4</v>
      </c>
      <c r="AB135" s="208">
        <v>6.7040628605393366E-6</v>
      </c>
      <c r="AC135" s="201">
        <v>36.969952960064951</v>
      </c>
      <c r="AD135" s="201">
        <v>0.99043472035475499</v>
      </c>
      <c r="AE135" s="265">
        <v>0.57182775241156958</v>
      </c>
      <c r="AF135" s="208">
        <v>16.613714201835485</v>
      </c>
      <c r="AG135" s="206">
        <v>415.34285504588706</v>
      </c>
      <c r="AH135" s="110">
        <v>2</v>
      </c>
      <c r="AI135" s="394" t="s">
        <v>626</v>
      </c>
    </row>
    <row r="136" spans="1:35" hidden="1" x14ac:dyDescent="0.3">
      <c r="A136" s="145">
        <v>45264</v>
      </c>
      <c r="B136" s="189">
        <v>135</v>
      </c>
      <c r="C136" s="70" t="s">
        <v>549</v>
      </c>
      <c r="D136" s="316" t="s">
        <v>0</v>
      </c>
      <c r="E136" s="315" t="s">
        <v>0</v>
      </c>
      <c r="F136" s="315" t="s">
        <v>0</v>
      </c>
      <c r="G136" s="79" t="s">
        <v>565</v>
      </c>
      <c r="H136" s="14" t="s">
        <v>137</v>
      </c>
      <c r="I136" s="67" t="s">
        <v>521</v>
      </c>
      <c r="J136" s="9" t="s">
        <v>0</v>
      </c>
      <c r="K136" s="2" t="s">
        <v>531</v>
      </c>
      <c r="L136" s="2" t="s">
        <v>521</v>
      </c>
      <c r="M136" s="67" t="s">
        <v>532</v>
      </c>
      <c r="N136" s="67" t="s">
        <v>532</v>
      </c>
      <c r="O136" s="67" t="s">
        <v>570</v>
      </c>
      <c r="P136" s="79" t="s">
        <v>574</v>
      </c>
      <c r="Q136" s="67" t="s">
        <v>0</v>
      </c>
      <c r="R136" s="110" t="s">
        <v>0</v>
      </c>
      <c r="S136" s="172">
        <v>100</v>
      </c>
      <c r="T136" s="165" t="s">
        <v>0</v>
      </c>
      <c r="U136" s="67" t="s">
        <v>0</v>
      </c>
      <c r="V136" s="208" t="s">
        <v>0</v>
      </c>
      <c r="W136" s="208">
        <v>33.365307446352297</v>
      </c>
      <c r="X136" s="165">
        <v>50</v>
      </c>
      <c r="Y136" s="195">
        <v>2</v>
      </c>
      <c r="Z136" s="208">
        <v>2.2688409063519559E-5</v>
      </c>
      <c r="AA136" s="264">
        <v>5.67210226587989E-4</v>
      </c>
      <c r="AB136" s="208">
        <v>8.2702731279227279E-6</v>
      </c>
      <c r="AC136" s="201">
        <v>35.816151968844842</v>
      </c>
      <c r="AD136" s="201">
        <v>0.60924126059894124</v>
      </c>
      <c r="AE136" s="265">
        <v>0.35174560580822567</v>
      </c>
      <c r="AF136" s="208">
        <v>31.230642491627602</v>
      </c>
      <c r="AG136" s="206">
        <v>780.76606229069</v>
      </c>
      <c r="AH136" s="401">
        <v>2</v>
      </c>
      <c r="AI136" s="394" t="s">
        <v>626</v>
      </c>
    </row>
    <row r="137" spans="1:35" hidden="1" x14ac:dyDescent="0.3">
      <c r="A137" s="145">
        <v>45264</v>
      </c>
      <c r="B137" s="189">
        <v>136</v>
      </c>
      <c r="C137" s="70" t="s">
        <v>549</v>
      </c>
      <c r="D137" s="35" t="s">
        <v>596</v>
      </c>
      <c r="E137" s="2" t="s">
        <v>589</v>
      </c>
      <c r="F137" s="2" t="s">
        <v>585</v>
      </c>
      <c r="G137" s="67" t="s">
        <v>565</v>
      </c>
      <c r="H137" s="14" t="s">
        <v>138</v>
      </c>
      <c r="I137" s="67" t="s">
        <v>520</v>
      </c>
      <c r="J137" s="9" t="s">
        <v>0</v>
      </c>
      <c r="K137" s="2" t="s">
        <v>531</v>
      </c>
      <c r="L137" s="2" t="s">
        <v>530</v>
      </c>
      <c r="M137" s="67" t="s">
        <v>532</v>
      </c>
      <c r="N137" s="67" t="s">
        <v>532</v>
      </c>
      <c r="O137" s="67" t="s">
        <v>570</v>
      </c>
      <c r="P137" s="67" t="s">
        <v>573</v>
      </c>
      <c r="Q137" s="67" t="s">
        <v>0</v>
      </c>
      <c r="R137" s="110" t="s">
        <v>519</v>
      </c>
      <c r="S137" s="172">
        <v>100</v>
      </c>
      <c r="T137" s="165" t="s">
        <v>0</v>
      </c>
      <c r="U137" s="67" t="s">
        <v>0</v>
      </c>
      <c r="V137" s="208" t="s">
        <v>0</v>
      </c>
      <c r="W137" s="208">
        <v>32.347670688428266</v>
      </c>
      <c r="X137" s="165">
        <v>50</v>
      </c>
      <c r="Y137" s="195">
        <v>2</v>
      </c>
      <c r="Z137" s="208">
        <v>2.1996416068131223E-5</v>
      </c>
      <c r="AA137" s="264">
        <v>5.4991040170328058E-4</v>
      </c>
      <c r="AB137" s="208">
        <v>1.2453336070829651E-5</v>
      </c>
      <c r="AC137" s="201">
        <v>35.9559</v>
      </c>
      <c r="AD137" s="201">
        <v>0.87553999999999998</v>
      </c>
      <c r="AE137" s="265">
        <v>0.50548999999999999</v>
      </c>
      <c r="AF137" s="208">
        <v>30.278112687304191</v>
      </c>
      <c r="AG137" s="206">
        <v>756.95281718260492</v>
      </c>
      <c r="AH137" s="110">
        <v>2</v>
      </c>
      <c r="AI137" s="393" t="s">
        <v>623</v>
      </c>
    </row>
    <row r="138" spans="1:35" ht="16.2" hidden="1" thickBot="1" x14ac:dyDescent="0.35">
      <c r="A138" s="148">
        <v>45264</v>
      </c>
      <c r="B138" s="190">
        <v>137</v>
      </c>
      <c r="C138" s="78" t="s">
        <v>549</v>
      </c>
      <c r="D138" s="25" t="s">
        <v>552</v>
      </c>
      <c r="E138" s="23" t="s">
        <v>588</v>
      </c>
      <c r="F138" s="23" t="s">
        <v>584</v>
      </c>
      <c r="G138" s="67" t="s">
        <v>565</v>
      </c>
      <c r="H138" s="328" t="s">
        <v>139</v>
      </c>
      <c r="I138" s="79" t="s">
        <v>520</v>
      </c>
      <c r="J138" s="24" t="s">
        <v>0</v>
      </c>
      <c r="K138" s="2" t="s">
        <v>531</v>
      </c>
      <c r="L138" s="23" t="s">
        <v>530</v>
      </c>
      <c r="M138" s="79" t="s">
        <v>532</v>
      </c>
      <c r="N138" s="79" t="s">
        <v>532</v>
      </c>
      <c r="O138" s="79" t="s">
        <v>570</v>
      </c>
      <c r="P138" s="79" t="s">
        <v>574</v>
      </c>
      <c r="Q138" s="67" t="s">
        <v>0</v>
      </c>
      <c r="R138" s="111" t="s">
        <v>519</v>
      </c>
      <c r="S138" s="175">
        <v>100</v>
      </c>
      <c r="T138" s="169" t="s">
        <v>0</v>
      </c>
      <c r="U138" s="91" t="s">
        <v>0</v>
      </c>
      <c r="V138" s="211" t="s">
        <v>0</v>
      </c>
      <c r="W138" s="211">
        <v>36.561742823576552</v>
      </c>
      <c r="X138" s="169">
        <v>50</v>
      </c>
      <c r="Y138" s="205">
        <v>2</v>
      </c>
      <c r="Z138" s="211">
        <v>2.4861985120032052E-5</v>
      </c>
      <c r="AA138" s="262">
        <v>6.2154962800080131E-4</v>
      </c>
      <c r="AB138" s="211">
        <v>1.0273197674560605E-5</v>
      </c>
      <c r="AC138" s="203">
        <v>35.680100000000003</v>
      </c>
      <c r="AD138" s="203">
        <v>0.65383000000000002</v>
      </c>
      <c r="AE138" s="268">
        <v>0.37748999999999999</v>
      </c>
      <c r="AF138" s="211">
        <v>34.22257447589574</v>
      </c>
      <c r="AG138" s="248">
        <v>855.5643618973935</v>
      </c>
      <c r="AH138" s="111">
        <v>2</v>
      </c>
      <c r="AI138" s="408" t="s">
        <v>625</v>
      </c>
    </row>
    <row r="139" spans="1:35" hidden="1" x14ac:dyDescent="0.3">
      <c r="A139" s="147">
        <v>45266</v>
      </c>
      <c r="B139" s="188">
        <v>138</v>
      </c>
      <c r="C139" s="27" t="s">
        <v>544</v>
      </c>
      <c r="D139" s="30" t="s">
        <v>552</v>
      </c>
      <c r="E139" s="28" t="s">
        <v>588</v>
      </c>
      <c r="F139" s="28" t="s">
        <v>584</v>
      </c>
      <c r="G139" s="28" t="s">
        <v>566</v>
      </c>
      <c r="H139" s="320" t="s">
        <v>140</v>
      </c>
      <c r="I139" s="28" t="s">
        <v>527</v>
      </c>
      <c r="J139" s="29" t="s">
        <v>550</v>
      </c>
      <c r="K139" s="28" t="s">
        <v>532</v>
      </c>
      <c r="L139" s="28" t="s">
        <v>608</v>
      </c>
      <c r="M139" s="28" t="s">
        <v>531</v>
      </c>
      <c r="N139" s="28" t="s">
        <v>531</v>
      </c>
      <c r="O139" s="28" t="s">
        <v>514</v>
      </c>
      <c r="P139" s="28" t="s">
        <v>573</v>
      </c>
      <c r="Q139" s="72" t="s">
        <v>496</v>
      </c>
      <c r="R139" s="117" t="s">
        <v>519</v>
      </c>
      <c r="S139" s="176">
        <v>100</v>
      </c>
      <c r="T139" s="164">
        <v>25</v>
      </c>
      <c r="U139" s="72" t="s">
        <v>0</v>
      </c>
      <c r="V139" s="164" t="s">
        <v>0</v>
      </c>
      <c r="W139" s="209">
        <v>529.21600632008949</v>
      </c>
      <c r="X139" s="164">
        <v>50</v>
      </c>
      <c r="Y139" s="194">
        <v>2</v>
      </c>
      <c r="Z139" s="209">
        <v>3.5986688429766084E-4</v>
      </c>
      <c r="AA139" s="264">
        <v>8.9966721074415217E-3</v>
      </c>
      <c r="AB139" s="209">
        <v>2.0486778707085765E-6</v>
      </c>
      <c r="AC139" s="201">
        <v>30.846499999999999</v>
      </c>
      <c r="AD139" s="201">
        <v>9.5899999999999996E-3</v>
      </c>
      <c r="AE139" s="265">
        <v>5.5399999999999998E-3</v>
      </c>
      <c r="AF139" s="209">
        <v>495.35751830863364</v>
      </c>
      <c r="AG139" s="206">
        <v>12383.937957715842</v>
      </c>
      <c r="AH139" s="117"/>
      <c r="AI139" s="404"/>
    </row>
    <row r="140" spans="1:35" hidden="1" x14ac:dyDescent="0.3">
      <c r="A140" s="145">
        <v>45266</v>
      </c>
      <c r="B140" s="189">
        <v>139</v>
      </c>
      <c r="C140" s="8" t="s">
        <v>544</v>
      </c>
      <c r="D140" s="10" t="s">
        <v>552</v>
      </c>
      <c r="E140" s="2" t="s">
        <v>588</v>
      </c>
      <c r="F140" s="2" t="s">
        <v>584</v>
      </c>
      <c r="G140" s="2" t="s">
        <v>566</v>
      </c>
      <c r="H140" s="14" t="s">
        <v>141</v>
      </c>
      <c r="I140" s="2" t="s">
        <v>527</v>
      </c>
      <c r="J140" s="15" t="s">
        <v>550</v>
      </c>
      <c r="K140" s="2" t="s">
        <v>532</v>
      </c>
      <c r="L140" s="2" t="s">
        <v>608</v>
      </c>
      <c r="M140" s="2" t="s">
        <v>531</v>
      </c>
      <c r="N140" s="2" t="s">
        <v>531</v>
      </c>
      <c r="O140" s="2" t="s">
        <v>514</v>
      </c>
      <c r="P140" s="2" t="s">
        <v>573</v>
      </c>
      <c r="Q140" s="67" t="s">
        <v>497</v>
      </c>
      <c r="R140" s="110" t="s">
        <v>519</v>
      </c>
      <c r="S140" s="172">
        <v>100</v>
      </c>
      <c r="T140" s="165">
        <v>25</v>
      </c>
      <c r="U140" s="67" t="s">
        <v>0</v>
      </c>
      <c r="V140" s="165" t="s">
        <v>0</v>
      </c>
      <c r="W140" s="208">
        <v>610.63075426806006</v>
      </c>
      <c r="X140" s="165">
        <v>50</v>
      </c>
      <c r="Y140" s="195">
        <v>2</v>
      </c>
      <c r="Z140" s="208">
        <v>4.152289129022808E-4</v>
      </c>
      <c r="AA140" s="264">
        <v>1.0380722822557021E-2</v>
      </c>
      <c r="AB140" s="208">
        <v>1.999552714622307E-5</v>
      </c>
      <c r="AC140" s="201">
        <v>30.606999999999999</v>
      </c>
      <c r="AD140" s="201">
        <v>8.2220000000000001E-2</v>
      </c>
      <c r="AE140" s="265">
        <v>4.7469999999999998E-2</v>
      </c>
      <c r="AF140" s="208">
        <v>571.56346638201228</v>
      </c>
      <c r="AG140" s="206">
        <v>14289.08665955031</v>
      </c>
      <c r="AH140" s="110"/>
      <c r="AI140" s="393"/>
    </row>
    <row r="141" spans="1:35" hidden="1" x14ac:dyDescent="0.3">
      <c r="A141" s="145">
        <v>45266</v>
      </c>
      <c r="B141" s="189">
        <v>140</v>
      </c>
      <c r="C141" s="8" t="s">
        <v>544</v>
      </c>
      <c r="D141" s="10" t="s">
        <v>552</v>
      </c>
      <c r="E141" s="2" t="s">
        <v>588</v>
      </c>
      <c r="F141" s="2" t="s">
        <v>584</v>
      </c>
      <c r="G141" s="2" t="s">
        <v>566</v>
      </c>
      <c r="H141" s="14" t="s">
        <v>142</v>
      </c>
      <c r="I141" s="2" t="s">
        <v>527</v>
      </c>
      <c r="J141" s="15" t="s">
        <v>550</v>
      </c>
      <c r="K141" s="2" t="s">
        <v>532</v>
      </c>
      <c r="L141" s="2" t="s">
        <v>608</v>
      </c>
      <c r="M141" s="2" t="s">
        <v>531</v>
      </c>
      <c r="N141" s="2" t="s">
        <v>531</v>
      </c>
      <c r="O141" s="2" t="s">
        <v>514</v>
      </c>
      <c r="P141" s="2" t="s">
        <v>573</v>
      </c>
      <c r="Q141" s="67" t="s">
        <v>498</v>
      </c>
      <c r="R141" s="110" t="s">
        <v>519</v>
      </c>
      <c r="S141" s="172">
        <v>100</v>
      </c>
      <c r="T141" s="165">
        <v>25</v>
      </c>
      <c r="U141" s="67" t="s">
        <v>0</v>
      </c>
      <c r="V141" s="165" t="s">
        <v>0</v>
      </c>
      <c r="W141" s="208">
        <v>565.96867448568923</v>
      </c>
      <c r="X141" s="165">
        <v>50</v>
      </c>
      <c r="Y141" s="195">
        <v>2</v>
      </c>
      <c r="Z141" s="208">
        <v>3.8485869865026868E-4</v>
      </c>
      <c r="AA141" s="264">
        <v>9.6214674662567171E-3</v>
      </c>
      <c r="AB141" s="208">
        <v>1.34352042210004E-5</v>
      </c>
      <c r="AC141" s="201">
        <v>30.734200000000001</v>
      </c>
      <c r="AD141" s="201">
        <v>5.892E-2</v>
      </c>
      <c r="AE141" s="265">
        <v>3.4020000000000002E-2</v>
      </c>
      <c r="AF141" s="208">
        <v>529.75880299449534</v>
      </c>
      <c r="AG141" s="206">
        <v>13243.970074862385</v>
      </c>
      <c r="AH141" s="110"/>
      <c r="AI141" s="393"/>
    </row>
    <row r="142" spans="1:35" hidden="1" x14ac:dyDescent="0.3">
      <c r="A142" s="145">
        <v>45266</v>
      </c>
      <c r="B142" s="189">
        <v>141</v>
      </c>
      <c r="C142" s="8" t="s">
        <v>544</v>
      </c>
      <c r="D142" s="10" t="s">
        <v>552</v>
      </c>
      <c r="E142" s="2" t="s">
        <v>588</v>
      </c>
      <c r="F142" s="2" t="s">
        <v>584</v>
      </c>
      <c r="G142" s="2" t="s">
        <v>566</v>
      </c>
      <c r="H142" s="14" t="s">
        <v>143</v>
      </c>
      <c r="I142" s="2" t="s">
        <v>527</v>
      </c>
      <c r="J142" s="12" t="s">
        <v>551</v>
      </c>
      <c r="K142" s="2" t="s">
        <v>532</v>
      </c>
      <c r="L142" s="2" t="s">
        <v>608</v>
      </c>
      <c r="M142" s="2" t="s">
        <v>531</v>
      </c>
      <c r="N142" s="2" t="s">
        <v>531</v>
      </c>
      <c r="O142" s="2" t="s">
        <v>514</v>
      </c>
      <c r="P142" s="2" t="s">
        <v>573</v>
      </c>
      <c r="Q142" s="67" t="s">
        <v>496</v>
      </c>
      <c r="R142" s="110" t="s">
        <v>519</v>
      </c>
      <c r="S142" s="172">
        <v>100</v>
      </c>
      <c r="T142" s="165">
        <v>25</v>
      </c>
      <c r="U142" s="67" t="s">
        <v>0</v>
      </c>
      <c r="V142" s="165" t="s">
        <v>0</v>
      </c>
      <c r="W142" s="208">
        <v>608.29773016326999</v>
      </c>
      <c r="X142" s="165">
        <v>50</v>
      </c>
      <c r="Y142" s="195">
        <v>2</v>
      </c>
      <c r="Z142" s="208">
        <v>4.1364245651102357E-4</v>
      </c>
      <c r="AA142" s="264">
        <v>1.034106141277559E-2</v>
      </c>
      <c r="AB142" s="208">
        <v>1.2204479624940089E-4</v>
      </c>
      <c r="AC142" s="201">
        <v>30.6677</v>
      </c>
      <c r="AD142" s="201">
        <v>0.54615999999999998</v>
      </c>
      <c r="AE142" s="265">
        <v>0.31533</v>
      </c>
      <c r="AF142" s="208">
        <v>569.3797058439684</v>
      </c>
      <c r="AG142" s="206">
        <v>14234.49264609921</v>
      </c>
      <c r="AH142" s="110"/>
      <c r="AI142" s="393"/>
    </row>
    <row r="143" spans="1:35" hidden="1" x14ac:dyDescent="0.3">
      <c r="A143" s="145">
        <v>45266</v>
      </c>
      <c r="B143" s="189">
        <v>142</v>
      </c>
      <c r="C143" s="8" t="s">
        <v>544</v>
      </c>
      <c r="D143" s="10" t="s">
        <v>552</v>
      </c>
      <c r="E143" s="2" t="s">
        <v>588</v>
      </c>
      <c r="F143" s="2" t="s">
        <v>584</v>
      </c>
      <c r="G143" s="2" t="s">
        <v>566</v>
      </c>
      <c r="H143" s="14" t="s">
        <v>144</v>
      </c>
      <c r="I143" s="2" t="s">
        <v>527</v>
      </c>
      <c r="J143" s="12" t="s">
        <v>551</v>
      </c>
      <c r="K143" s="2" t="s">
        <v>532</v>
      </c>
      <c r="L143" s="2" t="s">
        <v>608</v>
      </c>
      <c r="M143" s="2" t="s">
        <v>531</v>
      </c>
      <c r="N143" s="2" t="s">
        <v>531</v>
      </c>
      <c r="O143" s="2" t="s">
        <v>514</v>
      </c>
      <c r="P143" s="2" t="s">
        <v>573</v>
      </c>
      <c r="Q143" s="67" t="s">
        <v>497</v>
      </c>
      <c r="R143" s="110" t="s">
        <v>519</v>
      </c>
      <c r="S143" s="172">
        <v>100</v>
      </c>
      <c r="T143" s="165">
        <v>25</v>
      </c>
      <c r="U143" s="67" t="s">
        <v>0</v>
      </c>
      <c r="V143" s="165" t="s">
        <v>0</v>
      </c>
      <c r="W143" s="208">
        <v>705.50532104460228</v>
      </c>
      <c r="X143" s="165">
        <v>50</v>
      </c>
      <c r="Y143" s="195">
        <v>2</v>
      </c>
      <c r="Z143" s="208">
        <v>4.7974361831032956E-4</v>
      </c>
      <c r="AA143" s="264">
        <v>1.1993590457758239E-2</v>
      </c>
      <c r="AB143" s="208">
        <v>6.6813968083961653E-5</v>
      </c>
      <c r="AC143" s="201">
        <v>30.373899999999999</v>
      </c>
      <c r="AD143" s="201">
        <v>0.24035000000000001</v>
      </c>
      <c r="AE143" s="265">
        <v>0.13875999999999999</v>
      </c>
      <c r="AF143" s="208">
        <v>660.36809320316206</v>
      </c>
      <c r="AG143" s="206">
        <v>16509.20233007905</v>
      </c>
      <c r="AH143" s="110"/>
      <c r="AI143" s="393"/>
    </row>
    <row r="144" spans="1:35" hidden="1" x14ac:dyDescent="0.3">
      <c r="A144" s="145">
        <v>45266</v>
      </c>
      <c r="B144" s="189">
        <v>143</v>
      </c>
      <c r="C144" s="8" t="s">
        <v>544</v>
      </c>
      <c r="D144" s="10" t="s">
        <v>552</v>
      </c>
      <c r="E144" s="2" t="s">
        <v>588</v>
      </c>
      <c r="F144" s="2" t="s">
        <v>584</v>
      </c>
      <c r="G144" s="2" t="s">
        <v>566</v>
      </c>
      <c r="H144" s="14" t="s">
        <v>145</v>
      </c>
      <c r="I144" s="2" t="s">
        <v>527</v>
      </c>
      <c r="J144" s="12" t="s">
        <v>551</v>
      </c>
      <c r="K144" s="2" t="s">
        <v>532</v>
      </c>
      <c r="L144" s="2" t="s">
        <v>608</v>
      </c>
      <c r="M144" s="2" t="s">
        <v>531</v>
      </c>
      <c r="N144" s="2" t="s">
        <v>531</v>
      </c>
      <c r="O144" s="2" t="s">
        <v>514</v>
      </c>
      <c r="P144" s="2" t="s">
        <v>573</v>
      </c>
      <c r="Q144" s="67" t="s">
        <v>498</v>
      </c>
      <c r="R144" s="110" t="s">
        <v>519</v>
      </c>
      <c r="S144" s="172">
        <v>100</v>
      </c>
      <c r="T144" s="165">
        <v>25</v>
      </c>
      <c r="U144" s="67" t="s">
        <v>0</v>
      </c>
      <c r="V144" s="165" t="s">
        <v>0</v>
      </c>
      <c r="W144" s="208">
        <v>1188.5960996628785</v>
      </c>
      <c r="X144" s="165">
        <v>50</v>
      </c>
      <c r="Y144" s="195">
        <v>2</v>
      </c>
      <c r="Z144" s="208">
        <v>8.0824534777075747E-4</v>
      </c>
      <c r="AA144" s="264">
        <v>2.0206133694268935E-2</v>
      </c>
      <c r="AB144" s="208">
        <v>4.9157330868048546E-5</v>
      </c>
      <c r="AC144" s="201">
        <v>29.486899999999999</v>
      </c>
      <c r="AD144" s="201">
        <v>0.10297000000000001</v>
      </c>
      <c r="AE144" s="265">
        <v>5.9450000000000003E-2</v>
      </c>
      <c r="AF144" s="208">
        <v>1112.5514103294315</v>
      </c>
      <c r="AG144" s="206">
        <v>27813.785258235785</v>
      </c>
      <c r="AH144" s="110"/>
      <c r="AI144" s="393"/>
    </row>
    <row r="145" spans="1:35" hidden="1" x14ac:dyDescent="0.3">
      <c r="A145" s="145">
        <v>45266</v>
      </c>
      <c r="B145" s="188">
        <v>144</v>
      </c>
      <c r="C145" s="8" t="s">
        <v>544</v>
      </c>
      <c r="D145" s="10" t="s">
        <v>552</v>
      </c>
      <c r="E145" s="2" t="s">
        <v>588</v>
      </c>
      <c r="F145" s="2" t="s">
        <v>584</v>
      </c>
      <c r="G145" s="2" t="s">
        <v>566</v>
      </c>
      <c r="H145" s="14" t="s">
        <v>146</v>
      </c>
      <c r="I145" s="2" t="s">
        <v>525</v>
      </c>
      <c r="J145" s="15" t="s">
        <v>550</v>
      </c>
      <c r="K145" s="2" t="s">
        <v>531</v>
      </c>
      <c r="L145" s="2" t="s">
        <v>533</v>
      </c>
      <c r="M145" s="2" t="s">
        <v>532</v>
      </c>
      <c r="N145" s="2" t="s">
        <v>531</v>
      </c>
      <c r="O145" s="2" t="s">
        <v>514</v>
      </c>
      <c r="P145" s="2" t="s">
        <v>573</v>
      </c>
      <c r="Q145" s="67" t="s">
        <v>0</v>
      </c>
      <c r="R145" s="110" t="s">
        <v>519</v>
      </c>
      <c r="S145" s="172">
        <v>100</v>
      </c>
      <c r="T145" s="165" t="s">
        <v>0</v>
      </c>
      <c r="U145" s="67" t="s">
        <v>0</v>
      </c>
      <c r="V145" s="165" t="s">
        <v>0</v>
      </c>
      <c r="W145" s="208">
        <v>772.44926293810079</v>
      </c>
      <c r="X145" s="165">
        <v>50</v>
      </c>
      <c r="Y145" s="195">
        <v>2</v>
      </c>
      <c r="Z145" s="208">
        <v>5.2526549879790849E-4</v>
      </c>
      <c r="AA145" s="264">
        <v>1.3131637469947713E-2</v>
      </c>
      <c r="AB145" s="208">
        <v>1.8018009706116508E-5</v>
      </c>
      <c r="AC145" s="201">
        <v>30.210699999999999</v>
      </c>
      <c r="AD145" s="201">
        <v>5.7639999999999997E-2</v>
      </c>
      <c r="AE145" s="265">
        <v>3.3279999999999997E-2</v>
      </c>
      <c r="AF145" s="208">
        <v>723.0290568288608</v>
      </c>
      <c r="AG145" s="206">
        <v>18075.726420721523</v>
      </c>
      <c r="AH145" s="110"/>
      <c r="AI145" s="393"/>
    </row>
    <row r="146" spans="1:35" hidden="1" x14ac:dyDescent="0.3">
      <c r="A146" s="145">
        <v>45266</v>
      </c>
      <c r="B146" s="189">
        <v>145</v>
      </c>
      <c r="C146" s="8" t="s">
        <v>544</v>
      </c>
      <c r="D146" s="10" t="s">
        <v>552</v>
      </c>
      <c r="E146" s="2" t="s">
        <v>588</v>
      </c>
      <c r="F146" s="2" t="s">
        <v>584</v>
      </c>
      <c r="G146" s="2" t="s">
        <v>566</v>
      </c>
      <c r="H146" s="333" t="s">
        <v>147</v>
      </c>
      <c r="I146" s="2" t="s">
        <v>525</v>
      </c>
      <c r="J146" s="12" t="s">
        <v>551</v>
      </c>
      <c r="K146" s="2" t="s">
        <v>531</v>
      </c>
      <c r="L146" s="2" t="s">
        <v>533</v>
      </c>
      <c r="M146" s="2" t="s">
        <v>532</v>
      </c>
      <c r="N146" s="2" t="s">
        <v>531</v>
      </c>
      <c r="O146" s="2" t="s">
        <v>514</v>
      </c>
      <c r="P146" s="2" t="s">
        <v>574</v>
      </c>
      <c r="Q146" s="67" t="s">
        <v>0</v>
      </c>
      <c r="R146" s="110" t="s">
        <v>519</v>
      </c>
      <c r="S146" s="172">
        <v>100</v>
      </c>
      <c r="T146" s="165" t="s">
        <v>0</v>
      </c>
      <c r="U146" s="67" t="s">
        <v>0</v>
      </c>
      <c r="V146" s="165" t="s">
        <v>0</v>
      </c>
      <c r="W146" s="208">
        <v>27.751406701326882</v>
      </c>
      <c r="X146" s="165">
        <v>50</v>
      </c>
      <c r="Y146" s="195">
        <v>2</v>
      </c>
      <c r="Z146" s="208">
        <v>1.8870956556902278E-5</v>
      </c>
      <c r="AA146" s="264">
        <v>4.7177391392255697E-4</v>
      </c>
      <c r="AB146" s="208">
        <v>9.2245825293855908E-6</v>
      </c>
      <c r="AC146" s="201">
        <v>35.977200000000003</v>
      </c>
      <c r="AD146" s="201">
        <v>0.97731999999999997</v>
      </c>
      <c r="AE146" s="265">
        <v>0.56425999999999998</v>
      </c>
      <c r="AF146" s="208">
        <v>25.975911138311734</v>
      </c>
      <c r="AG146" s="206">
        <v>649.39777845779349</v>
      </c>
      <c r="AH146" s="110"/>
      <c r="AI146" s="393"/>
    </row>
    <row r="147" spans="1:35" hidden="1" x14ac:dyDescent="0.3">
      <c r="A147" s="145">
        <v>45266</v>
      </c>
      <c r="B147" s="189">
        <v>146</v>
      </c>
      <c r="C147" s="8" t="s">
        <v>544</v>
      </c>
      <c r="D147" s="10" t="s">
        <v>552</v>
      </c>
      <c r="E147" s="2" t="s">
        <v>588</v>
      </c>
      <c r="F147" s="2" t="s">
        <v>584</v>
      </c>
      <c r="G147" s="2" t="s">
        <v>566</v>
      </c>
      <c r="H147" s="14" t="s">
        <v>148</v>
      </c>
      <c r="I147" s="2" t="s">
        <v>520</v>
      </c>
      <c r="J147" s="9" t="s">
        <v>0</v>
      </c>
      <c r="K147" s="2" t="s">
        <v>531</v>
      </c>
      <c r="L147" s="2" t="s">
        <v>530</v>
      </c>
      <c r="M147" s="2" t="s">
        <v>531</v>
      </c>
      <c r="N147" s="2" t="s">
        <v>531</v>
      </c>
      <c r="O147" s="2" t="s">
        <v>514</v>
      </c>
      <c r="P147" s="2" t="s">
        <v>573</v>
      </c>
      <c r="Q147" s="67" t="s">
        <v>0</v>
      </c>
      <c r="R147" s="110" t="s">
        <v>519</v>
      </c>
      <c r="S147" s="172">
        <v>100</v>
      </c>
      <c r="T147" s="165" t="s">
        <v>0</v>
      </c>
      <c r="U147" s="67" t="s">
        <v>0</v>
      </c>
      <c r="V147" s="165" t="s">
        <v>0</v>
      </c>
      <c r="W147" s="208">
        <v>21.178993438247922</v>
      </c>
      <c r="X147" s="165">
        <v>50</v>
      </c>
      <c r="Y147" s="195">
        <v>2</v>
      </c>
      <c r="Z147" s="208">
        <v>1.4401715538008588E-5</v>
      </c>
      <c r="AA147" s="264">
        <v>3.6004288845021469E-4</v>
      </c>
      <c r="AB147" s="208">
        <v>6.2169528508606014E-6</v>
      </c>
      <c r="AC147" s="201">
        <v>36.3611</v>
      </c>
      <c r="AD147" s="201">
        <v>0.69169999999999998</v>
      </c>
      <c r="AE147" s="265">
        <v>0.39934999999999998</v>
      </c>
      <c r="AF147" s="208">
        <v>19.823991535697949</v>
      </c>
      <c r="AG147" s="206">
        <v>495.59978839244883</v>
      </c>
      <c r="AH147" s="110">
        <v>2</v>
      </c>
      <c r="AI147" s="393" t="s">
        <v>619</v>
      </c>
    </row>
    <row r="148" spans="1:35" hidden="1" x14ac:dyDescent="0.3">
      <c r="A148" s="145">
        <v>45266</v>
      </c>
      <c r="B148" s="189">
        <v>147</v>
      </c>
      <c r="C148" s="8" t="s">
        <v>544</v>
      </c>
      <c r="D148" s="10" t="s">
        <v>552</v>
      </c>
      <c r="E148" s="2" t="s">
        <v>588</v>
      </c>
      <c r="F148" s="2" t="s">
        <v>584</v>
      </c>
      <c r="G148" s="65" t="s">
        <v>566</v>
      </c>
      <c r="H148" s="14" t="s">
        <v>149</v>
      </c>
      <c r="I148" s="67" t="s">
        <v>517</v>
      </c>
      <c r="J148" s="9" t="s">
        <v>0</v>
      </c>
      <c r="K148" s="2" t="s">
        <v>531</v>
      </c>
      <c r="L148" s="2" t="s">
        <v>593</v>
      </c>
      <c r="M148" s="67" t="s">
        <v>531</v>
      </c>
      <c r="N148" s="67" t="s">
        <v>531</v>
      </c>
      <c r="O148" s="67" t="s">
        <v>514</v>
      </c>
      <c r="P148" s="65" t="s">
        <v>573</v>
      </c>
      <c r="Q148" s="106" t="s">
        <v>0</v>
      </c>
      <c r="R148" s="110" t="s">
        <v>519</v>
      </c>
      <c r="S148" s="172">
        <v>100</v>
      </c>
      <c r="T148" s="165" t="s">
        <v>0</v>
      </c>
      <c r="U148" s="67" t="s">
        <v>576</v>
      </c>
      <c r="V148" s="360">
        <v>2000000</v>
      </c>
      <c r="W148" s="208">
        <v>6021821.1723348098</v>
      </c>
      <c r="X148" s="165">
        <v>50</v>
      </c>
      <c r="Y148" s="195">
        <v>2</v>
      </c>
      <c r="Z148" s="208">
        <v>4.0948383971876705</v>
      </c>
      <c r="AA148" s="264">
        <v>102.37095992969176</v>
      </c>
      <c r="AB148" s="208">
        <v>0.1953602937267763</v>
      </c>
      <c r="AC148" s="201">
        <v>15.13</v>
      </c>
      <c r="AD148" s="201">
        <v>8.1240000000000007E-2</v>
      </c>
      <c r="AE148" s="265">
        <v>4.6899999999999997E-2</v>
      </c>
      <c r="AF148" s="208">
        <v>5636553.6113848314</v>
      </c>
      <c r="AG148" s="206">
        <v>140913840.28462076</v>
      </c>
      <c r="AH148" s="110"/>
      <c r="AI148" s="393"/>
    </row>
    <row r="149" spans="1:35" hidden="1" x14ac:dyDescent="0.3">
      <c r="A149" s="145">
        <v>45266</v>
      </c>
      <c r="B149" s="189">
        <v>148</v>
      </c>
      <c r="C149" s="8" t="s">
        <v>544</v>
      </c>
      <c r="D149" s="10" t="s">
        <v>552</v>
      </c>
      <c r="E149" s="2" t="s">
        <v>588</v>
      </c>
      <c r="F149" s="2" t="s">
        <v>584</v>
      </c>
      <c r="G149" s="65" t="s">
        <v>566</v>
      </c>
      <c r="H149" s="14" t="s">
        <v>150</v>
      </c>
      <c r="I149" s="67" t="s">
        <v>517</v>
      </c>
      <c r="J149" s="9" t="s">
        <v>0</v>
      </c>
      <c r="K149" s="2" t="s">
        <v>531</v>
      </c>
      <c r="L149" s="2" t="s">
        <v>593</v>
      </c>
      <c r="M149" s="67" t="s">
        <v>531</v>
      </c>
      <c r="N149" s="67" t="s">
        <v>531</v>
      </c>
      <c r="O149" s="67" t="s">
        <v>514</v>
      </c>
      <c r="P149" s="65" t="s">
        <v>574</v>
      </c>
      <c r="Q149" s="106" t="s">
        <v>0</v>
      </c>
      <c r="R149" s="110" t="s">
        <v>519</v>
      </c>
      <c r="S149" s="172">
        <v>100</v>
      </c>
      <c r="T149" s="165" t="s">
        <v>0</v>
      </c>
      <c r="U149" s="67" t="s">
        <v>576</v>
      </c>
      <c r="V149" s="360">
        <v>2000000</v>
      </c>
      <c r="W149" s="208">
        <v>9581923.9714098275</v>
      </c>
      <c r="X149" s="165">
        <v>50</v>
      </c>
      <c r="Y149" s="195">
        <v>2</v>
      </c>
      <c r="Z149" s="208">
        <v>6.515708300558682</v>
      </c>
      <c r="AA149" s="264">
        <v>162.89270751396705</v>
      </c>
      <c r="AB149" s="208">
        <v>0.55334231516108123</v>
      </c>
      <c r="AC149" s="201">
        <v>14.351100000000001</v>
      </c>
      <c r="AD149" s="201">
        <v>0.14352999999999999</v>
      </c>
      <c r="AE149" s="265">
        <v>8.2869999999999999E-2</v>
      </c>
      <c r="AF149" s="208">
        <v>8968886.0926642735</v>
      </c>
      <c r="AG149" s="206">
        <v>224222152.31660685</v>
      </c>
      <c r="AH149" s="110"/>
      <c r="AI149" s="393"/>
    </row>
    <row r="150" spans="1:35" hidden="1" x14ac:dyDescent="0.3">
      <c r="A150" s="145">
        <v>45266</v>
      </c>
      <c r="B150" s="189">
        <v>149</v>
      </c>
      <c r="C150" s="8" t="s">
        <v>544</v>
      </c>
      <c r="D150" s="35" t="s">
        <v>596</v>
      </c>
      <c r="E150" s="2" t="s">
        <v>589</v>
      </c>
      <c r="F150" s="2" t="s">
        <v>585</v>
      </c>
      <c r="G150" s="2" t="s">
        <v>566</v>
      </c>
      <c r="H150" s="14" t="s">
        <v>151</v>
      </c>
      <c r="I150" s="2" t="s">
        <v>527</v>
      </c>
      <c r="J150" s="15" t="s">
        <v>550</v>
      </c>
      <c r="K150" s="2" t="s">
        <v>532</v>
      </c>
      <c r="L150" s="2" t="s">
        <v>608</v>
      </c>
      <c r="M150" s="2" t="s">
        <v>531</v>
      </c>
      <c r="N150" s="2" t="s">
        <v>531</v>
      </c>
      <c r="O150" s="2" t="s">
        <v>514</v>
      </c>
      <c r="P150" s="2" t="s">
        <v>573</v>
      </c>
      <c r="Q150" s="67" t="s">
        <v>496</v>
      </c>
      <c r="R150" s="110" t="s">
        <v>519</v>
      </c>
      <c r="S150" s="172">
        <v>100</v>
      </c>
      <c r="T150" s="165">
        <v>25</v>
      </c>
      <c r="U150" s="67" t="s">
        <v>0</v>
      </c>
      <c r="V150" s="165" t="s">
        <v>0</v>
      </c>
      <c r="W150" s="208">
        <v>1977.0922482070364</v>
      </c>
      <c r="X150" s="165">
        <v>50</v>
      </c>
      <c r="Y150" s="195">
        <v>2</v>
      </c>
      <c r="Z150" s="208">
        <v>1.3444227287807847E-3</v>
      </c>
      <c r="AA150" s="264">
        <v>3.3610568219519618E-2</v>
      </c>
      <c r="AB150" s="208">
        <v>6.322175748812173E-5</v>
      </c>
      <c r="AC150" s="201">
        <v>28.629672418569669</v>
      </c>
      <c r="AD150" s="201">
        <v>8.0146053011581508E-2</v>
      </c>
      <c r="AE150" s="265">
        <v>4.6272345280722604E-2</v>
      </c>
      <c r="AF150" s="208">
        <v>1850.6006958276253</v>
      </c>
      <c r="AG150" s="206">
        <v>46265.017395690629</v>
      </c>
      <c r="AH150" s="110"/>
      <c r="AI150" s="393"/>
    </row>
    <row r="151" spans="1:35" hidden="1" x14ac:dyDescent="0.3">
      <c r="A151" s="145">
        <v>45266</v>
      </c>
      <c r="B151" s="189">
        <v>150</v>
      </c>
      <c r="C151" s="8" t="s">
        <v>544</v>
      </c>
      <c r="D151" s="35" t="s">
        <v>596</v>
      </c>
      <c r="E151" s="2" t="s">
        <v>589</v>
      </c>
      <c r="F151" s="2" t="s">
        <v>585</v>
      </c>
      <c r="G151" s="2" t="s">
        <v>566</v>
      </c>
      <c r="H151" s="14" t="s">
        <v>152</v>
      </c>
      <c r="I151" s="2" t="s">
        <v>527</v>
      </c>
      <c r="J151" s="15" t="s">
        <v>550</v>
      </c>
      <c r="K151" s="2" t="s">
        <v>532</v>
      </c>
      <c r="L151" s="2" t="s">
        <v>608</v>
      </c>
      <c r="M151" s="2" t="s">
        <v>531</v>
      </c>
      <c r="N151" s="2" t="s">
        <v>531</v>
      </c>
      <c r="O151" s="2" t="s">
        <v>514</v>
      </c>
      <c r="P151" s="2" t="s">
        <v>573</v>
      </c>
      <c r="Q151" s="67" t="s">
        <v>497</v>
      </c>
      <c r="R151" s="110" t="s">
        <v>519</v>
      </c>
      <c r="S151" s="172">
        <v>100</v>
      </c>
      <c r="T151" s="165">
        <v>25</v>
      </c>
      <c r="U151" s="67" t="s">
        <v>0</v>
      </c>
      <c r="V151" s="165" t="s">
        <v>0</v>
      </c>
      <c r="W151" s="208">
        <v>4394.5664718586922</v>
      </c>
      <c r="X151" s="165">
        <v>50</v>
      </c>
      <c r="Y151" s="195">
        <v>2</v>
      </c>
      <c r="Z151" s="208">
        <v>2.9883052008639103E-3</v>
      </c>
      <c r="AA151" s="264">
        <v>7.4707630021597762E-2</v>
      </c>
      <c r="AB151" s="208">
        <v>3.8714865185524293E-4</v>
      </c>
      <c r="AC151" s="201">
        <v>27.293227836980645</v>
      </c>
      <c r="AD151" s="201">
        <v>0.21151450263837662</v>
      </c>
      <c r="AE151" s="265">
        <v>0.12211795503577656</v>
      </c>
      <c r="AF151" s="208">
        <v>4113.4083541411073</v>
      </c>
      <c r="AG151" s="206">
        <v>102835.2088535277</v>
      </c>
      <c r="AH151" s="110"/>
      <c r="AI151" s="393"/>
    </row>
    <row r="152" spans="1:35" hidden="1" x14ac:dyDescent="0.3">
      <c r="A152" s="145">
        <v>45266</v>
      </c>
      <c r="B152" s="189">
        <v>151</v>
      </c>
      <c r="C152" s="8" t="s">
        <v>544</v>
      </c>
      <c r="D152" s="35" t="s">
        <v>596</v>
      </c>
      <c r="E152" s="2" t="s">
        <v>589</v>
      </c>
      <c r="F152" s="2" t="s">
        <v>585</v>
      </c>
      <c r="G152" s="2" t="s">
        <v>566</v>
      </c>
      <c r="H152" s="14" t="s">
        <v>153</v>
      </c>
      <c r="I152" s="2" t="s">
        <v>527</v>
      </c>
      <c r="J152" s="15" t="s">
        <v>550</v>
      </c>
      <c r="K152" s="2" t="s">
        <v>532</v>
      </c>
      <c r="L152" s="2" t="s">
        <v>608</v>
      </c>
      <c r="M152" s="2" t="s">
        <v>531</v>
      </c>
      <c r="N152" s="2" t="s">
        <v>531</v>
      </c>
      <c r="O152" s="2" t="s">
        <v>514</v>
      </c>
      <c r="P152" s="2" t="s">
        <v>573</v>
      </c>
      <c r="Q152" s="67" t="s">
        <v>498</v>
      </c>
      <c r="R152" s="110" t="s">
        <v>519</v>
      </c>
      <c r="S152" s="172">
        <v>100</v>
      </c>
      <c r="T152" s="165">
        <v>25</v>
      </c>
      <c r="U152" s="67" t="s">
        <v>0</v>
      </c>
      <c r="V152" s="165" t="s">
        <v>0</v>
      </c>
      <c r="W152" s="208">
        <v>1196.58671458153</v>
      </c>
      <c r="X152" s="165">
        <v>50</v>
      </c>
      <c r="Y152" s="195">
        <v>2</v>
      </c>
      <c r="Z152" s="208">
        <v>8.1367896591544048E-4</v>
      </c>
      <c r="AA152" s="264">
        <v>2.0341974147886011E-2</v>
      </c>
      <c r="AB152" s="208">
        <v>5.7658694939651989E-5</v>
      </c>
      <c r="AC152" s="201">
        <v>29.47640286162645</v>
      </c>
      <c r="AD152" s="201">
        <v>0.12185669091693177</v>
      </c>
      <c r="AE152" s="265">
        <v>7.035399330344759E-2</v>
      </c>
      <c r="AF152" s="208">
        <v>1120.0307970611116</v>
      </c>
      <c r="AG152" s="206">
        <v>28000.769926527784</v>
      </c>
      <c r="AH152" s="110"/>
      <c r="AI152" s="393"/>
    </row>
    <row r="153" spans="1:35" hidden="1" x14ac:dyDescent="0.3">
      <c r="A153" s="145">
        <v>45266</v>
      </c>
      <c r="B153" s="189">
        <v>152</v>
      </c>
      <c r="C153" s="8" t="s">
        <v>544</v>
      </c>
      <c r="D153" s="35" t="s">
        <v>596</v>
      </c>
      <c r="E153" s="2" t="s">
        <v>589</v>
      </c>
      <c r="F153" s="2" t="s">
        <v>585</v>
      </c>
      <c r="G153" s="2" t="s">
        <v>566</v>
      </c>
      <c r="H153" s="14" t="s">
        <v>154</v>
      </c>
      <c r="I153" s="2" t="s">
        <v>527</v>
      </c>
      <c r="J153" s="12" t="s">
        <v>551</v>
      </c>
      <c r="K153" s="2" t="s">
        <v>532</v>
      </c>
      <c r="L153" s="2" t="s">
        <v>608</v>
      </c>
      <c r="M153" s="2" t="s">
        <v>531</v>
      </c>
      <c r="N153" s="2" t="s">
        <v>531</v>
      </c>
      <c r="O153" s="2" t="s">
        <v>514</v>
      </c>
      <c r="P153" s="2" t="s">
        <v>573</v>
      </c>
      <c r="Q153" s="67" t="s">
        <v>496</v>
      </c>
      <c r="R153" s="110" t="s">
        <v>519</v>
      </c>
      <c r="S153" s="172">
        <v>100</v>
      </c>
      <c r="T153" s="165">
        <v>25</v>
      </c>
      <c r="U153" s="67" t="s">
        <v>0</v>
      </c>
      <c r="V153" s="165" t="s">
        <v>0</v>
      </c>
      <c r="W153" s="208">
        <v>1971.6124775020924</v>
      </c>
      <c r="X153" s="165">
        <v>50</v>
      </c>
      <c r="Y153" s="195">
        <v>2</v>
      </c>
      <c r="Z153" s="208">
        <v>1.3406964847014228E-3</v>
      </c>
      <c r="AA153" s="264">
        <v>3.3517412117535568E-2</v>
      </c>
      <c r="AB153" s="208">
        <v>5.361653514428017E-5</v>
      </c>
      <c r="AC153" s="201">
        <v>28.633990912701197</v>
      </c>
      <c r="AD153" s="201">
        <v>6.797700130880302E-2</v>
      </c>
      <c r="AE153" s="265">
        <v>3.9246540004340968E-2</v>
      </c>
      <c r="AF153" s="208">
        <v>1845.4715130650397</v>
      </c>
      <c r="AG153" s="206">
        <v>46136.787826625994</v>
      </c>
      <c r="AH153" s="110"/>
      <c r="AI153" s="393"/>
    </row>
    <row r="154" spans="1:35" hidden="1" x14ac:dyDescent="0.3">
      <c r="A154" s="145">
        <v>45266</v>
      </c>
      <c r="B154" s="189">
        <v>153</v>
      </c>
      <c r="C154" s="8" t="s">
        <v>544</v>
      </c>
      <c r="D154" s="35" t="s">
        <v>596</v>
      </c>
      <c r="E154" s="2" t="s">
        <v>589</v>
      </c>
      <c r="F154" s="2" t="s">
        <v>585</v>
      </c>
      <c r="G154" s="2" t="s">
        <v>566</v>
      </c>
      <c r="H154" s="14" t="s">
        <v>155</v>
      </c>
      <c r="I154" s="2" t="s">
        <v>527</v>
      </c>
      <c r="J154" s="12" t="s">
        <v>551</v>
      </c>
      <c r="K154" s="2" t="s">
        <v>532</v>
      </c>
      <c r="L154" s="2" t="s">
        <v>608</v>
      </c>
      <c r="M154" s="2" t="s">
        <v>531</v>
      </c>
      <c r="N154" s="2" t="s">
        <v>531</v>
      </c>
      <c r="O154" s="2" t="s">
        <v>514</v>
      </c>
      <c r="P154" s="2" t="s">
        <v>573</v>
      </c>
      <c r="Q154" s="67" t="s">
        <v>497</v>
      </c>
      <c r="R154" s="110" t="s">
        <v>519</v>
      </c>
      <c r="S154" s="172">
        <v>100</v>
      </c>
      <c r="T154" s="165">
        <v>25</v>
      </c>
      <c r="U154" s="67" t="s">
        <v>0</v>
      </c>
      <c r="V154" s="165" t="s">
        <v>0</v>
      </c>
      <c r="W154" s="208">
        <v>1441.5332871883741</v>
      </c>
      <c r="X154" s="165">
        <v>50</v>
      </c>
      <c r="Y154" s="195">
        <v>2</v>
      </c>
      <c r="Z154" s="208">
        <v>9.8024263528809436E-4</v>
      </c>
      <c r="AA154" s="264">
        <v>2.450606588220236E-2</v>
      </c>
      <c r="AB154" s="208">
        <v>3.0178720198568309E-4</v>
      </c>
      <c r="AC154" s="201">
        <v>29.221323378680921</v>
      </c>
      <c r="AD154" s="201">
        <v>0.57495310296891777</v>
      </c>
      <c r="AE154" s="265">
        <v>0.33194932877051531</v>
      </c>
      <c r="AF154" s="208">
        <v>1349.3060360480124</v>
      </c>
      <c r="AG154" s="206">
        <v>33732.650901200308</v>
      </c>
      <c r="AH154" s="110"/>
      <c r="AI154" s="393"/>
    </row>
    <row r="155" spans="1:35" hidden="1" x14ac:dyDescent="0.3">
      <c r="A155" s="145">
        <v>45266</v>
      </c>
      <c r="B155" s="189">
        <v>154</v>
      </c>
      <c r="C155" s="8" t="s">
        <v>544</v>
      </c>
      <c r="D155" s="35" t="s">
        <v>596</v>
      </c>
      <c r="E155" s="2" t="s">
        <v>589</v>
      </c>
      <c r="F155" s="2" t="s">
        <v>585</v>
      </c>
      <c r="G155" s="2" t="s">
        <v>566</v>
      </c>
      <c r="H155" s="14" t="s">
        <v>156</v>
      </c>
      <c r="I155" s="2" t="s">
        <v>527</v>
      </c>
      <c r="J155" s="12" t="s">
        <v>551</v>
      </c>
      <c r="K155" s="2" t="s">
        <v>532</v>
      </c>
      <c r="L155" s="2" t="s">
        <v>608</v>
      </c>
      <c r="M155" s="2" t="s">
        <v>531</v>
      </c>
      <c r="N155" s="2" t="s">
        <v>531</v>
      </c>
      <c r="O155" s="2" t="s">
        <v>514</v>
      </c>
      <c r="P155" s="2" t="s">
        <v>573</v>
      </c>
      <c r="Q155" s="67" t="s">
        <v>498</v>
      </c>
      <c r="R155" s="110" t="s">
        <v>519</v>
      </c>
      <c r="S155" s="172">
        <v>100</v>
      </c>
      <c r="T155" s="165">
        <v>25</v>
      </c>
      <c r="U155" s="67" t="s">
        <v>0</v>
      </c>
      <c r="V155" s="165" t="s">
        <v>0</v>
      </c>
      <c r="W155" s="208">
        <v>13992.739598668595</v>
      </c>
      <c r="X155" s="165">
        <v>50</v>
      </c>
      <c r="Y155" s="195">
        <v>2</v>
      </c>
      <c r="Z155" s="208">
        <v>9.5150629270946436E-3</v>
      </c>
      <c r="AA155" s="264">
        <v>0.2378765731773661</v>
      </c>
      <c r="AB155" s="208">
        <v>9.2893292182494292E-4</v>
      </c>
      <c r="AC155" s="201">
        <v>25.340226722790078</v>
      </c>
      <c r="AD155" s="201">
        <v>0.16016292617272504</v>
      </c>
      <c r="AE155" s="265">
        <v>9.2470108540020968E-2</v>
      </c>
      <c r="AF155" s="208">
        <v>13097.504004334758</v>
      </c>
      <c r="AG155" s="206">
        <v>327437.60010836896</v>
      </c>
      <c r="AH155" s="110"/>
      <c r="AI155" s="393"/>
    </row>
    <row r="156" spans="1:35" hidden="1" x14ac:dyDescent="0.3">
      <c r="A156" s="145">
        <v>45266</v>
      </c>
      <c r="B156" s="189">
        <v>155</v>
      </c>
      <c r="C156" s="8" t="s">
        <v>544</v>
      </c>
      <c r="D156" s="35" t="s">
        <v>596</v>
      </c>
      <c r="E156" s="2" t="s">
        <v>589</v>
      </c>
      <c r="F156" s="2" t="s">
        <v>585</v>
      </c>
      <c r="G156" s="2" t="s">
        <v>566</v>
      </c>
      <c r="H156" s="14" t="s">
        <v>157</v>
      </c>
      <c r="I156" s="2" t="s">
        <v>525</v>
      </c>
      <c r="J156" s="15" t="s">
        <v>550</v>
      </c>
      <c r="K156" s="2" t="s">
        <v>531</v>
      </c>
      <c r="L156" s="2" t="s">
        <v>533</v>
      </c>
      <c r="M156" s="2" t="s">
        <v>532</v>
      </c>
      <c r="N156" s="2" t="s">
        <v>531</v>
      </c>
      <c r="O156" s="2" t="s">
        <v>514</v>
      </c>
      <c r="P156" s="2" t="s">
        <v>573</v>
      </c>
      <c r="Q156" s="67" t="s">
        <v>0</v>
      </c>
      <c r="R156" s="110" t="s">
        <v>519</v>
      </c>
      <c r="S156" s="172">
        <v>100</v>
      </c>
      <c r="T156" s="165" t="s">
        <v>0</v>
      </c>
      <c r="U156" s="67" t="s">
        <v>0</v>
      </c>
      <c r="V156" s="165" t="s">
        <v>0</v>
      </c>
      <c r="W156" s="238">
        <v>1312.8541942386018</v>
      </c>
      <c r="X156" s="165">
        <v>50</v>
      </c>
      <c r="Y156" s="195">
        <v>2</v>
      </c>
      <c r="Z156" s="208">
        <v>8.9274085208224932E-4</v>
      </c>
      <c r="AA156" s="264">
        <v>2.2318521302056232E-2</v>
      </c>
      <c r="AB156" s="208">
        <v>2.2732777130519833E-4</v>
      </c>
      <c r="AC156" s="201">
        <v>29.353602119847693</v>
      </c>
      <c r="AD156" s="201">
        <v>0.42657607873620684</v>
      </c>
      <c r="AE156" s="265">
        <v>0.24628381388820403</v>
      </c>
      <c r="AF156" s="208">
        <v>1228.8596485983262</v>
      </c>
      <c r="AG156" s="384">
        <v>30721.491214958151</v>
      </c>
      <c r="AH156" s="402"/>
      <c r="AI156" s="393"/>
    </row>
    <row r="157" spans="1:35" hidden="1" x14ac:dyDescent="0.3">
      <c r="A157" s="145">
        <v>45266</v>
      </c>
      <c r="B157" s="189">
        <v>156</v>
      </c>
      <c r="C157" s="8" t="s">
        <v>544</v>
      </c>
      <c r="D157" s="35" t="s">
        <v>596</v>
      </c>
      <c r="E157" s="2" t="s">
        <v>589</v>
      </c>
      <c r="F157" s="2" t="s">
        <v>585</v>
      </c>
      <c r="G157" s="2" t="s">
        <v>566</v>
      </c>
      <c r="H157" s="333" t="s">
        <v>158</v>
      </c>
      <c r="I157" s="2" t="s">
        <v>525</v>
      </c>
      <c r="J157" s="12" t="s">
        <v>551</v>
      </c>
      <c r="K157" s="2" t="s">
        <v>531</v>
      </c>
      <c r="L157" s="2" t="s">
        <v>533</v>
      </c>
      <c r="M157" s="2" t="s">
        <v>532</v>
      </c>
      <c r="N157" s="2" t="s">
        <v>531</v>
      </c>
      <c r="O157" s="2" t="s">
        <v>514</v>
      </c>
      <c r="P157" s="2" t="s">
        <v>574</v>
      </c>
      <c r="Q157" s="67" t="s">
        <v>0</v>
      </c>
      <c r="R157" s="110" t="s">
        <v>519</v>
      </c>
      <c r="S157" s="172">
        <v>100</v>
      </c>
      <c r="T157" s="165" t="s">
        <v>0</v>
      </c>
      <c r="U157" s="67" t="s">
        <v>0</v>
      </c>
      <c r="V157" s="165" t="s">
        <v>0</v>
      </c>
      <c r="W157" s="208">
        <v>18.208154961480155</v>
      </c>
      <c r="X157" s="165">
        <v>50</v>
      </c>
      <c r="Y157" s="195">
        <v>2</v>
      </c>
      <c r="Z157" s="208">
        <v>1.2381545373806507E-5</v>
      </c>
      <c r="AA157" s="264">
        <v>3.0953863434516265E-4</v>
      </c>
      <c r="AB157" s="208">
        <v>2.3794155734732463E-6</v>
      </c>
      <c r="AC157" s="201">
        <v>36.537142106536514</v>
      </c>
      <c r="AD157" s="201">
        <v>0.31428870994560176</v>
      </c>
      <c r="AE157" s="265">
        <v>0.18145467129035339</v>
      </c>
      <c r="AF157" s="208">
        <v>17.043223082792565</v>
      </c>
      <c r="AG157" s="206">
        <v>426.08057706981407</v>
      </c>
      <c r="AH157" s="110"/>
      <c r="AI157" s="393"/>
    </row>
    <row r="158" spans="1:35" hidden="1" x14ac:dyDescent="0.3">
      <c r="A158" s="145">
        <v>45266</v>
      </c>
      <c r="B158" s="188">
        <v>157</v>
      </c>
      <c r="C158" s="8" t="s">
        <v>544</v>
      </c>
      <c r="D158" s="35" t="s">
        <v>596</v>
      </c>
      <c r="E158" s="2" t="s">
        <v>589</v>
      </c>
      <c r="F158" s="2" t="s">
        <v>585</v>
      </c>
      <c r="G158" s="2" t="s">
        <v>566</v>
      </c>
      <c r="H158" s="14" t="s">
        <v>159</v>
      </c>
      <c r="I158" s="2" t="s">
        <v>520</v>
      </c>
      <c r="J158" s="9" t="s">
        <v>0</v>
      </c>
      <c r="K158" s="2" t="s">
        <v>531</v>
      </c>
      <c r="L158" s="2" t="s">
        <v>530</v>
      </c>
      <c r="M158" s="2" t="s">
        <v>531</v>
      </c>
      <c r="N158" s="2" t="s">
        <v>531</v>
      </c>
      <c r="O158" s="2" t="s">
        <v>514</v>
      </c>
      <c r="P158" s="2" t="s">
        <v>573</v>
      </c>
      <c r="Q158" s="67" t="s">
        <v>0</v>
      </c>
      <c r="R158" s="110" t="s">
        <v>519</v>
      </c>
      <c r="S158" s="172">
        <v>100</v>
      </c>
      <c r="T158" s="165" t="s">
        <v>0</v>
      </c>
      <c r="U158" s="67" t="s">
        <v>0</v>
      </c>
      <c r="V158" s="165" t="s">
        <v>0</v>
      </c>
      <c r="W158" s="208">
        <v>63.282782827196584</v>
      </c>
      <c r="X158" s="165">
        <v>50</v>
      </c>
      <c r="Y158" s="195">
        <v>2</v>
      </c>
      <c r="Z158" s="208">
        <v>4.3032292322493676E-5</v>
      </c>
      <c r="AA158" s="264">
        <v>1.0758073080623419E-3</v>
      </c>
      <c r="AB158" s="208">
        <v>1.6386641286816651E-5</v>
      </c>
      <c r="AC158" s="201">
        <v>34.494815890014443</v>
      </c>
      <c r="AD158" s="201">
        <v>0.59548925157358712</v>
      </c>
      <c r="AE158" s="265">
        <v>0.34380587969553933</v>
      </c>
      <c r="AF158" s="208">
        <v>59.234040313557948</v>
      </c>
      <c r="AG158" s="206">
        <v>1480.8510078389486</v>
      </c>
      <c r="AH158" s="110">
        <v>2</v>
      </c>
      <c r="AI158" s="393" t="s">
        <v>619</v>
      </c>
    </row>
    <row r="159" spans="1:35" hidden="1" x14ac:dyDescent="0.3">
      <c r="A159" s="145">
        <v>45266</v>
      </c>
      <c r="B159" s="189">
        <v>158</v>
      </c>
      <c r="C159" s="8" t="s">
        <v>544</v>
      </c>
      <c r="D159" s="35" t="s">
        <v>596</v>
      </c>
      <c r="E159" s="2" t="s">
        <v>589</v>
      </c>
      <c r="F159" s="2" t="s">
        <v>585</v>
      </c>
      <c r="G159" s="65" t="s">
        <v>566</v>
      </c>
      <c r="H159" s="14" t="s">
        <v>160</v>
      </c>
      <c r="I159" s="67" t="s">
        <v>517</v>
      </c>
      <c r="J159" s="9" t="s">
        <v>0</v>
      </c>
      <c r="K159" s="2" t="s">
        <v>531</v>
      </c>
      <c r="L159" s="2" t="s">
        <v>593</v>
      </c>
      <c r="M159" s="67" t="s">
        <v>531</v>
      </c>
      <c r="N159" s="67" t="s">
        <v>531</v>
      </c>
      <c r="O159" s="67" t="s">
        <v>514</v>
      </c>
      <c r="P159" s="65" t="s">
        <v>573</v>
      </c>
      <c r="Q159" s="67" t="s">
        <v>0</v>
      </c>
      <c r="R159" s="110" t="s">
        <v>519</v>
      </c>
      <c r="S159" s="172">
        <v>100</v>
      </c>
      <c r="T159" s="165" t="s">
        <v>0</v>
      </c>
      <c r="U159" s="67" t="s">
        <v>576</v>
      </c>
      <c r="V159" s="360">
        <v>2000000</v>
      </c>
      <c r="W159" s="208">
        <v>6356677.1784993522</v>
      </c>
      <c r="X159" s="165">
        <v>50</v>
      </c>
      <c r="Y159" s="195">
        <v>2</v>
      </c>
      <c r="Z159" s="208">
        <v>4.3225404813795594</v>
      </c>
      <c r="AA159" s="264">
        <v>108.06351203448898</v>
      </c>
      <c r="AB159" s="208">
        <v>0.19571220606669706</v>
      </c>
      <c r="AC159" s="201">
        <v>15.03878101923228</v>
      </c>
      <c r="AD159" s="201">
        <v>7.5372282556560671E-2</v>
      </c>
      <c r="AE159" s="265">
        <v>4.3516207623466842E-2</v>
      </c>
      <c r="AF159" s="208">
        <v>5949986.0061413916</v>
      </c>
      <c r="AG159" s="206">
        <v>148749650.15353477</v>
      </c>
      <c r="AH159" s="110"/>
      <c r="AI159" s="393"/>
    </row>
    <row r="160" spans="1:35" hidden="1" x14ac:dyDescent="0.3">
      <c r="A160" s="145">
        <v>45266</v>
      </c>
      <c r="B160" s="189">
        <v>159</v>
      </c>
      <c r="C160" s="8" t="s">
        <v>544</v>
      </c>
      <c r="D160" s="35" t="s">
        <v>596</v>
      </c>
      <c r="E160" s="2" t="s">
        <v>589</v>
      </c>
      <c r="F160" s="2" t="s">
        <v>585</v>
      </c>
      <c r="G160" s="65" t="s">
        <v>566</v>
      </c>
      <c r="H160" s="14" t="s">
        <v>161</v>
      </c>
      <c r="I160" s="67" t="s">
        <v>517</v>
      </c>
      <c r="J160" s="9" t="s">
        <v>0</v>
      </c>
      <c r="K160" s="2" t="s">
        <v>531</v>
      </c>
      <c r="L160" s="2" t="s">
        <v>593</v>
      </c>
      <c r="M160" s="67" t="s">
        <v>531</v>
      </c>
      <c r="N160" s="67" t="s">
        <v>531</v>
      </c>
      <c r="O160" s="67" t="s">
        <v>514</v>
      </c>
      <c r="P160" s="65" t="s">
        <v>574</v>
      </c>
      <c r="Q160" s="67" t="s">
        <v>0</v>
      </c>
      <c r="R160" s="110" t="s">
        <v>519</v>
      </c>
      <c r="S160" s="172">
        <v>100</v>
      </c>
      <c r="T160" s="165" t="s">
        <v>0</v>
      </c>
      <c r="U160" s="67" t="s">
        <v>576</v>
      </c>
      <c r="V160" s="360">
        <v>2000000</v>
      </c>
      <c r="W160" s="208">
        <v>7462506.3901337478</v>
      </c>
      <c r="X160" s="165">
        <v>50</v>
      </c>
      <c r="Y160" s="195">
        <v>2</v>
      </c>
      <c r="Z160" s="208">
        <v>5.0745043452909488</v>
      </c>
      <c r="AA160" s="264">
        <v>126.86260863227372</v>
      </c>
      <c r="AB160" s="208">
        <v>0.22625783574915023</v>
      </c>
      <c r="AC160" s="201">
        <v>14.768847971425208</v>
      </c>
      <c r="AD160" s="201">
        <v>7.5218212947691265E-2</v>
      </c>
      <c r="AE160" s="265">
        <v>4.3427255493312146E-2</v>
      </c>
      <c r="AF160" s="208">
        <v>6985065.8363177469</v>
      </c>
      <c r="AG160" s="206">
        <v>174626645.90794367</v>
      </c>
      <c r="AH160" s="110"/>
      <c r="AI160" s="393"/>
    </row>
    <row r="161" spans="1:35" hidden="1" x14ac:dyDescent="0.3">
      <c r="A161" s="145">
        <v>45266</v>
      </c>
      <c r="B161" s="189">
        <v>160</v>
      </c>
      <c r="C161" s="8" t="s">
        <v>544</v>
      </c>
      <c r="D161" s="316" t="s">
        <v>0</v>
      </c>
      <c r="E161" s="315" t="s">
        <v>0</v>
      </c>
      <c r="F161" s="315" t="s">
        <v>0</v>
      </c>
      <c r="G161" s="2" t="s">
        <v>566</v>
      </c>
      <c r="H161" s="14" t="s">
        <v>162</v>
      </c>
      <c r="I161" s="2" t="s">
        <v>521</v>
      </c>
      <c r="J161" s="9" t="s">
        <v>0</v>
      </c>
      <c r="K161" s="2" t="s">
        <v>531</v>
      </c>
      <c r="L161" s="2" t="s">
        <v>521</v>
      </c>
      <c r="M161" s="2" t="s">
        <v>532</v>
      </c>
      <c r="N161" s="2" t="s">
        <v>531</v>
      </c>
      <c r="O161" s="2" t="s">
        <v>514</v>
      </c>
      <c r="P161" s="2" t="s">
        <v>573</v>
      </c>
      <c r="Q161" s="67" t="s">
        <v>0</v>
      </c>
      <c r="R161" s="110" t="s">
        <v>0</v>
      </c>
      <c r="S161" s="172">
        <v>100</v>
      </c>
      <c r="T161" s="165" t="s">
        <v>0</v>
      </c>
      <c r="U161" s="67" t="s">
        <v>0</v>
      </c>
      <c r="V161" s="165" t="s">
        <v>0</v>
      </c>
      <c r="W161" s="208">
        <v>14.891697467191127</v>
      </c>
      <c r="X161" s="165">
        <v>50</v>
      </c>
      <c r="Y161" s="195">
        <v>2</v>
      </c>
      <c r="Z161" s="208">
        <v>1.0126354277689966E-5</v>
      </c>
      <c r="AA161" s="264">
        <v>2.5315885694224917E-4</v>
      </c>
      <c r="AB161" s="208">
        <v>4.5441402367203686E-6</v>
      </c>
      <c r="AC161" s="201">
        <v>36.990894962968703</v>
      </c>
      <c r="AD161" s="201">
        <v>0.86344406328702539</v>
      </c>
      <c r="AE161" s="265">
        <v>0.49850966236894839</v>
      </c>
      <c r="AF161" s="208">
        <v>13.938947825945103</v>
      </c>
      <c r="AG161" s="206">
        <v>348.47369564862754</v>
      </c>
      <c r="AH161" s="110">
        <v>2</v>
      </c>
      <c r="AI161" s="394" t="s">
        <v>620</v>
      </c>
    </row>
    <row r="162" spans="1:35" ht="16.2" hidden="1" thickBot="1" x14ac:dyDescent="0.35">
      <c r="A162" s="146">
        <v>45266</v>
      </c>
      <c r="B162" s="190">
        <v>161</v>
      </c>
      <c r="C162" s="37" t="s">
        <v>544</v>
      </c>
      <c r="D162" s="317" t="s">
        <v>0</v>
      </c>
      <c r="E162" s="318" t="s">
        <v>0</v>
      </c>
      <c r="F162" s="318" t="s">
        <v>0</v>
      </c>
      <c r="G162" s="4" t="s">
        <v>566</v>
      </c>
      <c r="H162" s="327" t="s">
        <v>163</v>
      </c>
      <c r="I162" s="4" t="s">
        <v>521</v>
      </c>
      <c r="J162" s="40" t="s">
        <v>0</v>
      </c>
      <c r="K162" s="4" t="s">
        <v>531</v>
      </c>
      <c r="L162" s="4" t="s">
        <v>521</v>
      </c>
      <c r="M162" s="4" t="s">
        <v>532</v>
      </c>
      <c r="N162" s="4" t="s">
        <v>531</v>
      </c>
      <c r="O162" s="4" t="s">
        <v>514</v>
      </c>
      <c r="P162" s="4" t="s">
        <v>574</v>
      </c>
      <c r="Q162" s="91" t="s">
        <v>0</v>
      </c>
      <c r="R162" s="111" t="s">
        <v>0</v>
      </c>
      <c r="S162" s="179">
        <v>100</v>
      </c>
      <c r="T162" s="169" t="s">
        <v>0</v>
      </c>
      <c r="U162" s="91" t="s">
        <v>0</v>
      </c>
      <c r="V162" s="169" t="s">
        <v>0</v>
      </c>
      <c r="W162" s="211">
        <v>12.288768140123286</v>
      </c>
      <c r="X162" s="169">
        <v>50</v>
      </c>
      <c r="Y162" s="205">
        <v>2</v>
      </c>
      <c r="Z162" s="211">
        <v>8.3563623352838344E-6</v>
      </c>
      <c r="AA162" s="262">
        <v>2.0890905838209586E-4</v>
      </c>
      <c r="AB162" s="211">
        <v>4.8487077262435933E-6</v>
      </c>
      <c r="AC162" s="203">
        <v>37.47428762024385</v>
      </c>
      <c r="AD162" s="203">
        <v>1.3505753669879852</v>
      </c>
      <c r="AE162" s="268">
        <v>0.77975505169139092</v>
      </c>
      <c r="AF162" s="211">
        <v>11.502550218180341</v>
      </c>
      <c r="AG162" s="248">
        <v>287.56375545450857</v>
      </c>
      <c r="AH162" s="111">
        <v>2</v>
      </c>
      <c r="AI162" s="405" t="s">
        <v>620</v>
      </c>
    </row>
    <row r="163" spans="1:35" hidden="1" x14ac:dyDescent="0.3">
      <c r="A163" s="144">
        <v>45271</v>
      </c>
      <c r="B163" s="188">
        <v>162</v>
      </c>
      <c r="C163" s="77" t="s">
        <v>544</v>
      </c>
      <c r="D163" s="76" t="s">
        <v>552</v>
      </c>
      <c r="E163" s="75" t="s">
        <v>588</v>
      </c>
      <c r="F163" s="75" t="s">
        <v>584</v>
      </c>
      <c r="G163" s="75" t="s">
        <v>567</v>
      </c>
      <c r="H163" s="131" t="s">
        <v>164</v>
      </c>
      <c r="I163" s="75" t="s">
        <v>527</v>
      </c>
      <c r="J163" s="45" t="s">
        <v>550</v>
      </c>
      <c r="K163" s="75" t="s">
        <v>532</v>
      </c>
      <c r="L163" s="75" t="s">
        <v>608</v>
      </c>
      <c r="M163" s="75" t="s">
        <v>531</v>
      </c>
      <c r="N163" s="75" t="s">
        <v>531</v>
      </c>
      <c r="O163" s="75" t="s">
        <v>571</v>
      </c>
      <c r="P163" s="75" t="s">
        <v>573</v>
      </c>
      <c r="Q163" s="89" t="s">
        <v>496</v>
      </c>
      <c r="R163" s="117" t="s">
        <v>519</v>
      </c>
      <c r="S163" s="173">
        <v>100</v>
      </c>
      <c r="T163" s="164">
        <v>25</v>
      </c>
      <c r="U163" s="72" t="s">
        <v>0</v>
      </c>
      <c r="V163" s="164" t="s">
        <v>0</v>
      </c>
      <c r="W163" s="209">
        <v>497.15317085759165</v>
      </c>
      <c r="X163" s="164">
        <v>50</v>
      </c>
      <c r="Y163" s="194">
        <v>2</v>
      </c>
      <c r="Z163" s="209">
        <v>3.3806415618316233E-4</v>
      </c>
      <c r="AA163" s="264">
        <v>8.4516039045790577E-3</v>
      </c>
      <c r="AB163" s="209">
        <v>4.3601416924273705E-6</v>
      </c>
      <c r="AC163" s="220">
        <v>29.484300000000001</v>
      </c>
      <c r="AD163" s="201">
        <v>2.0660000000000001E-2</v>
      </c>
      <c r="AE163" s="265">
        <v>1.193E-2</v>
      </c>
      <c r="AF163" s="209">
        <v>465.34601749428634</v>
      </c>
      <c r="AG163" s="206">
        <v>11633.650437357159</v>
      </c>
      <c r="AH163" s="117" t="s">
        <v>659</v>
      </c>
      <c r="AI163" s="404" t="s">
        <v>639</v>
      </c>
    </row>
    <row r="164" spans="1:35" hidden="1" x14ac:dyDescent="0.3">
      <c r="A164" s="145">
        <v>45271</v>
      </c>
      <c r="B164" s="189">
        <v>163</v>
      </c>
      <c r="C164" s="11" t="s">
        <v>544</v>
      </c>
      <c r="D164" s="10" t="s">
        <v>552</v>
      </c>
      <c r="E164" s="2" t="s">
        <v>588</v>
      </c>
      <c r="F164" s="2" t="s">
        <v>584</v>
      </c>
      <c r="G164" s="2" t="s">
        <v>567</v>
      </c>
      <c r="H164" s="14" t="s">
        <v>165</v>
      </c>
      <c r="I164" s="2" t="s">
        <v>527</v>
      </c>
      <c r="J164" s="15" t="s">
        <v>550</v>
      </c>
      <c r="K164" s="2" t="s">
        <v>532</v>
      </c>
      <c r="L164" s="2" t="s">
        <v>608</v>
      </c>
      <c r="M164" s="2" t="s">
        <v>531</v>
      </c>
      <c r="N164" s="2" t="s">
        <v>531</v>
      </c>
      <c r="O164" s="2" t="s">
        <v>571</v>
      </c>
      <c r="P164" s="2" t="s">
        <v>573</v>
      </c>
      <c r="Q164" s="67" t="s">
        <v>497</v>
      </c>
      <c r="R164" s="110" t="s">
        <v>519</v>
      </c>
      <c r="S164" s="172">
        <v>100</v>
      </c>
      <c r="T164" s="165">
        <v>25</v>
      </c>
      <c r="U164" s="67" t="s">
        <v>0</v>
      </c>
      <c r="V164" s="165" t="s">
        <v>0</v>
      </c>
      <c r="W164" s="208">
        <v>720.66040978847525</v>
      </c>
      <c r="X164" s="165">
        <v>50</v>
      </c>
      <c r="Y164" s="195">
        <v>2</v>
      </c>
      <c r="Z164" s="208">
        <v>4.9004907865616318E-4</v>
      </c>
      <c r="AA164" s="264">
        <v>1.2251226966404079E-2</v>
      </c>
      <c r="AB164" s="208">
        <v>4.4655609264168249E-5</v>
      </c>
      <c r="AC164" s="201">
        <v>28.892800000000001</v>
      </c>
      <c r="AD164" s="201">
        <v>0.14788999999999999</v>
      </c>
      <c r="AE164" s="265">
        <v>8.5379999999999998E-2</v>
      </c>
      <c r="AF164" s="208">
        <v>674.55358090621417</v>
      </c>
      <c r="AG164" s="206">
        <v>16863.839522655355</v>
      </c>
      <c r="AH164" s="117" t="s">
        <v>659</v>
      </c>
      <c r="AI164" s="393" t="s">
        <v>639</v>
      </c>
    </row>
    <row r="165" spans="1:35" hidden="1" x14ac:dyDescent="0.3">
      <c r="A165" s="145">
        <v>45271</v>
      </c>
      <c r="B165" s="189">
        <v>164</v>
      </c>
      <c r="C165" s="11" t="s">
        <v>544</v>
      </c>
      <c r="D165" s="10" t="s">
        <v>552</v>
      </c>
      <c r="E165" s="2" t="s">
        <v>588</v>
      </c>
      <c r="F165" s="2" t="s">
        <v>584</v>
      </c>
      <c r="G165" s="2" t="s">
        <v>567</v>
      </c>
      <c r="H165" s="14" t="s">
        <v>166</v>
      </c>
      <c r="I165" s="2" t="s">
        <v>527</v>
      </c>
      <c r="J165" s="15" t="s">
        <v>550</v>
      </c>
      <c r="K165" s="2" t="s">
        <v>532</v>
      </c>
      <c r="L165" s="2" t="s">
        <v>608</v>
      </c>
      <c r="M165" s="2" t="s">
        <v>531</v>
      </c>
      <c r="N165" s="2" t="s">
        <v>531</v>
      </c>
      <c r="O165" s="2" t="s">
        <v>571</v>
      </c>
      <c r="P165" s="2" t="s">
        <v>573</v>
      </c>
      <c r="Q165" s="67" t="s">
        <v>498</v>
      </c>
      <c r="R165" s="110" t="s">
        <v>519</v>
      </c>
      <c r="S165" s="172">
        <v>100</v>
      </c>
      <c r="T165" s="165">
        <v>25</v>
      </c>
      <c r="U165" s="67" t="s">
        <v>0</v>
      </c>
      <c r="V165" s="165" t="s">
        <v>0</v>
      </c>
      <c r="W165" s="208">
        <v>506.76801785738803</v>
      </c>
      <c r="X165" s="165">
        <v>50</v>
      </c>
      <c r="Y165" s="195">
        <v>2</v>
      </c>
      <c r="Z165" s="208">
        <v>3.4460225214302386E-4</v>
      </c>
      <c r="AA165" s="264">
        <v>8.6150563035755964E-3</v>
      </c>
      <c r="AB165" s="208">
        <v>2.3672786544456268E-5</v>
      </c>
      <c r="AC165" s="201">
        <v>29.456</v>
      </c>
      <c r="AD165" s="201">
        <v>0.11196</v>
      </c>
      <c r="AE165" s="265">
        <v>6.4640000000000003E-2</v>
      </c>
      <c r="AF165" s="208">
        <v>474.34572024676811</v>
      </c>
      <c r="AG165" s="206">
        <v>11858.643006169204</v>
      </c>
      <c r="AH165" s="117" t="s">
        <v>659</v>
      </c>
      <c r="AI165" s="393" t="s">
        <v>639</v>
      </c>
    </row>
    <row r="166" spans="1:35" hidden="1" x14ac:dyDescent="0.3">
      <c r="A166" s="145">
        <v>45271</v>
      </c>
      <c r="B166" s="189">
        <v>165</v>
      </c>
      <c r="C166" s="11" t="s">
        <v>544</v>
      </c>
      <c r="D166" s="10" t="s">
        <v>552</v>
      </c>
      <c r="E166" s="2" t="s">
        <v>588</v>
      </c>
      <c r="F166" s="2" t="s">
        <v>584</v>
      </c>
      <c r="G166" s="2" t="s">
        <v>567</v>
      </c>
      <c r="H166" s="14" t="s">
        <v>167</v>
      </c>
      <c r="I166" s="2" t="s">
        <v>527</v>
      </c>
      <c r="J166" s="15" t="s">
        <v>550</v>
      </c>
      <c r="K166" s="2" t="s">
        <v>532</v>
      </c>
      <c r="L166" s="2" t="s">
        <v>608</v>
      </c>
      <c r="M166" s="2" t="s">
        <v>531</v>
      </c>
      <c r="N166" s="2" t="s">
        <v>531</v>
      </c>
      <c r="O166" s="2" t="s">
        <v>571</v>
      </c>
      <c r="P166" s="2" t="s">
        <v>573</v>
      </c>
      <c r="Q166" s="67" t="s">
        <v>499</v>
      </c>
      <c r="R166" s="110" t="s">
        <v>519</v>
      </c>
      <c r="S166" s="172">
        <v>100</v>
      </c>
      <c r="T166" s="165">
        <v>25</v>
      </c>
      <c r="U166" s="67" t="s">
        <v>0</v>
      </c>
      <c r="V166" s="165" t="s">
        <v>0</v>
      </c>
      <c r="W166" s="208">
        <v>1410.5103773122657</v>
      </c>
      <c r="X166" s="165">
        <v>50</v>
      </c>
      <c r="Y166" s="195">
        <v>2</v>
      </c>
      <c r="Z166" s="208">
        <v>9.5914705657234071E-4</v>
      </c>
      <c r="AA166" s="264">
        <v>2.3978676414308519E-2</v>
      </c>
      <c r="AB166" s="208">
        <v>5.0607025314067477E-5</v>
      </c>
      <c r="AC166" s="201">
        <v>27.812000000000001</v>
      </c>
      <c r="AD166" s="201">
        <v>8.4820000000000007E-2</v>
      </c>
      <c r="AE166" s="265">
        <v>4.897E-2</v>
      </c>
      <c r="AF166" s="208">
        <v>1320.2679278588835</v>
      </c>
      <c r="AG166" s="206">
        <v>33006.698196472091</v>
      </c>
      <c r="AH166" s="117" t="s">
        <v>659</v>
      </c>
      <c r="AI166" s="393" t="s">
        <v>639</v>
      </c>
    </row>
    <row r="167" spans="1:35" hidden="1" x14ac:dyDescent="0.3">
      <c r="A167" s="145">
        <v>45271</v>
      </c>
      <c r="B167" s="189">
        <v>166</v>
      </c>
      <c r="C167" s="11" t="s">
        <v>544</v>
      </c>
      <c r="D167" s="10" t="s">
        <v>552</v>
      </c>
      <c r="E167" s="2" t="s">
        <v>588</v>
      </c>
      <c r="F167" s="2" t="s">
        <v>584</v>
      </c>
      <c r="G167" s="2" t="s">
        <v>567</v>
      </c>
      <c r="H167" s="14" t="s">
        <v>168</v>
      </c>
      <c r="I167" s="2" t="s">
        <v>527</v>
      </c>
      <c r="J167" s="15" t="s">
        <v>550</v>
      </c>
      <c r="K167" s="2" t="s">
        <v>532</v>
      </c>
      <c r="L167" s="2" t="s">
        <v>608</v>
      </c>
      <c r="M167" s="2" t="s">
        <v>531</v>
      </c>
      <c r="N167" s="2" t="s">
        <v>531</v>
      </c>
      <c r="O167" s="2" t="s">
        <v>571</v>
      </c>
      <c r="P167" s="2" t="s">
        <v>573</v>
      </c>
      <c r="Q167" s="67" t="s">
        <v>500</v>
      </c>
      <c r="R167" s="110" t="s">
        <v>519</v>
      </c>
      <c r="S167" s="172">
        <v>100</v>
      </c>
      <c r="T167" s="165">
        <v>25</v>
      </c>
      <c r="U167" s="67" t="s">
        <v>0</v>
      </c>
      <c r="V167" s="165" t="s">
        <v>0</v>
      </c>
      <c r="W167" s="208">
        <v>871.42151901521493</v>
      </c>
      <c r="X167" s="165">
        <v>50</v>
      </c>
      <c r="Y167" s="195">
        <v>2</v>
      </c>
      <c r="Z167" s="208">
        <v>5.9256663293034615E-4</v>
      </c>
      <c r="AA167" s="264">
        <v>1.4814165823258653E-2</v>
      </c>
      <c r="AB167" s="208">
        <v>1.1104938592997549E-5</v>
      </c>
      <c r="AC167" s="201">
        <v>28.583600000000001</v>
      </c>
      <c r="AD167" s="201">
        <v>3.0200000000000001E-2</v>
      </c>
      <c r="AE167" s="265">
        <v>1.7430000000000001E-2</v>
      </c>
      <c r="AF167" s="208">
        <v>815.6692086123893</v>
      </c>
      <c r="AG167" s="206">
        <v>20391.730215309733</v>
      </c>
      <c r="AH167" s="117" t="s">
        <v>659</v>
      </c>
      <c r="AI167" s="393" t="s">
        <v>639</v>
      </c>
    </row>
    <row r="168" spans="1:35" hidden="1" x14ac:dyDescent="0.3">
      <c r="A168" s="145">
        <v>45271</v>
      </c>
      <c r="B168" s="189">
        <v>167</v>
      </c>
      <c r="C168" s="11" t="s">
        <v>544</v>
      </c>
      <c r="D168" s="10" t="s">
        <v>552</v>
      </c>
      <c r="E168" s="2" t="s">
        <v>588</v>
      </c>
      <c r="F168" s="2" t="s">
        <v>584</v>
      </c>
      <c r="G168" s="2" t="s">
        <v>567</v>
      </c>
      <c r="H168" s="14" t="s">
        <v>169</v>
      </c>
      <c r="I168" s="2" t="s">
        <v>527</v>
      </c>
      <c r="J168" s="15" t="s">
        <v>550</v>
      </c>
      <c r="K168" s="2" t="s">
        <v>532</v>
      </c>
      <c r="L168" s="2" t="s">
        <v>608</v>
      </c>
      <c r="M168" s="2" t="s">
        <v>531</v>
      </c>
      <c r="N168" s="2" t="s">
        <v>531</v>
      </c>
      <c r="O168" s="2" t="s">
        <v>571</v>
      </c>
      <c r="P168" s="2" t="s">
        <v>573</v>
      </c>
      <c r="Q168" s="67" t="s">
        <v>501</v>
      </c>
      <c r="R168" s="110" t="s">
        <v>519</v>
      </c>
      <c r="S168" s="172">
        <v>100</v>
      </c>
      <c r="T168" s="165">
        <v>25</v>
      </c>
      <c r="U168" s="67" t="s">
        <v>0</v>
      </c>
      <c r="V168" s="165" t="s">
        <v>0</v>
      </c>
      <c r="W168" s="208">
        <v>422.89444030369242</v>
      </c>
      <c r="X168" s="165">
        <v>50</v>
      </c>
      <c r="Y168" s="195">
        <v>2</v>
      </c>
      <c r="Z168" s="208">
        <v>2.8756821940651084E-4</v>
      </c>
      <c r="AA168" s="264">
        <v>7.1892054851627708E-3</v>
      </c>
      <c r="AB168" s="208">
        <v>1.2311191446189996E-5</v>
      </c>
      <c r="AC168" s="201">
        <v>29.744800000000001</v>
      </c>
      <c r="AD168" s="201">
        <v>6.8169999999999994E-2</v>
      </c>
      <c r="AE168" s="265">
        <v>3.9359999999999999E-2</v>
      </c>
      <c r="AF168" s="208">
        <v>395.83825499157712</v>
      </c>
      <c r="AG168" s="206">
        <v>9895.9563747894281</v>
      </c>
      <c r="AH168" s="117" t="s">
        <v>659</v>
      </c>
      <c r="AI168" s="393" t="s">
        <v>639</v>
      </c>
    </row>
    <row r="169" spans="1:35" hidden="1" x14ac:dyDescent="0.3">
      <c r="A169" s="145">
        <v>45271</v>
      </c>
      <c r="B169" s="189">
        <v>168</v>
      </c>
      <c r="C169" s="11" t="s">
        <v>544</v>
      </c>
      <c r="D169" s="10" t="s">
        <v>552</v>
      </c>
      <c r="E169" s="2" t="s">
        <v>588</v>
      </c>
      <c r="F169" s="2" t="s">
        <v>584</v>
      </c>
      <c r="G169" s="2" t="s">
        <v>567</v>
      </c>
      <c r="H169" s="14" t="s">
        <v>170</v>
      </c>
      <c r="I169" s="2" t="s">
        <v>527</v>
      </c>
      <c r="J169" s="15" t="s">
        <v>550</v>
      </c>
      <c r="K169" s="2" t="s">
        <v>532</v>
      </c>
      <c r="L169" s="2" t="s">
        <v>608</v>
      </c>
      <c r="M169" s="2" t="s">
        <v>531</v>
      </c>
      <c r="N169" s="2" t="s">
        <v>531</v>
      </c>
      <c r="O169" s="2" t="s">
        <v>571</v>
      </c>
      <c r="P169" s="2" t="s">
        <v>573</v>
      </c>
      <c r="Q169" s="67" t="s">
        <v>502</v>
      </c>
      <c r="R169" s="110" t="s">
        <v>519</v>
      </c>
      <c r="S169" s="172">
        <v>100</v>
      </c>
      <c r="T169" s="165">
        <v>25</v>
      </c>
      <c r="U169" s="67" t="s">
        <v>0</v>
      </c>
      <c r="V169" s="165" t="s">
        <v>0</v>
      </c>
      <c r="W169" s="208">
        <v>682.32397952301153</v>
      </c>
      <c r="X169" s="165">
        <v>50</v>
      </c>
      <c r="Y169" s="195">
        <v>2</v>
      </c>
      <c r="Z169" s="208">
        <v>4.639803060756478E-4</v>
      </c>
      <c r="AA169" s="264">
        <v>1.1599507651891196E-2</v>
      </c>
      <c r="AB169" s="208">
        <v>2.9849952209399835E-5</v>
      </c>
      <c r="AC169" s="201">
        <v>28.978300000000001</v>
      </c>
      <c r="AD169" s="201">
        <v>0.10421999999999999</v>
      </c>
      <c r="AE169" s="265">
        <v>6.0170000000000001E-2</v>
      </c>
      <c r="AF169" s="208">
        <v>638.66986096894129</v>
      </c>
      <c r="AG169" s="206">
        <v>15966.746524223534</v>
      </c>
      <c r="AH169" s="117" t="s">
        <v>659</v>
      </c>
      <c r="AI169" s="393" t="s">
        <v>639</v>
      </c>
    </row>
    <row r="170" spans="1:35" hidden="1" x14ac:dyDescent="0.3">
      <c r="A170" s="145">
        <v>45271</v>
      </c>
      <c r="B170" s="189">
        <v>169</v>
      </c>
      <c r="C170" s="11" t="s">
        <v>544</v>
      </c>
      <c r="D170" s="10" t="s">
        <v>552</v>
      </c>
      <c r="E170" s="2" t="s">
        <v>588</v>
      </c>
      <c r="F170" s="2" t="s">
        <v>584</v>
      </c>
      <c r="G170" s="2" t="s">
        <v>567</v>
      </c>
      <c r="H170" s="14" t="s">
        <v>171</v>
      </c>
      <c r="I170" s="2" t="s">
        <v>527</v>
      </c>
      <c r="J170" s="12" t="s">
        <v>551</v>
      </c>
      <c r="K170" s="2" t="s">
        <v>532</v>
      </c>
      <c r="L170" s="2" t="s">
        <v>608</v>
      </c>
      <c r="M170" s="2" t="s">
        <v>531</v>
      </c>
      <c r="N170" s="2" t="s">
        <v>531</v>
      </c>
      <c r="O170" s="2" t="s">
        <v>571</v>
      </c>
      <c r="P170" s="2" t="s">
        <v>573</v>
      </c>
      <c r="Q170" s="67" t="s">
        <v>496</v>
      </c>
      <c r="R170" s="110" t="s">
        <v>519</v>
      </c>
      <c r="S170" s="172">
        <v>100</v>
      </c>
      <c r="T170" s="165">
        <v>25</v>
      </c>
      <c r="U170" s="67" t="s">
        <v>0</v>
      </c>
      <c r="V170" s="165" t="s">
        <v>0</v>
      </c>
      <c r="W170" s="208">
        <v>328.41412331173245</v>
      </c>
      <c r="X170" s="165">
        <v>50</v>
      </c>
      <c r="Y170" s="195">
        <v>2</v>
      </c>
      <c r="Z170" s="208">
        <v>2.2332160385197806E-4</v>
      </c>
      <c r="AA170" s="264">
        <v>5.583040096299452E-3</v>
      </c>
      <c r="AB170" s="208">
        <v>8.2449566587386779E-6</v>
      </c>
      <c r="AC170" s="201">
        <v>30.150400000000001</v>
      </c>
      <c r="AD170" s="201">
        <v>5.9420000000000001E-2</v>
      </c>
      <c r="AE170" s="265">
        <v>3.431E-2</v>
      </c>
      <c r="AF170" s="208">
        <v>307.40265441406365</v>
      </c>
      <c r="AG170" s="206">
        <v>7685.0663603515914</v>
      </c>
      <c r="AH170" s="117" t="s">
        <v>659</v>
      </c>
      <c r="AI170" s="393" t="s">
        <v>640</v>
      </c>
    </row>
    <row r="171" spans="1:35" hidden="1" x14ac:dyDescent="0.3">
      <c r="A171" s="145">
        <v>45271</v>
      </c>
      <c r="B171" s="188">
        <v>170</v>
      </c>
      <c r="C171" s="11" t="s">
        <v>544</v>
      </c>
      <c r="D171" s="10" t="s">
        <v>552</v>
      </c>
      <c r="E171" s="2" t="s">
        <v>588</v>
      </c>
      <c r="F171" s="2" t="s">
        <v>584</v>
      </c>
      <c r="G171" s="2" t="s">
        <v>567</v>
      </c>
      <c r="H171" s="14" t="s">
        <v>172</v>
      </c>
      <c r="I171" s="2" t="s">
        <v>527</v>
      </c>
      <c r="J171" s="12" t="s">
        <v>551</v>
      </c>
      <c r="K171" s="2" t="s">
        <v>532</v>
      </c>
      <c r="L171" s="2" t="s">
        <v>608</v>
      </c>
      <c r="M171" s="2" t="s">
        <v>531</v>
      </c>
      <c r="N171" s="2" t="s">
        <v>531</v>
      </c>
      <c r="O171" s="2" t="s">
        <v>571</v>
      </c>
      <c r="P171" s="2" t="s">
        <v>573</v>
      </c>
      <c r="Q171" s="67" t="s">
        <v>497</v>
      </c>
      <c r="R171" s="110" t="s">
        <v>519</v>
      </c>
      <c r="S171" s="172">
        <v>100</v>
      </c>
      <c r="T171" s="165">
        <v>25</v>
      </c>
      <c r="U171" s="67" t="s">
        <v>0</v>
      </c>
      <c r="V171" s="165" t="s">
        <v>0</v>
      </c>
      <c r="W171" s="208">
        <v>217.82760651632054</v>
      </c>
      <c r="X171" s="165">
        <v>50</v>
      </c>
      <c r="Y171" s="195">
        <v>2</v>
      </c>
      <c r="Z171" s="208">
        <v>1.4812277243109797E-4</v>
      </c>
      <c r="AA171" s="264">
        <v>3.7030693107774492E-3</v>
      </c>
      <c r="AB171" s="208">
        <v>7.3886484053910633E-6</v>
      </c>
      <c r="AC171" s="201">
        <v>30.809899999999999</v>
      </c>
      <c r="AD171" s="201">
        <v>8.1210000000000004E-2</v>
      </c>
      <c r="AE171" s="265">
        <v>4.6890000000000001E-2</v>
      </c>
      <c r="AF171" s="208">
        <v>203.89130580787958</v>
      </c>
      <c r="AG171" s="206">
        <v>5097.2826451969895</v>
      </c>
      <c r="AH171" s="117" t="s">
        <v>659</v>
      </c>
      <c r="AI171" s="393" t="s">
        <v>640</v>
      </c>
    </row>
    <row r="172" spans="1:35" hidden="1" x14ac:dyDescent="0.3">
      <c r="A172" s="145">
        <v>45271</v>
      </c>
      <c r="B172" s="189">
        <v>171</v>
      </c>
      <c r="C172" s="11" t="s">
        <v>544</v>
      </c>
      <c r="D172" s="10" t="s">
        <v>552</v>
      </c>
      <c r="E172" s="2" t="s">
        <v>588</v>
      </c>
      <c r="F172" s="2" t="s">
        <v>584</v>
      </c>
      <c r="G172" s="2" t="s">
        <v>567</v>
      </c>
      <c r="H172" s="14" t="s">
        <v>173</v>
      </c>
      <c r="I172" s="2" t="s">
        <v>527</v>
      </c>
      <c r="J172" s="12" t="s">
        <v>551</v>
      </c>
      <c r="K172" s="2" t="s">
        <v>532</v>
      </c>
      <c r="L172" s="2" t="s">
        <v>608</v>
      </c>
      <c r="M172" s="2" t="s">
        <v>531</v>
      </c>
      <c r="N172" s="2" t="s">
        <v>531</v>
      </c>
      <c r="O172" s="2" t="s">
        <v>571</v>
      </c>
      <c r="P172" s="2" t="s">
        <v>573</v>
      </c>
      <c r="Q172" s="67" t="s">
        <v>498</v>
      </c>
      <c r="R172" s="110" t="s">
        <v>519</v>
      </c>
      <c r="S172" s="172">
        <v>100</v>
      </c>
      <c r="T172" s="165">
        <v>25</v>
      </c>
      <c r="U172" s="67" t="s">
        <v>0</v>
      </c>
      <c r="V172" s="165" t="s">
        <v>0</v>
      </c>
      <c r="W172" s="208">
        <v>102.97774253070295</v>
      </c>
      <c r="X172" s="165">
        <v>50</v>
      </c>
      <c r="Y172" s="195">
        <v>2</v>
      </c>
      <c r="Z172" s="208">
        <v>7.0024864920878007E-5</v>
      </c>
      <c r="AA172" s="264">
        <v>1.7506216230219502E-3</v>
      </c>
      <c r="AB172" s="208">
        <v>1.2603770974837125E-5</v>
      </c>
      <c r="AC172" s="201">
        <v>32.029499999999999</v>
      </c>
      <c r="AD172" s="201">
        <v>0.30375999999999997</v>
      </c>
      <c r="AE172" s="265">
        <v>0.17537</v>
      </c>
      <c r="AF172" s="208">
        <v>96.389372906044002</v>
      </c>
      <c r="AG172" s="206">
        <v>2409.7343226511002</v>
      </c>
      <c r="AH172" s="117" t="s">
        <v>659</v>
      </c>
      <c r="AI172" s="393" t="s">
        <v>640</v>
      </c>
    </row>
    <row r="173" spans="1:35" hidden="1" x14ac:dyDescent="0.3">
      <c r="A173" s="145">
        <v>45271</v>
      </c>
      <c r="B173" s="189">
        <v>172</v>
      </c>
      <c r="C173" s="11" t="s">
        <v>544</v>
      </c>
      <c r="D173" s="10" t="s">
        <v>552</v>
      </c>
      <c r="E173" s="2" t="s">
        <v>588</v>
      </c>
      <c r="F173" s="2" t="s">
        <v>584</v>
      </c>
      <c r="G173" s="2" t="s">
        <v>567</v>
      </c>
      <c r="H173" s="14" t="s">
        <v>174</v>
      </c>
      <c r="I173" s="2" t="s">
        <v>527</v>
      </c>
      <c r="J173" s="12" t="s">
        <v>551</v>
      </c>
      <c r="K173" s="2" t="s">
        <v>532</v>
      </c>
      <c r="L173" s="2" t="s">
        <v>608</v>
      </c>
      <c r="M173" s="2" t="s">
        <v>531</v>
      </c>
      <c r="N173" s="2" t="s">
        <v>531</v>
      </c>
      <c r="O173" s="2" t="s">
        <v>571</v>
      </c>
      <c r="P173" s="2" t="s">
        <v>573</v>
      </c>
      <c r="Q173" s="67" t="s">
        <v>499</v>
      </c>
      <c r="R173" s="110" t="s">
        <v>519</v>
      </c>
      <c r="S173" s="172">
        <v>100</v>
      </c>
      <c r="T173" s="165">
        <v>25</v>
      </c>
      <c r="U173" s="67" t="s">
        <v>0</v>
      </c>
      <c r="V173" s="165" t="s">
        <v>0</v>
      </c>
      <c r="W173" s="208">
        <v>488.69934548148728</v>
      </c>
      <c r="X173" s="165">
        <v>50</v>
      </c>
      <c r="Y173" s="195">
        <v>2</v>
      </c>
      <c r="Z173" s="208">
        <v>3.3231555492741133E-4</v>
      </c>
      <c r="AA173" s="264">
        <v>8.3078888731852839E-3</v>
      </c>
      <c r="AB173" s="208">
        <v>1.1589635115193407E-5</v>
      </c>
      <c r="AC173" s="201">
        <v>29.5124</v>
      </c>
      <c r="AD173" s="201">
        <v>5.5919999999999997E-2</v>
      </c>
      <c r="AE173" s="265">
        <v>3.2280000000000003E-2</v>
      </c>
      <c r="AF173" s="208">
        <v>457.43305585194946</v>
      </c>
      <c r="AG173" s="206">
        <v>11435.826396298735</v>
      </c>
      <c r="AH173" s="117" t="s">
        <v>659</v>
      </c>
      <c r="AI173" s="393" t="s">
        <v>640</v>
      </c>
    </row>
    <row r="174" spans="1:35" hidden="1" x14ac:dyDescent="0.3">
      <c r="A174" s="145">
        <v>45271</v>
      </c>
      <c r="B174" s="189">
        <v>173</v>
      </c>
      <c r="C174" s="11" t="s">
        <v>544</v>
      </c>
      <c r="D174" s="10" t="s">
        <v>552</v>
      </c>
      <c r="E174" s="2" t="s">
        <v>588</v>
      </c>
      <c r="F174" s="2" t="s">
        <v>584</v>
      </c>
      <c r="G174" s="2" t="s">
        <v>567</v>
      </c>
      <c r="H174" s="14" t="s">
        <v>175</v>
      </c>
      <c r="I174" s="2" t="s">
        <v>527</v>
      </c>
      <c r="J174" s="12" t="s">
        <v>551</v>
      </c>
      <c r="K174" s="2" t="s">
        <v>532</v>
      </c>
      <c r="L174" s="2" t="s">
        <v>608</v>
      </c>
      <c r="M174" s="2" t="s">
        <v>531</v>
      </c>
      <c r="N174" s="2" t="s">
        <v>531</v>
      </c>
      <c r="O174" s="2" t="s">
        <v>571</v>
      </c>
      <c r="P174" s="2" t="s">
        <v>573</v>
      </c>
      <c r="Q174" s="67" t="s">
        <v>500</v>
      </c>
      <c r="R174" s="110" t="s">
        <v>519</v>
      </c>
      <c r="S174" s="172">
        <v>100</v>
      </c>
      <c r="T174" s="165">
        <v>25</v>
      </c>
      <c r="U174" s="67" t="s">
        <v>0</v>
      </c>
      <c r="V174" s="165" t="s">
        <v>0</v>
      </c>
      <c r="W174" s="208">
        <v>14.879851960330736</v>
      </c>
      <c r="X174" s="165">
        <v>50</v>
      </c>
      <c r="Y174" s="195">
        <v>2</v>
      </c>
      <c r="Z174" s="208">
        <v>1.0118299333024901E-5</v>
      </c>
      <c r="AA174" s="264">
        <v>2.5295748332562252E-4</v>
      </c>
      <c r="AB174" s="208">
        <v>2.8803374257921647E-7</v>
      </c>
      <c r="AC174" s="201">
        <v>35.116199999999999</v>
      </c>
      <c r="AD174" s="201">
        <v>4.573E-2</v>
      </c>
      <c r="AE174" s="265">
        <v>2.64E-2</v>
      </c>
      <c r="AF174" s="208">
        <v>13.927860177779902</v>
      </c>
      <c r="AG174" s="206">
        <v>348.19650444449752</v>
      </c>
      <c r="AH174" s="117" t="s">
        <v>659</v>
      </c>
      <c r="AI174" s="393" t="s">
        <v>640</v>
      </c>
    </row>
    <row r="175" spans="1:35" hidden="1" x14ac:dyDescent="0.3">
      <c r="A175" s="145">
        <v>45271</v>
      </c>
      <c r="B175" s="189">
        <v>174</v>
      </c>
      <c r="C175" s="11" t="s">
        <v>544</v>
      </c>
      <c r="D175" s="10" t="s">
        <v>552</v>
      </c>
      <c r="E175" s="2" t="s">
        <v>588</v>
      </c>
      <c r="F175" s="2" t="s">
        <v>584</v>
      </c>
      <c r="G175" s="2" t="s">
        <v>567</v>
      </c>
      <c r="H175" s="14" t="s">
        <v>176</v>
      </c>
      <c r="I175" s="2" t="s">
        <v>527</v>
      </c>
      <c r="J175" s="12" t="s">
        <v>551</v>
      </c>
      <c r="K175" s="2" t="s">
        <v>532</v>
      </c>
      <c r="L175" s="2" t="s">
        <v>608</v>
      </c>
      <c r="M175" s="2" t="s">
        <v>531</v>
      </c>
      <c r="N175" s="2" t="s">
        <v>531</v>
      </c>
      <c r="O175" s="2" t="s">
        <v>571</v>
      </c>
      <c r="P175" s="2" t="s">
        <v>573</v>
      </c>
      <c r="Q175" s="67" t="s">
        <v>501</v>
      </c>
      <c r="R175" s="110" t="s">
        <v>519</v>
      </c>
      <c r="S175" s="172">
        <v>100</v>
      </c>
      <c r="T175" s="165">
        <v>25</v>
      </c>
      <c r="U175" s="67" t="s">
        <v>0</v>
      </c>
      <c r="V175" s="165" t="s">
        <v>0</v>
      </c>
      <c r="W175" s="208">
        <v>3.637123183665516</v>
      </c>
      <c r="X175" s="165">
        <v>50</v>
      </c>
      <c r="Y175" s="195">
        <v>2</v>
      </c>
      <c r="Z175" s="208">
        <v>2.4732437648925506E-6</v>
      </c>
      <c r="AA175" s="264">
        <v>6.1831094122313769E-5</v>
      </c>
      <c r="AB175" s="208">
        <v>1.55455754039337E-6</v>
      </c>
      <c r="AC175" s="201">
        <v>37.570500000000003</v>
      </c>
      <c r="AD175" s="201">
        <v>0.93662000000000001</v>
      </c>
      <c r="AE175" s="265">
        <v>0.54076000000000002</v>
      </c>
      <c r="AF175" s="208">
        <v>3.4044252111180962</v>
      </c>
      <c r="AG175" s="206">
        <v>85.11063027795241</v>
      </c>
      <c r="AH175" s="117" t="s">
        <v>659</v>
      </c>
      <c r="AI175" s="393" t="s">
        <v>640</v>
      </c>
    </row>
    <row r="176" spans="1:35" hidden="1" x14ac:dyDescent="0.3">
      <c r="A176" s="145">
        <v>45271</v>
      </c>
      <c r="B176" s="189">
        <v>175</v>
      </c>
      <c r="C176" s="11" t="s">
        <v>544</v>
      </c>
      <c r="D176" s="10" t="s">
        <v>552</v>
      </c>
      <c r="E176" s="2" t="s">
        <v>588</v>
      </c>
      <c r="F176" s="2" t="s">
        <v>584</v>
      </c>
      <c r="G176" s="2" t="s">
        <v>567</v>
      </c>
      <c r="H176" s="14" t="s">
        <v>177</v>
      </c>
      <c r="I176" s="2" t="s">
        <v>527</v>
      </c>
      <c r="J176" s="12" t="s">
        <v>551</v>
      </c>
      <c r="K176" s="2" t="s">
        <v>532</v>
      </c>
      <c r="L176" s="2" t="s">
        <v>608</v>
      </c>
      <c r="M176" s="2" t="s">
        <v>531</v>
      </c>
      <c r="N176" s="2" t="s">
        <v>531</v>
      </c>
      <c r="O176" s="2" t="s">
        <v>571</v>
      </c>
      <c r="P176" s="2" t="s">
        <v>573</v>
      </c>
      <c r="Q176" s="67" t="s">
        <v>502</v>
      </c>
      <c r="R176" s="110" t="s">
        <v>519</v>
      </c>
      <c r="S176" s="172">
        <v>100</v>
      </c>
      <c r="T176" s="165">
        <v>25</v>
      </c>
      <c r="U176" s="67" t="s">
        <v>0</v>
      </c>
      <c r="V176" s="165" t="s">
        <v>0</v>
      </c>
      <c r="W176" s="208">
        <v>10.857591823070539</v>
      </c>
      <c r="X176" s="165">
        <v>50</v>
      </c>
      <c r="Y176" s="195">
        <v>2</v>
      </c>
      <c r="Z176" s="208">
        <v>7.3831624396879658E-6</v>
      </c>
      <c r="AA176" s="264">
        <v>1.8457906099219915E-4</v>
      </c>
      <c r="AB176" s="208">
        <v>5.2264631492811437E-6</v>
      </c>
      <c r="AC176" s="201">
        <v>35.927700000000002</v>
      </c>
      <c r="AD176" s="201">
        <v>1.2569300000000001</v>
      </c>
      <c r="AE176" s="265">
        <v>0.72568999999999995</v>
      </c>
      <c r="AF176" s="208">
        <v>10.162938528037047</v>
      </c>
      <c r="AG176" s="206">
        <v>254.0734632009262</v>
      </c>
      <c r="AH176" s="117" t="s">
        <v>659</v>
      </c>
      <c r="AI176" s="393" t="s">
        <v>640</v>
      </c>
    </row>
    <row r="177" spans="1:35" hidden="1" x14ac:dyDescent="0.3">
      <c r="A177" s="145">
        <v>45271</v>
      </c>
      <c r="B177" s="189">
        <v>176</v>
      </c>
      <c r="C177" s="11" t="s">
        <v>544</v>
      </c>
      <c r="D177" s="10" t="s">
        <v>552</v>
      </c>
      <c r="E177" s="2" t="s">
        <v>588</v>
      </c>
      <c r="F177" s="2" t="s">
        <v>584</v>
      </c>
      <c r="G177" s="2" t="s">
        <v>567</v>
      </c>
      <c r="H177" s="14" t="s">
        <v>178</v>
      </c>
      <c r="I177" s="2" t="s">
        <v>528</v>
      </c>
      <c r="J177" s="15" t="s">
        <v>550</v>
      </c>
      <c r="K177" s="2" t="s">
        <v>531</v>
      </c>
      <c r="L177" s="2" t="s">
        <v>534</v>
      </c>
      <c r="M177" s="2" t="s">
        <v>531</v>
      </c>
      <c r="N177" s="2" t="s">
        <v>531</v>
      </c>
      <c r="O177" s="2" t="s">
        <v>571</v>
      </c>
      <c r="P177" s="2" t="s">
        <v>573</v>
      </c>
      <c r="Q177" s="67" t="s">
        <v>0</v>
      </c>
      <c r="R177" s="110" t="s">
        <v>519</v>
      </c>
      <c r="S177" s="172">
        <v>100</v>
      </c>
      <c r="T177" s="165" t="s">
        <v>0</v>
      </c>
      <c r="U177" s="67" t="s">
        <v>0</v>
      </c>
      <c r="V177" s="165" t="s">
        <v>0</v>
      </c>
      <c r="W177" s="208">
        <v>198.40198072977435</v>
      </c>
      <c r="X177" s="165">
        <v>50</v>
      </c>
      <c r="Y177" s="195">
        <v>2</v>
      </c>
      <c r="Z177" s="208">
        <v>1.3491334689624655E-4</v>
      </c>
      <c r="AA177" s="264">
        <v>3.3728336724061637E-3</v>
      </c>
      <c r="AB177" s="208">
        <v>1.7055636174239409E-5</v>
      </c>
      <c r="AC177" s="201">
        <v>30.967478123031459</v>
      </c>
      <c r="AD177" s="201">
        <v>0.2107059662559477</v>
      </c>
      <c r="AE177" s="265">
        <v>0.12165114633773162</v>
      </c>
      <c r="AF177" s="208">
        <v>185.70850395325164</v>
      </c>
      <c r="AG177" s="206">
        <v>4642.7125988312901</v>
      </c>
      <c r="AH177" s="110">
        <v>2</v>
      </c>
      <c r="AI177" s="394" t="s">
        <v>617</v>
      </c>
    </row>
    <row r="178" spans="1:35" hidden="1" x14ac:dyDescent="0.3">
      <c r="A178" s="145">
        <v>45271</v>
      </c>
      <c r="B178" s="189">
        <v>177</v>
      </c>
      <c r="C178" s="11" t="s">
        <v>544</v>
      </c>
      <c r="D178" s="10" t="s">
        <v>552</v>
      </c>
      <c r="E178" s="2" t="s">
        <v>588</v>
      </c>
      <c r="F178" s="2" t="s">
        <v>584</v>
      </c>
      <c r="G178" s="2" t="s">
        <v>567</v>
      </c>
      <c r="H178" s="14" t="s">
        <v>179</v>
      </c>
      <c r="I178" s="2" t="s">
        <v>528</v>
      </c>
      <c r="J178" s="12" t="s">
        <v>551</v>
      </c>
      <c r="K178" s="2" t="s">
        <v>531</v>
      </c>
      <c r="L178" s="2" t="s">
        <v>534</v>
      </c>
      <c r="M178" s="2" t="s">
        <v>531</v>
      </c>
      <c r="N178" s="2" t="s">
        <v>531</v>
      </c>
      <c r="O178" s="2" t="s">
        <v>571</v>
      </c>
      <c r="P178" s="2" t="s">
        <v>573</v>
      </c>
      <c r="Q178" s="67" t="s">
        <v>0</v>
      </c>
      <c r="R178" s="110" t="s">
        <v>519</v>
      </c>
      <c r="S178" s="172">
        <v>100</v>
      </c>
      <c r="T178" s="165" t="s">
        <v>0</v>
      </c>
      <c r="U178" s="67" t="s">
        <v>0</v>
      </c>
      <c r="V178" s="165" t="s">
        <v>0</v>
      </c>
      <c r="W178" s="208">
        <v>6.203480661163991</v>
      </c>
      <c r="X178" s="165">
        <v>50</v>
      </c>
      <c r="Y178" s="195">
        <v>2</v>
      </c>
      <c r="Z178" s="208">
        <v>4.2183668495915141E-6</v>
      </c>
      <c r="AA178" s="264">
        <v>1.0545917123978785E-4</v>
      </c>
      <c r="AB178" s="208">
        <v>1.7764572216852787E-6</v>
      </c>
      <c r="AC178" s="201">
        <v>36.605952176171726</v>
      </c>
      <c r="AD178" s="201">
        <v>0.62537348343831134</v>
      </c>
      <c r="AE178" s="265">
        <v>0.36105954900716303</v>
      </c>
      <c r="AF178" s="208">
        <v>5.8065907842764073</v>
      </c>
      <c r="AG178" s="206">
        <v>145.16476960691017</v>
      </c>
      <c r="AH178" s="110">
        <v>2</v>
      </c>
      <c r="AI178" s="394" t="s">
        <v>618</v>
      </c>
    </row>
    <row r="179" spans="1:35" hidden="1" x14ac:dyDescent="0.3">
      <c r="A179" s="145">
        <v>45271</v>
      </c>
      <c r="B179" s="189">
        <v>178</v>
      </c>
      <c r="C179" s="11" t="s">
        <v>544</v>
      </c>
      <c r="D179" s="10" t="s">
        <v>552</v>
      </c>
      <c r="E179" s="2" t="s">
        <v>588</v>
      </c>
      <c r="F179" s="2" t="s">
        <v>584</v>
      </c>
      <c r="G179" s="2" t="s">
        <v>567</v>
      </c>
      <c r="H179" s="14" t="s">
        <v>180</v>
      </c>
      <c r="I179" s="2" t="s">
        <v>520</v>
      </c>
      <c r="J179" s="9" t="s">
        <v>0</v>
      </c>
      <c r="K179" s="2" t="s">
        <v>531</v>
      </c>
      <c r="L179" s="2" t="s">
        <v>530</v>
      </c>
      <c r="M179" s="2" t="s">
        <v>531</v>
      </c>
      <c r="N179" s="2" t="s">
        <v>532</v>
      </c>
      <c r="O179" s="2" t="s">
        <v>571</v>
      </c>
      <c r="P179" s="2" t="s">
        <v>573</v>
      </c>
      <c r="Q179" s="67" t="s">
        <v>0</v>
      </c>
      <c r="R179" s="110" t="s">
        <v>519</v>
      </c>
      <c r="S179" s="172">
        <v>100</v>
      </c>
      <c r="T179" s="165" t="s">
        <v>0</v>
      </c>
      <c r="U179" s="67" t="s">
        <v>0</v>
      </c>
      <c r="V179" s="165" t="s">
        <v>0</v>
      </c>
      <c r="W179" s="208">
        <v>210.71651692422461</v>
      </c>
      <c r="X179" s="165">
        <v>50</v>
      </c>
      <c r="Y179" s="195">
        <v>2</v>
      </c>
      <c r="Z179" s="208">
        <v>1.4328723150847274E-4</v>
      </c>
      <c r="AA179" s="264">
        <v>3.5821807877118184E-3</v>
      </c>
      <c r="AB179" s="208">
        <v>2.9972338592757104E-5</v>
      </c>
      <c r="AC179" s="201">
        <v>30.884059558301345</v>
      </c>
      <c r="AD179" s="201">
        <v>0.32263093795241632</v>
      </c>
      <c r="AE179" s="265">
        <v>0.18627105887572901</v>
      </c>
      <c r="AF179" s="208">
        <v>197.23517362226227</v>
      </c>
      <c r="AG179" s="206">
        <v>4930.8793405565566</v>
      </c>
      <c r="AH179" s="110">
        <v>2</v>
      </c>
      <c r="AI179" s="393" t="s">
        <v>619</v>
      </c>
    </row>
    <row r="180" spans="1:35" hidden="1" x14ac:dyDescent="0.3">
      <c r="A180" s="145">
        <v>45271</v>
      </c>
      <c r="B180" s="189">
        <v>179</v>
      </c>
      <c r="C180" s="11" t="s">
        <v>544</v>
      </c>
      <c r="D180" s="10" t="s">
        <v>552</v>
      </c>
      <c r="E180" s="2" t="s">
        <v>588</v>
      </c>
      <c r="F180" s="2" t="s">
        <v>584</v>
      </c>
      <c r="G180" s="2" t="s">
        <v>567</v>
      </c>
      <c r="H180" s="14" t="s">
        <v>181</v>
      </c>
      <c r="I180" s="2" t="s">
        <v>520</v>
      </c>
      <c r="J180" s="9" t="s">
        <v>0</v>
      </c>
      <c r="K180" s="2" t="s">
        <v>531</v>
      </c>
      <c r="L180" s="2" t="s">
        <v>530</v>
      </c>
      <c r="M180" s="2" t="s">
        <v>531</v>
      </c>
      <c r="N180" s="2" t="s">
        <v>532</v>
      </c>
      <c r="O180" s="2" t="s">
        <v>571</v>
      </c>
      <c r="P180" s="2" t="s">
        <v>574</v>
      </c>
      <c r="Q180" s="67" t="s">
        <v>0</v>
      </c>
      <c r="R180" s="110" t="s">
        <v>519</v>
      </c>
      <c r="S180" s="172">
        <v>100</v>
      </c>
      <c r="T180" s="165" t="s">
        <v>0</v>
      </c>
      <c r="U180" s="67" t="s">
        <v>0</v>
      </c>
      <c r="V180" s="165" t="s">
        <v>0</v>
      </c>
      <c r="W180" s="208">
        <v>17.917093444956066</v>
      </c>
      <c r="X180" s="165">
        <v>50</v>
      </c>
      <c r="Y180" s="195">
        <v>2</v>
      </c>
      <c r="Z180" s="208">
        <v>1.2183623542570125E-5</v>
      </c>
      <c r="AA180" s="264">
        <v>3.0459058856425314E-4</v>
      </c>
      <c r="AB180" s="208">
        <v>5.7155684206363165E-7</v>
      </c>
      <c r="AC180" s="201">
        <v>34.818770638928768</v>
      </c>
      <c r="AD180" s="201">
        <v>7.4336828041385763E-2</v>
      </c>
      <c r="AE180" s="265">
        <v>4.2918387680396991E-2</v>
      </c>
      <c r="AF180" s="208">
        <v>16.770783268465941</v>
      </c>
      <c r="AG180" s="206">
        <v>419.26958171164864</v>
      </c>
      <c r="AH180" s="110">
        <v>2</v>
      </c>
      <c r="AI180" s="393" t="s">
        <v>619</v>
      </c>
    </row>
    <row r="181" spans="1:35" hidden="1" x14ac:dyDescent="0.3">
      <c r="A181" s="145">
        <v>45271</v>
      </c>
      <c r="B181" s="189">
        <v>180</v>
      </c>
      <c r="C181" s="11" t="s">
        <v>544</v>
      </c>
      <c r="D181" s="10" t="s">
        <v>552</v>
      </c>
      <c r="E181" s="2" t="s">
        <v>588</v>
      </c>
      <c r="F181" s="2" t="s">
        <v>584</v>
      </c>
      <c r="G181" s="65" t="s">
        <v>567</v>
      </c>
      <c r="H181" s="14" t="s">
        <v>182</v>
      </c>
      <c r="I181" s="67" t="s">
        <v>517</v>
      </c>
      <c r="J181" s="9" t="s">
        <v>0</v>
      </c>
      <c r="K181" s="2" t="s">
        <v>531</v>
      </c>
      <c r="L181" s="2" t="s">
        <v>593</v>
      </c>
      <c r="M181" s="2" t="s">
        <v>531</v>
      </c>
      <c r="N181" s="2" t="s">
        <v>532</v>
      </c>
      <c r="O181" s="67" t="s">
        <v>571</v>
      </c>
      <c r="P181" s="65" t="s">
        <v>573</v>
      </c>
      <c r="Q181" s="67" t="s">
        <v>0</v>
      </c>
      <c r="R181" s="110" t="s">
        <v>519</v>
      </c>
      <c r="S181" s="172">
        <v>100</v>
      </c>
      <c r="T181" s="165" t="s">
        <v>0</v>
      </c>
      <c r="U181" s="67" t="s">
        <v>576</v>
      </c>
      <c r="V181" s="360">
        <v>2000000</v>
      </c>
      <c r="W181" s="208">
        <v>5351044.7794608511</v>
      </c>
      <c r="X181" s="165">
        <v>50</v>
      </c>
      <c r="Y181" s="195">
        <v>2</v>
      </c>
      <c r="Z181" s="208">
        <v>3.6387104500333787</v>
      </c>
      <c r="AA181" s="264">
        <v>90.967761250834471</v>
      </c>
      <c r="AB181" s="208">
        <v>5.385972765386432E-2</v>
      </c>
      <c r="AC181" s="221">
        <v>14.584199999999999</v>
      </c>
      <c r="AD181" s="217">
        <v>2.3859999999999999E-2</v>
      </c>
      <c r="AE181" s="202">
        <v>1.3769999999999999E-2</v>
      </c>
      <c r="AF181" s="208">
        <v>5008692.5388815003</v>
      </c>
      <c r="AG181" s="206">
        <v>125217313.47203751</v>
      </c>
      <c r="AH181" s="110"/>
      <c r="AI181" s="393"/>
    </row>
    <row r="182" spans="1:35" hidden="1" x14ac:dyDescent="0.3">
      <c r="A182" s="145">
        <v>45271</v>
      </c>
      <c r="B182" s="189">
        <v>181</v>
      </c>
      <c r="C182" s="11" t="s">
        <v>544</v>
      </c>
      <c r="D182" s="10" t="s">
        <v>552</v>
      </c>
      <c r="E182" s="2" t="s">
        <v>588</v>
      </c>
      <c r="F182" s="2" t="s">
        <v>584</v>
      </c>
      <c r="G182" s="65" t="s">
        <v>567</v>
      </c>
      <c r="H182" s="14" t="s">
        <v>183</v>
      </c>
      <c r="I182" s="67" t="s">
        <v>517</v>
      </c>
      <c r="J182" s="9" t="s">
        <v>0</v>
      </c>
      <c r="K182" s="2" t="s">
        <v>531</v>
      </c>
      <c r="L182" s="2" t="s">
        <v>593</v>
      </c>
      <c r="M182" s="2" t="s">
        <v>531</v>
      </c>
      <c r="N182" s="2" t="s">
        <v>532</v>
      </c>
      <c r="O182" s="67" t="s">
        <v>571</v>
      </c>
      <c r="P182" s="65" t="s">
        <v>574</v>
      </c>
      <c r="Q182" s="67" t="s">
        <v>0</v>
      </c>
      <c r="R182" s="110" t="s">
        <v>519</v>
      </c>
      <c r="S182" s="172">
        <v>100</v>
      </c>
      <c r="T182" s="165" t="s">
        <v>0</v>
      </c>
      <c r="U182" s="67" t="s">
        <v>576</v>
      </c>
      <c r="V182" s="360">
        <v>2000000</v>
      </c>
      <c r="W182" s="208">
        <v>1532478.4473171788</v>
      </c>
      <c r="X182" s="165">
        <v>50</v>
      </c>
      <c r="Y182" s="195">
        <v>2</v>
      </c>
      <c r="Z182" s="208">
        <v>1.0420853441756817</v>
      </c>
      <c r="AA182" s="264">
        <v>26.05213360439204</v>
      </c>
      <c r="AB182" s="208">
        <v>6.9616309440858185E-2</v>
      </c>
      <c r="AC182" s="216">
        <v>16.593299999999999</v>
      </c>
      <c r="AD182" s="208">
        <v>0.1053</v>
      </c>
      <c r="AE182" s="270">
        <v>6.08E-2</v>
      </c>
      <c r="AF182" s="208">
        <v>1434432.6540746372</v>
      </c>
      <c r="AG182" s="206">
        <v>35860816.351865925</v>
      </c>
      <c r="AH182" s="110"/>
      <c r="AI182" s="393"/>
    </row>
    <row r="183" spans="1:35" hidden="1" x14ac:dyDescent="0.3">
      <c r="A183" s="145">
        <v>45271</v>
      </c>
      <c r="B183" s="189">
        <v>182</v>
      </c>
      <c r="C183" s="11" t="s">
        <v>544</v>
      </c>
      <c r="D183" s="243" t="s">
        <v>0</v>
      </c>
      <c r="E183" s="243" t="s">
        <v>0</v>
      </c>
      <c r="F183" s="243" t="s">
        <v>0</v>
      </c>
      <c r="G183" s="2" t="s">
        <v>567</v>
      </c>
      <c r="H183" s="14" t="s">
        <v>184</v>
      </c>
      <c r="I183" s="2" t="s">
        <v>521</v>
      </c>
      <c r="J183" s="9" t="s">
        <v>0</v>
      </c>
      <c r="K183" s="2" t="s">
        <v>531</v>
      </c>
      <c r="L183" s="2" t="s">
        <v>521</v>
      </c>
      <c r="M183" s="2" t="s">
        <v>532</v>
      </c>
      <c r="N183" s="2" t="s">
        <v>532</v>
      </c>
      <c r="O183" s="2" t="s">
        <v>571</v>
      </c>
      <c r="P183" s="2" t="s">
        <v>573</v>
      </c>
      <c r="Q183" s="67" t="s">
        <v>0</v>
      </c>
      <c r="R183" s="110" t="s">
        <v>519</v>
      </c>
      <c r="S183" s="172">
        <v>100</v>
      </c>
      <c r="T183" s="165" t="s">
        <v>0</v>
      </c>
      <c r="U183" s="67" t="s">
        <v>0</v>
      </c>
      <c r="V183" s="165" t="s">
        <v>0</v>
      </c>
      <c r="W183" s="208">
        <v>8.5446207178155884</v>
      </c>
      <c r="X183" s="165">
        <v>50</v>
      </c>
      <c r="Y183" s="195">
        <v>2</v>
      </c>
      <c r="Z183" s="293" t="s">
        <v>0</v>
      </c>
      <c r="AA183" s="294" t="s">
        <v>0</v>
      </c>
      <c r="AB183" s="293" t="s">
        <v>0</v>
      </c>
      <c r="AC183" s="216">
        <v>37.521218788601644</v>
      </c>
      <c r="AD183" s="208">
        <v>2.1428534143308839</v>
      </c>
      <c r="AE183" s="270">
        <v>1.5152261803621145</v>
      </c>
      <c r="AF183" s="293" t="s">
        <v>0</v>
      </c>
      <c r="AG183" s="382" t="s">
        <v>0</v>
      </c>
      <c r="AH183" s="400">
        <v>2</v>
      </c>
      <c r="AI183" s="394" t="s">
        <v>620</v>
      </c>
    </row>
    <row r="184" spans="1:35" hidden="1" x14ac:dyDescent="0.3">
      <c r="A184" s="145">
        <v>45271</v>
      </c>
      <c r="B184" s="188">
        <v>183</v>
      </c>
      <c r="C184" s="11" t="s">
        <v>544</v>
      </c>
      <c r="D184" s="243" t="s">
        <v>0</v>
      </c>
      <c r="E184" s="243" t="s">
        <v>0</v>
      </c>
      <c r="F184" s="243" t="s">
        <v>0</v>
      </c>
      <c r="G184" s="2" t="s">
        <v>567</v>
      </c>
      <c r="H184" s="14" t="s">
        <v>185</v>
      </c>
      <c r="I184" s="2" t="s">
        <v>521</v>
      </c>
      <c r="J184" s="9" t="s">
        <v>0</v>
      </c>
      <c r="K184" s="2" t="s">
        <v>531</v>
      </c>
      <c r="L184" s="2" t="s">
        <v>521</v>
      </c>
      <c r="M184" s="2" t="s">
        <v>532</v>
      </c>
      <c r="N184" s="2" t="s">
        <v>532</v>
      </c>
      <c r="O184" s="2" t="s">
        <v>571</v>
      </c>
      <c r="P184" s="2" t="s">
        <v>574</v>
      </c>
      <c r="Q184" s="67" t="s">
        <v>0</v>
      </c>
      <c r="R184" s="110" t="s">
        <v>0</v>
      </c>
      <c r="S184" s="175">
        <v>100</v>
      </c>
      <c r="T184" s="165" t="s">
        <v>0</v>
      </c>
      <c r="U184" s="67" t="s">
        <v>0</v>
      </c>
      <c r="V184" s="165" t="s">
        <v>0</v>
      </c>
      <c r="W184" s="208" t="s">
        <v>0</v>
      </c>
      <c r="X184" s="165">
        <v>50</v>
      </c>
      <c r="Y184" s="195">
        <v>2</v>
      </c>
      <c r="Z184" s="302" t="s">
        <v>0</v>
      </c>
      <c r="AA184" s="303" t="s">
        <v>0</v>
      </c>
      <c r="AB184" s="302" t="s">
        <v>0</v>
      </c>
      <c r="AC184" s="312" t="s">
        <v>0</v>
      </c>
      <c r="AD184" s="302" t="s">
        <v>0</v>
      </c>
      <c r="AE184" s="308" t="s">
        <v>0</v>
      </c>
      <c r="AF184" s="302" t="s">
        <v>0</v>
      </c>
      <c r="AG184" s="382" t="s">
        <v>0</v>
      </c>
      <c r="AH184" s="400">
        <v>2</v>
      </c>
      <c r="AI184" s="394" t="s">
        <v>620</v>
      </c>
    </row>
    <row r="185" spans="1:35" ht="16.2" hidden="1" thickBot="1" x14ac:dyDescent="0.35">
      <c r="A185" s="146">
        <v>45271</v>
      </c>
      <c r="B185" s="191">
        <v>184</v>
      </c>
      <c r="C185" s="74" t="s">
        <v>544</v>
      </c>
      <c r="D185" s="244" t="s">
        <v>0</v>
      </c>
      <c r="E185" s="244" t="s">
        <v>0</v>
      </c>
      <c r="F185" s="244" t="s">
        <v>0</v>
      </c>
      <c r="G185" s="4" t="s">
        <v>567</v>
      </c>
      <c r="H185" s="327" t="s">
        <v>186</v>
      </c>
      <c r="I185" s="4" t="s">
        <v>521</v>
      </c>
      <c r="J185" s="40" t="s">
        <v>0</v>
      </c>
      <c r="K185" s="4" t="s">
        <v>531</v>
      </c>
      <c r="L185" s="91" t="s">
        <v>521</v>
      </c>
      <c r="M185" s="91" t="s">
        <v>532</v>
      </c>
      <c r="N185" s="4" t="s">
        <v>532</v>
      </c>
      <c r="O185" s="4" t="s">
        <v>571</v>
      </c>
      <c r="P185" s="4" t="s">
        <v>503</v>
      </c>
      <c r="Q185" s="67" t="s">
        <v>0</v>
      </c>
      <c r="R185" s="111" t="s">
        <v>0</v>
      </c>
      <c r="S185" s="180">
        <v>100</v>
      </c>
      <c r="T185" s="169" t="s">
        <v>0</v>
      </c>
      <c r="U185" s="79" t="s">
        <v>0</v>
      </c>
      <c r="V185" s="169" t="s">
        <v>0</v>
      </c>
      <c r="W185" s="211">
        <v>5.79497578515456</v>
      </c>
      <c r="X185" s="169">
        <v>50</v>
      </c>
      <c r="Y185" s="205">
        <v>2</v>
      </c>
      <c r="Z185" s="310" t="s">
        <v>0</v>
      </c>
      <c r="AA185" s="311" t="s">
        <v>0</v>
      </c>
      <c r="AB185" s="310" t="s">
        <v>0</v>
      </c>
      <c r="AC185" s="234">
        <v>36.6355</v>
      </c>
      <c r="AD185" s="219">
        <v>0.20096</v>
      </c>
      <c r="AE185" s="289">
        <v>0.1421</v>
      </c>
      <c r="AF185" s="310" t="s">
        <v>0</v>
      </c>
      <c r="AG185" s="383" t="s">
        <v>0</v>
      </c>
      <c r="AH185" s="409">
        <v>2</v>
      </c>
      <c r="AI185" s="405" t="s">
        <v>620</v>
      </c>
    </row>
    <row r="186" spans="1:35" hidden="1" x14ac:dyDescent="0.3">
      <c r="A186" s="149">
        <v>45273</v>
      </c>
      <c r="B186" s="188">
        <v>185</v>
      </c>
      <c r="C186" s="21" t="s">
        <v>544</v>
      </c>
      <c r="D186" s="20" t="s">
        <v>552</v>
      </c>
      <c r="E186" s="17" t="s">
        <v>588</v>
      </c>
      <c r="F186" s="17" t="s">
        <v>584</v>
      </c>
      <c r="G186" s="43" t="s">
        <v>567</v>
      </c>
      <c r="H186" s="329" t="s">
        <v>187</v>
      </c>
      <c r="I186" s="17" t="s">
        <v>527</v>
      </c>
      <c r="J186" s="68" t="s">
        <v>1</v>
      </c>
      <c r="K186" s="17" t="s">
        <v>532</v>
      </c>
      <c r="L186" s="17" t="s">
        <v>608</v>
      </c>
      <c r="M186" s="17" t="s">
        <v>531</v>
      </c>
      <c r="N186" s="17" t="s">
        <v>531</v>
      </c>
      <c r="O186" s="17" t="s">
        <v>571</v>
      </c>
      <c r="P186" s="18" t="s">
        <v>573</v>
      </c>
      <c r="Q186" s="18" t="s">
        <v>496</v>
      </c>
      <c r="R186" s="117" t="s">
        <v>539</v>
      </c>
      <c r="S186" s="171">
        <v>100</v>
      </c>
      <c r="T186" s="164">
        <v>1000</v>
      </c>
      <c r="U186" s="72" t="s">
        <v>0</v>
      </c>
      <c r="V186" s="164" t="s">
        <v>0</v>
      </c>
      <c r="W186" s="209">
        <v>28175.036820348323</v>
      </c>
      <c r="X186" s="164">
        <v>50</v>
      </c>
      <c r="Y186" s="194">
        <v>2</v>
      </c>
      <c r="Z186" s="209">
        <v>1.9159025037836858E-2</v>
      </c>
      <c r="AA186" s="202">
        <v>0.47897562594592147</v>
      </c>
      <c r="AB186" s="209">
        <v>1.7093981669794973E-3</v>
      </c>
      <c r="AC186" s="232">
        <v>23.423302104035773</v>
      </c>
      <c r="AD186" s="209">
        <v>0.14514644293591925</v>
      </c>
      <c r="AE186" s="279">
        <v>8.3800337900969635E-2</v>
      </c>
      <c r="AF186" s="209">
        <v>26372.438004342184</v>
      </c>
      <c r="AG186" s="1">
        <v>659310.95010855456</v>
      </c>
      <c r="AH186" s="117" t="s">
        <v>660</v>
      </c>
      <c r="AI186" s="410" t="s">
        <v>641</v>
      </c>
    </row>
    <row r="187" spans="1:35" hidden="1" x14ac:dyDescent="0.3">
      <c r="A187" s="151">
        <v>45273</v>
      </c>
      <c r="B187" s="189">
        <v>186</v>
      </c>
      <c r="C187" s="11" t="s">
        <v>544</v>
      </c>
      <c r="D187" s="10" t="s">
        <v>552</v>
      </c>
      <c r="E187" s="2" t="s">
        <v>588</v>
      </c>
      <c r="F187" s="2" t="s">
        <v>584</v>
      </c>
      <c r="G187" s="2" t="s">
        <v>567</v>
      </c>
      <c r="H187" s="14" t="s">
        <v>188</v>
      </c>
      <c r="I187" s="2" t="s">
        <v>527</v>
      </c>
      <c r="J187" s="64" t="s">
        <v>1</v>
      </c>
      <c r="K187" s="2" t="s">
        <v>532</v>
      </c>
      <c r="L187" s="2" t="s">
        <v>608</v>
      </c>
      <c r="M187" s="2" t="s">
        <v>531</v>
      </c>
      <c r="N187" s="2" t="s">
        <v>531</v>
      </c>
      <c r="O187" s="2" t="s">
        <v>571</v>
      </c>
      <c r="P187" s="2" t="s">
        <v>573</v>
      </c>
      <c r="Q187" s="67" t="s">
        <v>497</v>
      </c>
      <c r="R187" s="110" t="s">
        <v>539</v>
      </c>
      <c r="S187" s="172">
        <v>100</v>
      </c>
      <c r="T187" s="165">
        <v>1000</v>
      </c>
      <c r="U187" s="67" t="s">
        <v>0</v>
      </c>
      <c r="V187" s="165" t="s">
        <v>0</v>
      </c>
      <c r="W187" s="208">
        <v>11495.606971990332</v>
      </c>
      <c r="X187" s="165">
        <v>50</v>
      </c>
      <c r="Y187" s="195">
        <v>2</v>
      </c>
      <c r="Z187" s="208">
        <v>7.8170127409534253E-3</v>
      </c>
      <c r="AA187" s="270">
        <v>0.19542531852383563</v>
      </c>
      <c r="AB187" s="208">
        <v>6.9161788478501668E-4</v>
      </c>
      <c r="AC187" s="216">
        <v>24.894615663169219</v>
      </c>
      <c r="AD187" s="208">
        <v>0.14242588348751536</v>
      </c>
      <c r="AE187" s="270">
        <v>8.2229622171087272E-2</v>
      </c>
      <c r="AF187" s="208">
        <v>10760.134374417146</v>
      </c>
      <c r="AG187" s="378">
        <v>269003.35936042864</v>
      </c>
      <c r="AH187" s="110" t="s">
        <v>660</v>
      </c>
      <c r="AI187" s="394" t="s">
        <v>641</v>
      </c>
    </row>
    <row r="188" spans="1:35" hidden="1" x14ac:dyDescent="0.3">
      <c r="A188" s="151">
        <v>45273</v>
      </c>
      <c r="B188" s="189">
        <v>187</v>
      </c>
      <c r="C188" s="11" t="s">
        <v>544</v>
      </c>
      <c r="D188" s="10" t="s">
        <v>552</v>
      </c>
      <c r="E188" s="2" t="s">
        <v>588</v>
      </c>
      <c r="F188" s="2" t="s">
        <v>584</v>
      </c>
      <c r="G188" s="2" t="s">
        <v>567</v>
      </c>
      <c r="H188" s="14" t="s">
        <v>189</v>
      </c>
      <c r="I188" s="2" t="s">
        <v>527</v>
      </c>
      <c r="J188" s="64" t="s">
        <v>1</v>
      </c>
      <c r="K188" s="2" t="s">
        <v>532</v>
      </c>
      <c r="L188" s="2" t="s">
        <v>608</v>
      </c>
      <c r="M188" s="2" t="s">
        <v>531</v>
      </c>
      <c r="N188" s="2" t="s">
        <v>531</v>
      </c>
      <c r="O188" s="2" t="s">
        <v>571</v>
      </c>
      <c r="P188" s="2" t="s">
        <v>573</v>
      </c>
      <c r="Q188" s="67" t="s">
        <v>498</v>
      </c>
      <c r="R188" s="110" t="s">
        <v>539</v>
      </c>
      <c r="S188" s="172">
        <v>100</v>
      </c>
      <c r="T188" s="165">
        <v>1000</v>
      </c>
      <c r="U188" s="67" t="s">
        <v>0</v>
      </c>
      <c r="V188" s="165" t="s">
        <v>0</v>
      </c>
      <c r="W188" s="208">
        <v>9151.6205386792462</v>
      </c>
      <c r="X188" s="165">
        <v>50</v>
      </c>
      <c r="Y188" s="195">
        <v>2</v>
      </c>
      <c r="Z188" s="208">
        <v>6.2231019663018874E-3</v>
      </c>
      <c r="AA188" s="270">
        <v>0.15557754915754718</v>
      </c>
      <c r="AB188" s="208">
        <v>4.0038666353519573E-4</v>
      </c>
      <c r="AC188" s="216">
        <v>25.267036672363592</v>
      </c>
      <c r="AD188" s="208">
        <v>0.10705001241484113</v>
      </c>
      <c r="AE188" s="270">
        <v>6.1805353484461312E-2</v>
      </c>
      <c r="AF188" s="208">
        <v>8566.112862052305</v>
      </c>
      <c r="AG188" s="378">
        <v>214152.8215513076</v>
      </c>
      <c r="AH188" s="110" t="s">
        <v>660</v>
      </c>
      <c r="AI188" s="394" t="s">
        <v>641</v>
      </c>
    </row>
    <row r="189" spans="1:35" hidden="1" x14ac:dyDescent="0.3">
      <c r="A189" s="151">
        <v>45273</v>
      </c>
      <c r="B189" s="189">
        <v>188</v>
      </c>
      <c r="C189" s="11" t="s">
        <v>544</v>
      </c>
      <c r="D189" s="10" t="s">
        <v>552</v>
      </c>
      <c r="E189" s="2" t="s">
        <v>588</v>
      </c>
      <c r="F189" s="2" t="s">
        <v>584</v>
      </c>
      <c r="G189" s="2" t="s">
        <v>567</v>
      </c>
      <c r="H189" s="14" t="s">
        <v>190</v>
      </c>
      <c r="I189" s="2" t="s">
        <v>527</v>
      </c>
      <c r="J189" s="64" t="s">
        <v>1</v>
      </c>
      <c r="K189" s="2" t="s">
        <v>532</v>
      </c>
      <c r="L189" s="2" t="s">
        <v>608</v>
      </c>
      <c r="M189" s="2" t="s">
        <v>531</v>
      </c>
      <c r="N189" s="2" t="s">
        <v>531</v>
      </c>
      <c r="O189" s="2" t="s">
        <v>571</v>
      </c>
      <c r="P189" s="2" t="s">
        <v>573</v>
      </c>
      <c r="Q189" s="67" t="s">
        <v>499</v>
      </c>
      <c r="R189" s="110" t="s">
        <v>539</v>
      </c>
      <c r="S189" s="172">
        <v>100</v>
      </c>
      <c r="T189" s="165">
        <v>1000</v>
      </c>
      <c r="U189" s="67" t="s">
        <v>0</v>
      </c>
      <c r="V189" s="165" t="s">
        <v>0</v>
      </c>
      <c r="W189" s="208">
        <v>10210.58295200553</v>
      </c>
      <c r="X189" s="165">
        <v>50</v>
      </c>
      <c r="Y189" s="195">
        <v>2</v>
      </c>
      <c r="Z189" s="208">
        <v>6.9431964073637612E-3</v>
      </c>
      <c r="AA189" s="270">
        <v>0.17357991018409402</v>
      </c>
      <c r="AB189" s="208">
        <v>4.6283196203396494E-4</v>
      </c>
      <c r="AC189" s="216">
        <v>25.087391308863943</v>
      </c>
      <c r="AD189" s="208">
        <v>0.10770915903944836</v>
      </c>
      <c r="AE189" s="270">
        <v>6.2185911965613724E-2</v>
      </c>
      <c r="AF189" s="208">
        <v>9557.3243650735367</v>
      </c>
      <c r="AG189" s="378">
        <v>238933.10912683839</v>
      </c>
      <c r="AH189" s="110" t="s">
        <v>660</v>
      </c>
      <c r="AI189" s="394" t="s">
        <v>641</v>
      </c>
    </row>
    <row r="190" spans="1:35" hidden="1" x14ac:dyDescent="0.3">
      <c r="A190" s="151">
        <v>45273</v>
      </c>
      <c r="B190" s="189">
        <v>189</v>
      </c>
      <c r="C190" s="11" t="s">
        <v>544</v>
      </c>
      <c r="D190" s="10" t="s">
        <v>552</v>
      </c>
      <c r="E190" s="2" t="s">
        <v>588</v>
      </c>
      <c r="F190" s="2" t="s">
        <v>584</v>
      </c>
      <c r="G190" s="2" t="s">
        <v>567</v>
      </c>
      <c r="H190" s="14" t="s">
        <v>191</v>
      </c>
      <c r="I190" s="2" t="s">
        <v>527</v>
      </c>
      <c r="J190" s="64" t="s">
        <v>1</v>
      </c>
      <c r="K190" s="2" t="s">
        <v>532</v>
      </c>
      <c r="L190" s="2" t="s">
        <v>608</v>
      </c>
      <c r="M190" s="2" t="s">
        <v>531</v>
      </c>
      <c r="N190" s="2" t="s">
        <v>531</v>
      </c>
      <c r="O190" s="2" t="s">
        <v>571</v>
      </c>
      <c r="P190" s="2" t="s">
        <v>573</v>
      </c>
      <c r="Q190" s="67" t="s">
        <v>500</v>
      </c>
      <c r="R190" s="110" t="s">
        <v>539</v>
      </c>
      <c r="S190" s="172">
        <v>100</v>
      </c>
      <c r="T190" s="165">
        <v>1000</v>
      </c>
      <c r="U190" s="67" t="s">
        <v>0</v>
      </c>
      <c r="V190" s="165" t="s">
        <v>0</v>
      </c>
      <c r="W190" s="208">
        <v>10544.850070768494</v>
      </c>
      <c r="X190" s="165">
        <v>50</v>
      </c>
      <c r="Y190" s="195">
        <v>2</v>
      </c>
      <c r="Z190" s="208">
        <v>7.1704980481225753E-3</v>
      </c>
      <c r="AA190" s="270">
        <v>0.17926245120306439</v>
      </c>
      <c r="AB190" s="208">
        <v>3.5810599147366814E-4</v>
      </c>
      <c r="AC190" s="216">
        <v>25.033485823916863</v>
      </c>
      <c r="AD190" s="208">
        <v>8.1262723130696712E-2</v>
      </c>
      <c r="AE190" s="270">
        <v>4.6917055074589778E-2</v>
      </c>
      <c r="AF190" s="208">
        <v>9870.2055486075969</v>
      </c>
      <c r="AG190" s="378">
        <v>246755.13871518994</v>
      </c>
      <c r="AH190" s="110" t="s">
        <v>660</v>
      </c>
      <c r="AI190" s="394" t="s">
        <v>641</v>
      </c>
    </row>
    <row r="191" spans="1:35" hidden="1" x14ac:dyDescent="0.3">
      <c r="A191" s="151">
        <v>45273</v>
      </c>
      <c r="B191" s="189">
        <v>190</v>
      </c>
      <c r="C191" s="11" t="s">
        <v>544</v>
      </c>
      <c r="D191" s="10" t="s">
        <v>552</v>
      </c>
      <c r="E191" s="2" t="s">
        <v>588</v>
      </c>
      <c r="F191" s="2" t="s">
        <v>584</v>
      </c>
      <c r="G191" s="2" t="s">
        <v>567</v>
      </c>
      <c r="H191" s="14" t="s">
        <v>192</v>
      </c>
      <c r="I191" s="2" t="s">
        <v>527</v>
      </c>
      <c r="J191" s="64" t="s">
        <v>1</v>
      </c>
      <c r="K191" s="2" t="s">
        <v>532</v>
      </c>
      <c r="L191" s="2" t="s">
        <v>608</v>
      </c>
      <c r="M191" s="2" t="s">
        <v>531</v>
      </c>
      <c r="N191" s="2" t="s">
        <v>531</v>
      </c>
      <c r="O191" s="2" t="s">
        <v>571</v>
      </c>
      <c r="P191" s="2" t="s">
        <v>573</v>
      </c>
      <c r="Q191" s="67" t="s">
        <v>501</v>
      </c>
      <c r="R191" s="110" t="s">
        <v>539</v>
      </c>
      <c r="S191" s="172">
        <v>100</v>
      </c>
      <c r="T191" s="165">
        <v>1000</v>
      </c>
      <c r="U191" s="67" t="s">
        <v>0</v>
      </c>
      <c r="V191" s="165" t="s">
        <v>0</v>
      </c>
      <c r="W191" s="208">
        <v>8786.7474720160953</v>
      </c>
      <c r="X191" s="165">
        <v>50</v>
      </c>
      <c r="Y191" s="195">
        <v>2</v>
      </c>
      <c r="Z191" s="208">
        <v>5.9749882809709441E-3</v>
      </c>
      <c r="AA191" s="270">
        <v>0.14937470702427361</v>
      </c>
      <c r="AB191" s="208">
        <v>8.3379590346117655E-5</v>
      </c>
      <c r="AC191" s="201">
        <v>25.331617822205619</v>
      </c>
      <c r="AD191" s="201">
        <v>2.2832944036835636E-2</v>
      </c>
      <c r="AE191" s="265">
        <v>1.3182606386058716E-2</v>
      </c>
      <c r="AF191" s="208">
        <v>8224.5838556703638</v>
      </c>
      <c r="AG191" s="378">
        <v>205614.59639175906</v>
      </c>
      <c r="AH191" s="110" t="s">
        <v>660</v>
      </c>
      <c r="AI191" s="394" t="s">
        <v>641</v>
      </c>
    </row>
    <row r="192" spans="1:35" hidden="1" x14ac:dyDescent="0.3">
      <c r="A192" s="151">
        <v>45273</v>
      </c>
      <c r="B192" s="189">
        <v>191</v>
      </c>
      <c r="C192" s="11" t="s">
        <v>544</v>
      </c>
      <c r="D192" s="10" t="s">
        <v>552</v>
      </c>
      <c r="E192" s="2" t="s">
        <v>588</v>
      </c>
      <c r="F192" s="2" t="s">
        <v>584</v>
      </c>
      <c r="G192" s="2" t="s">
        <v>567</v>
      </c>
      <c r="H192" s="14" t="s">
        <v>193</v>
      </c>
      <c r="I192" s="2" t="s">
        <v>527</v>
      </c>
      <c r="J192" s="64" t="s">
        <v>1</v>
      </c>
      <c r="K192" s="2" t="s">
        <v>532</v>
      </c>
      <c r="L192" s="2" t="s">
        <v>608</v>
      </c>
      <c r="M192" s="2" t="s">
        <v>531</v>
      </c>
      <c r="N192" s="2" t="s">
        <v>531</v>
      </c>
      <c r="O192" s="2" t="s">
        <v>571</v>
      </c>
      <c r="P192" s="2" t="s">
        <v>573</v>
      </c>
      <c r="Q192" s="67" t="s">
        <v>502</v>
      </c>
      <c r="R192" s="110" t="s">
        <v>539</v>
      </c>
      <c r="S192" s="172">
        <v>100</v>
      </c>
      <c r="T192" s="165">
        <v>1000</v>
      </c>
      <c r="U192" s="67" t="s">
        <v>0</v>
      </c>
      <c r="V192" s="165" t="s">
        <v>0</v>
      </c>
      <c r="W192" s="208">
        <v>8541.8601803801721</v>
      </c>
      <c r="X192" s="165">
        <v>50</v>
      </c>
      <c r="Y192" s="195">
        <v>2</v>
      </c>
      <c r="Z192" s="208">
        <v>5.8084649226585175E-3</v>
      </c>
      <c r="AA192" s="270">
        <v>0.14521162306646293</v>
      </c>
      <c r="AB192" s="208">
        <v>4.8320716469308738E-4</v>
      </c>
      <c r="AC192" s="201">
        <v>25.381622000888541</v>
      </c>
      <c r="AD192" s="201">
        <v>0.13461295771531614</v>
      </c>
      <c r="AE192" s="265">
        <v>7.7718827373349494E-2</v>
      </c>
      <c r="AF192" s="208">
        <v>7995.3641049421094</v>
      </c>
      <c r="AG192" s="378">
        <v>199884.10262355272</v>
      </c>
      <c r="AH192" s="110" t="s">
        <v>660</v>
      </c>
      <c r="AI192" s="394" t="s">
        <v>641</v>
      </c>
    </row>
    <row r="193" spans="1:35" hidden="1" x14ac:dyDescent="0.3">
      <c r="A193" s="151">
        <v>45273</v>
      </c>
      <c r="B193" s="189">
        <v>192</v>
      </c>
      <c r="C193" s="11" t="s">
        <v>544</v>
      </c>
      <c r="D193" s="10" t="s">
        <v>552</v>
      </c>
      <c r="E193" s="2" t="s">
        <v>588</v>
      </c>
      <c r="F193" s="2" t="s">
        <v>584</v>
      </c>
      <c r="G193" s="2" t="s">
        <v>567</v>
      </c>
      <c r="H193" s="14" t="s">
        <v>194</v>
      </c>
      <c r="I193" s="2" t="s">
        <v>527</v>
      </c>
      <c r="J193" s="57" t="s">
        <v>2</v>
      </c>
      <c r="K193" s="2" t="s">
        <v>532</v>
      </c>
      <c r="L193" s="2" t="s">
        <v>608</v>
      </c>
      <c r="M193" s="2" t="s">
        <v>531</v>
      </c>
      <c r="N193" s="2" t="s">
        <v>531</v>
      </c>
      <c r="O193" s="2" t="s">
        <v>571</v>
      </c>
      <c r="P193" s="2" t="s">
        <v>573</v>
      </c>
      <c r="Q193" s="67" t="s">
        <v>496</v>
      </c>
      <c r="R193" s="110" t="s">
        <v>519</v>
      </c>
      <c r="S193" s="172">
        <v>100</v>
      </c>
      <c r="T193" s="165">
        <v>1000</v>
      </c>
      <c r="U193" s="67" t="s">
        <v>0</v>
      </c>
      <c r="V193" s="165" t="s">
        <v>0</v>
      </c>
      <c r="W193" s="208">
        <v>889.91301709533468</v>
      </c>
      <c r="X193" s="165">
        <v>50</v>
      </c>
      <c r="Y193" s="195">
        <v>2</v>
      </c>
      <c r="Z193" s="208">
        <v>6.0514085162482762E-4</v>
      </c>
      <c r="AA193" s="270">
        <v>1.512852129062069E-2</v>
      </c>
      <c r="AB193" s="208">
        <v>7.8120097611290433E-5</v>
      </c>
      <c r="AC193" s="201">
        <v>29.098798793067726</v>
      </c>
      <c r="AD193" s="201">
        <v>0.20530770043813584</v>
      </c>
      <c r="AE193" s="265">
        <v>0.11853445611466078</v>
      </c>
      <c r="AF193" s="208">
        <v>832.9776469237521</v>
      </c>
      <c r="AG193" s="378">
        <v>20824.441173093801</v>
      </c>
      <c r="AH193" s="110" t="s">
        <v>660</v>
      </c>
      <c r="AI193" s="394" t="s">
        <v>642</v>
      </c>
    </row>
    <row r="194" spans="1:35" hidden="1" x14ac:dyDescent="0.3">
      <c r="A194" s="151">
        <v>45273</v>
      </c>
      <c r="B194" s="189">
        <v>193</v>
      </c>
      <c r="C194" s="11" t="s">
        <v>544</v>
      </c>
      <c r="D194" s="10" t="s">
        <v>552</v>
      </c>
      <c r="E194" s="2" t="s">
        <v>588</v>
      </c>
      <c r="F194" s="2" t="s">
        <v>584</v>
      </c>
      <c r="G194" s="2" t="s">
        <v>567</v>
      </c>
      <c r="H194" s="14" t="s">
        <v>195</v>
      </c>
      <c r="I194" s="2" t="s">
        <v>527</v>
      </c>
      <c r="J194" s="57" t="s">
        <v>2</v>
      </c>
      <c r="K194" s="2" t="s">
        <v>532</v>
      </c>
      <c r="L194" s="2" t="s">
        <v>608</v>
      </c>
      <c r="M194" s="2" t="s">
        <v>531</v>
      </c>
      <c r="N194" s="2" t="s">
        <v>531</v>
      </c>
      <c r="O194" s="2" t="s">
        <v>571</v>
      </c>
      <c r="P194" s="2" t="s">
        <v>573</v>
      </c>
      <c r="Q194" s="67" t="s">
        <v>497</v>
      </c>
      <c r="R194" s="110" t="s">
        <v>519</v>
      </c>
      <c r="S194" s="172">
        <v>100</v>
      </c>
      <c r="T194" s="165">
        <v>1000</v>
      </c>
      <c r="U194" s="67" t="s">
        <v>0</v>
      </c>
      <c r="V194" s="165" t="s">
        <v>0</v>
      </c>
      <c r="W194" s="208">
        <v>593.67456378699637</v>
      </c>
      <c r="X194" s="165">
        <v>50</v>
      </c>
      <c r="Y194" s="195">
        <v>2</v>
      </c>
      <c r="Z194" s="208">
        <v>4.0369870337515751E-4</v>
      </c>
      <c r="AA194" s="270">
        <v>1.0092467584378938E-2</v>
      </c>
      <c r="AB194" s="208">
        <v>1.1357256043534126E-5</v>
      </c>
      <c r="AC194" s="201">
        <v>29.754895349253548</v>
      </c>
      <c r="AD194" s="201">
        <v>4.581415691055795E-2</v>
      </c>
      <c r="AE194" s="265">
        <v>2.6450815825006389E-2</v>
      </c>
      <c r="AF194" s="208">
        <v>555.69210887135546</v>
      </c>
      <c r="AG194" s="378">
        <v>13892.30272178389</v>
      </c>
      <c r="AH194" s="110" t="s">
        <v>660</v>
      </c>
      <c r="AI194" s="394" t="s">
        <v>642</v>
      </c>
    </row>
    <row r="195" spans="1:35" hidden="1" x14ac:dyDescent="0.3">
      <c r="A195" s="151">
        <v>45273</v>
      </c>
      <c r="B195" s="189">
        <v>194</v>
      </c>
      <c r="C195" s="11" t="s">
        <v>544</v>
      </c>
      <c r="D195" s="10" t="s">
        <v>552</v>
      </c>
      <c r="E195" s="2" t="s">
        <v>588</v>
      </c>
      <c r="F195" s="2" t="s">
        <v>584</v>
      </c>
      <c r="G195" s="2" t="s">
        <v>567</v>
      </c>
      <c r="H195" s="14" t="s">
        <v>196</v>
      </c>
      <c r="I195" s="2" t="s">
        <v>527</v>
      </c>
      <c r="J195" s="57" t="s">
        <v>2</v>
      </c>
      <c r="K195" s="2" t="s">
        <v>532</v>
      </c>
      <c r="L195" s="2" t="s">
        <v>608</v>
      </c>
      <c r="M195" s="2" t="s">
        <v>531</v>
      </c>
      <c r="N195" s="2" t="s">
        <v>531</v>
      </c>
      <c r="O195" s="2" t="s">
        <v>571</v>
      </c>
      <c r="P195" s="2" t="s">
        <v>573</v>
      </c>
      <c r="Q195" s="67" t="s">
        <v>498</v>
      </c>
      <c r="R195" s="110" t="s">
        <v>519</v>
      </c>
      <c r="S195" s="172">
        <v>100</v>
      </c>
      <c r="T195" s="165">
        <v>1000</v>
      </c>
      <c r="U195" s="67" t="s">
        <v>0</v>
      </c>
      <c r="V195" s="165" t="s">
        <v>0</v>
      </c>
      <c r="W195" s="208">
        <v>399.59178899156495</v>
      </c>
      <c r="X195" s="165">
        <v>50</v>
      </c>
      <c r="Y195" s="195">
        <v>2</v>
      </c>
      <c r="Z195" s="208">
        <v>2.7172241651426417E-4</v>
      </c>
      <c r="AA195" s="270">
        <v>6.793060412856604E-3</v>
      </c>
      <c r="AB195" s="208">
        <v>1.1552954302168919E-5</v>
      </c>
      <c r="AC195" s="201">
        <v>30.405243915642419</v>
      </c>
      <c r="AD195" s="201">
        <v>6.9183817952534962E-2</v>
      </c>
      <c r="AE195" s="265">
        <v>3.9943295918462129E-2</v>
      </c>
      <c r="AF195" s="208">
        <v>374.02647419482406</v>
      </c>
      <c r="AG195" s="378">
        <v>9350.661854870601</v>
      </c>
      <c r="AH195" s="110" t="s">
        <v>660</v>
      </c>
      <c r="AI195" s="394" t="s">
        <v>642</v>
      </c>
    </row>
    <row r="196" spans="1:35" hidden="1" x14ac:dyDescent="0.3">
      <c r="A196" s="151">
        <v>45273</v>
      </c>
      <c r="B196" s="189">
        <v>195</v>
      </c>
      <c r="C196" s="11" t="s">
        <v>544</v>
      </c>
      <c r="D196" s="10" t="s">
        <v>552</v>
      </c>
      <c r="E196" s="2" t="s">
        <v>588</v>
      </c>
      <c r="F196" s="2" t="s">
        <v>584</v>
      </c>
      <c r="G196" s="2" t="s">
        <v>567</v>
      </c>
      <c r="H196" s="14" t="s">
        <v>197</v>
      </c>
      <c r="I196" s="2" t="s">
        <v>527</v>
      </c>
      <c r="J196" s="57" t="s">
        <v>2</v>
      </c>
      <c r="K196" s="2" t="s">
        <v>532</v>
      </c>
      <c r="L196" s="2" t="s">
        <v>608</v>
      </c>
      <c r="M196" s="2" t="s">
        <v>531</v>
      </c>
      <c r="N196" s="2" t="s">
        <v>531</v>
      </c>
      <c r="O196" s="2" t="s">
        <v>571</v>
      </c>
      <c r="P196" s="2" t="s">
        <v>573</v>
      </c>
      <c r="Q196" s="67" t="s">
        <v>499</v>
      </c>
      <c r="R196" s="110" t="s">
        <v>519</v>
      </c>
      <c r="S196" s="172">
        <v>100</v>
      </c>
      <c r="T196" s="165">
        <v>1000</v>
      </c>
      <c r="U196" s="67" t="s">
        <v>0</v>
      </c>
      <c r="V196" s="165" t="s">
        <v>0</v>
      </c>
      <c r="W196" s="208">
        <v>16282.891954792933</v>
      </c>
      <c r="X196" s="165">
        <v>50</v>
      </c>
      <c r="Y196" s="195">
        <v>2</v>
      </c>
      <c r="Z196" s="208">
        <v>1.1072366529259194E-2</v>
      </c>
      <c r="AA196" s="270">
        <v>0.27680916323147986</v>
      </c>
      <c r="AB196" s="208">
        <v>6.4254017483961017E-4</v>
      </c>
      <c r="AC196" s="201">
        <v>24.320881452540601</v>
      </c>
      <c r="AD196" s="201">
        <v>9.6840605628501442E-2</v>
      </c>
      <c r="AE196" s="265">
        <v>5.5910949728101698E-2</v>
      </c>
      <c r="AF196" s="208">
        <v>15241.135667267245</v>
      </c>
      <c r="AG196" s="378">
        <v>381028.3916816811</v>
      </c>
      <c r="AH196" s="110" t="s">
        <v>660</v>
      </c>
      <c r="AI196" s="394" t="s">
        <v>642</v>
      </c>
    </row>
    <row r="197" spans="1:35" hidden="1" x14ac:dyDescent="0.3">
      <c r="A197" s="151">
        <v>45273</v>
      </c>
      <c r="B197" s="188">
        <v>196</v>
      </c>
      <c r="C197" s="11" t="s">
        <v>544</v>
      </c>
      <c r="D197" s="10" t="s">
        <v>552</v>
      </c>
      <c r="E197" s="2" t="s">
        <v>588</v>
      </c>
      <c r="F197" s="2" t="s">
        <v>584</v>
      </c>
      <c r="G197" s="2" t="s">
        <v>567</v>
      </c>
      <c r="H197" s="14" t="s">
        <v>198</v>
      </c>
      <c r="I197" s="2" t="s">
        <v>527</v>
      </c>
      <c r="J197" s="57" t="s">
        <v>2</v>
      </c>
      <c r="K197" s="2" t="s">
        <v>532</v>
      </c>
      <c r="L197" s="2" t="s">
        <v>608</v>
      </c>
      <c r="M197" s="2" t="s">
        <v>531</v>
      </c>
      <c r="N197" s="2" t="s">
        <v>531</v>
      </c>
      <c r="O197" s="2" t="s">
        <v>571</v>
      </c>
      <c r="P197" s="2" t="s">
        <v>573</v>
      </c>
      <c r="Q197" s="67" t="s">
        <v>500</v>
      </c>
      <c r="R197" s="110" t="s">
        <v>519</v>
      </c>
      <c r="S197" s="172">
        <v>100</v>
      </c>
      <c r="T197" s="165">
        <v>1000</v>
      </c>
      <c r="U197" s="67" t="s">
        <v>0</v>
      </c>
      <c r="V197" s="165" t="s">
        <v>0</v>
      </c>
      <c r="W197" s="208">
        <v>8717.0777417649879</v>
      </c>
      <c r="X197" s="165">
        <v>50</v>
      </c>
      <c r="Y197" s="195">
        <v>2</v>
      </c>
      <c r="Z197" s="208">
        <v>5.9276128644001917E-3</v>
      </c>
      <c r="AA197" s="270">
        <v>0.14819032161000478</v>
      </c>
      <c r="AB197" s="208">
        <v>3.7884846714394044E-4</v>
      </c>
      <c r="AC197" s="201">
        <v>25.346766808528695</v>
      </c>
      <c r="AD197" s="201">
        <v>0.10326915605002261</v>
      </c>
      <c r="AE197" s="265">
        <v>5.9622475044466029E-2</v>
      </c>
      <c r="AF197" s="208">
        <v>8159.3714957525372</v>
      </c>
      <c r="AG197" s="378">
        <v>203984.28739381343</v>
      </c>
      <c r="AH197" s="110" t="s">
        <v>660</v>
      </c>
      <c r="AI197" s="394" t="s">
        <v>642</v>
      </c>
    </row>
    <row r="198" spans="1:35" hidden="1" x14ac:dyDescent="0.3">
      <c r="A198" s="151">
        <v>45273</v>
      </c>
      <c r="B198" s="189">
        <v>197</v>
      </c>
      <c r="C198" s="11" t="s">
        <v>544</v>
      </c>
      <c r="D198" s="10" t="s">
        <v>552</v>
      </c>
      <c r="E198" s="2" t="s">
        <v>588</v>
      </c>
      <c r="F198" s="2" t="s">
        <v>584</v>
      </c>
      <c r="G198" s="2" t="s">
        <v>567</v>
      </c>
      <c r="H198" s="14" t="s">
        <v>199</v>
      </c>
      <c r="I198" s="2" t="s">
        <v>527</v>
      </c>
      <c r="J198" s="57" t="s">
        <v>2</v>
      </c>
      <c r="K198" s="2" t="s">
        <v>532</v>
      </c>
      <c r="L198" s="2" t="s">
        <v>608</v>
      </c>
      <c r="M198" s="2" t="s">
        <v>531</v>
      </c>
      <c r="N198" s="2" t="s">
        <v>531</v>
      </c>
      <c r="O198" s="2" t="s">
        <v>571</v>
      </c>
      <c r="P198" s="2" t="s">
        <v>573</v>
      </c>
      <c r="Q198" s="67" t="s">
        <v>501</v>
      </c>
      <c r="R198" s="110" t="s">
        <v>519</v>
      </c>
      <c r="S198" s="172">
        <v>100</v>
      </c>
      <c r="T198" s="165">
        <v>1000</v>
      </c>
      <c r="U198" s="67" t="s">
        <v>0</v>
      </c>
      <c r="V198" s="165" t="s">
        <v>0</v>
      </c>
      <c r="W198" s="208">
        <v>3625.9872463209654</v>
      </c>
      <c r="X198" s="165">
        <v>50</v>
      </c>
      <c r="Y198" s="195">
        <v>2</v>
      </c>
      <c r="Z198" s="208">
        <v>2.4656713274982564E-3</v>
      </c>
      <c r="AA198" s="270">
        <v>6.164178318745641E-2</v>
      </c>
      <c r="AB198" s="208">
        <v>6.3472555532131803E-5</v>
      </c>
      <c r="AC198" s="201">
        <v>26.784681065136692</v>
      </c>
      <c r="AD198" s="201">
        <v>4.2107392266324928E-2</v>
      </c>
      <c r="AE198" s="265">
        <v>2.4310714259835865E-2</v>
      </c>
      <c r="AF198" s="208">
        <v>3394.0017352194845</v>
      </c>
      <c r="AG198" s="378">
        <v>84850.043380487114</v>
      </c>
      <c r="AH198" s="110" t="s">
        <v>660</v>
      </c>
      <c r="AI198" s="394" t="s">
        <v>642</v>
      </c>
    </row>
    <row r="199" spans="1:35" hidden="1" x14ac:dyDescent="0.3">
      <c r="A199" s="151">
        <v>45273</v>
      </c>
      <c r="B199" s="189">
        <v>198</v>
      </c>
      <c r="C199" s="11" t="s">
        <v>544</v>
      </c>
      <c r="D199" s="10" t="s">
        <v>552</v>
      </c>
      <c r="E199" s="2" t="s">
        <v>588</v>
      </c>
      <c r="F199" s="2" t="s">
        <v>584</v>
      </c>
      <c r="G199" s="2" t="s">
        <v>567</v>
      </c>
      <c r="H199" s="14" t="s">
        <v>200</v>
      </c>
      <c r="I199" s="2" t="s">
        <v>527</v>
      </c>
      <c r="J199" s="57" t="s">
        <v>2</v>
      </c>
      <c r="K199" s="2" t="s">
        <v>532</v>
      </c>
      <c r="L199" s="2" t="s">
        <v>608</v>
      </c>
      <c r="M199" s="2" t="s">
        <v>531</v>
      </c>
      <c r="N199" s="2" t="s">
        <v>531</v>
      </c>
      <c r="O199" s="2" t="s">
        <v>571</v>
      </c>
      <c r="P199" s="2" t="s">
        <v>573</v>
      </c>
      <c r="Q199" s="67" t="s">
        <v>502</v>
      </c>
      <c r="R199" s="110" t="s">
        <v>519</v>
      </c>
      <c r="S199" s="172">
        <v>100</v>
      </c>
      <c r="T199" s="165">
        <v>1000</v>
      </c>
      <c r="U199" s="67" t="s">
        <v>0</v>
      </c>
      <c r="V199" s="165" t="s">
        <v>0</v>
      </c>
      <c r="W199" s="208">
        <v>4950.981972292926</v>
      </c>
      <c r="X199" s="165">
        <v>50</v>
      </c>
      <c r="Y199" s="195">
        <v>2</v>
      </c>
      <c r="Z199" s="208">
        <v>3.3666677411591894E-3</v>
      </c>
      <c r="AA199" s="270">
        <v>8.4166693528979736E-2</v>
      </c>
      <c r="AB199" s="208">
        <v>7.3344307454338079E-5</v>
      </c>
      <c r="AC199" s="201">
        <v>26.273360987021203</v>
      </c>
      <c r="AD199" s="201">
        <v>3.5961217436077324E-2</v>
      </c>
      <c r="AE199" s="265">
        <v>2.0762218567105906E-2</v>
      </c>
      <c r="AF199" s="208">
        <v>4634.2251815838717</v>
      </c>
      <c r="AG199" s="378">
        <v>115855.62953959679</v>
      </c>
      <c r="AH199" s="110" t="s">
        <v>660</v>
      </c>
      <c r="AI199" s="394" t="s">
        <v>642</v>
      </c>
    </row>
    <row r="200" spans="1:35" hidden="1" x14ac:dyDescent="0.3">
      <c r="A200" s="151">
        <v>45273</v>
      </c>
      <c r="B200" s="189">
        <v>199</v>
      </c>
      <c r="C200" s="11" t="s">
        <v>544</v>
      </c>
      <c r="D200" s="10" t="s">
        <v>552</v>
      </c>
      <c r="E200" s="2" t="s">
        <v>588</v>
      </c>
      <c r="F200" s="2" t="s">
        <v>584</v>
      </c>
      <c r="G200" s="2" t="s">
        <v>567</v>
      </c>
      <c r="H200" s="14" t="s">
        <v>201</v>
      </c>
      <c r="I200" s="2" t="s">
        <v>528</v>
      </c>
      <c r="J200" s="64" t="s">
        <v>1</v>
      </c>
      <c r="K200" s="2" t="s">
        <v>531</v>
      </c>
      <c r="L200" s="2" t="s">
        <v>534</v>
      </c>
      <c r="M200" s="2" t="s">
        <v>531</v>
      </c>
      <c r="N200" s="2" t="s">
        <v>531</v>
      </c>
      <c r="O200" s="2" t="s">
        <v>571</v>
      </c>
      <c r="P200" s="2" t="s">
        <v>573</v>
      </c>
      <c r="Q200" s="67" t="s">
        <v>0</v>
      </c>
      <c r="R200" s="110" t="s">
        <v>519</v>
      </c>
      <c r="S200" s="172">
        <v>100</v>
      </c>
      <c r="T200" s="165" t="s">
        <v>0</v>
      </c>
      <c r="U200" s="67" t="s">
        <v>0</v>
      </c>
      <c r="V200" s="165" t="s">
        <v>0</v>
      </c>
      <c r="W200" s="208">
        <v>290.28368893480831</v>
      </c>
      <c r="X200" s="165">
        <v>50</v>
      </c>
      <c r="Y200" s="195">
        <v>2</v>
      </c>
      <c r="Z200" s="208">
        <v>1.9739290847566965E-4</v>
      </c>
      <c r="AA200" s="270">
        <v>4.934822711891741E-3</v>
      </c>
      <c r="AB200" s="208">
        <v>1.4290183690276669E-5</v>
      </c>
      <c r="AC200" s="201">
        <v>30.931693197939989</v>
      </c>
      <c r="AD200" s="201">
        <v>0.1188817327445668</v>
      </c>
      <c r="AE200" s="265">
        <v>6.8636400401804798E-2</v>
      </c>
      <c r="AF200" s="208">
        <v>271.71175104112388</v>
      </c>
      <c r="AG200" s="378">
        <v>6792.7937760280975</v>
      </c>
      <c r="AH200" s="110"/>
      <c r="AI200" s="393"/>
    </row>
    <row r="201" spans="1:35" hidden="1" x14ac:dyDescent="0.3">
      <c r="A201" s="151">
        <v>45273</v>
      </c>
      <c r="B201" s="189">
        <v>200</v>
      </c>
      <c r="C201" s="11" t="s">
        <v>544</v>
      </c>
      <c r="D201" s="10" t="s">
        <v>552</v>
      </c>
      <c r="E201" s="2" t="s">
        <v>588</v>
      </c>
      <c r="F201" s="2" t="s">
        <v>584</v>
      </c>
      <c r="G201" s="2" t="s">
        <v>567</v>
      </c>
      <c r="H201" s="14" t="s">
        <v>202</v>
      </c>
      <c r="I201" s="2" t="s">
        <v>528</v>
      </c>
      <c r="J201" s="57" t="s">
        <v>2</v>
      </c>
      <c r="K201" s="2" t="s">
        <v>531</v>
      </c>
      <c r="L201" s="2" t="s">
        <v>534</v>
      </c>
      <c r="M201" s="2" t="s">
        <v>531</v>
      </c>
      <c r="N201" s="2" t="s">
        <v>531</v>
      </c>
      <c r="O201" s="2" t="s">
        <v>571</v>
      </c>
      <c r="P201" s="2" t="s">
        <v>573</v>
      </c>
      <c r="Q201" s="67" t="s">
        <v>0</v>
      </c>
      <c r="R201" s="110" t="s">
        <v>519</v>
      </c>
      <c r="S201" s="172">
        <v>100</v>
      </c>
      <c r="T201" s="165" t="s">
        <v>0</v>
      </c>
      <c r="U201" s="67" t="s">
        <v>0</v>
      </c>
      <c r="V201" s="165" t="s">
        <v>0</v>
      </c>
      <c r="W201" s="208">
        <v>519.05140859948085</v>
      </c>
      <c r="X201" s="165">
        <v>50</v>
      </c>
      <c r="Y201" s="195">
        <v>2</v>
      </c>
      <c r="Z201" s="208">
        <v>3.5295495784764695E-4</v>
      </c>
      <c r="AA201" s="270">
        <v>8.8238739461911735E-3</v>
      </c>
      <c r="AB201" s="208">
        <v>1.0851677523291529E-4</v>
      </c>
      <c r="AC201" s="201">
        <v>30.022603643481073</v>
      </c>
      <c r="AD201" s="201">
        <v>0.47343647586363563</v>
      </c>
      <c r="AE201" s="265">
        <v>0.27333867678405782</v>
      </c>
      <c r="AF201" s="208">
        <v>485.84323710520215</v>
      </c>
      <c r="AG201" s="378">
        <v>12146.080927630053</v>
      </c>
      <c r="AH201" s="110"/>
      <c r="AI201" s="393"/>
    </row>
    <row r="202" spans="1:35" hidden="1" x14ac:dyDescent="0.3">
      <c r="A202" s="151">
        <v>45273</v>
      </c>
      <c r="B202" s="189">
        <v>201</v>
      </c>
      <c r="C202" s="11" t="s">
        <v>544</v>
      </c>
      <c r="D202" s="10" t="s">
        <v>552</v>
      </c>
      <c r="E202" s="2" t="s">
        <v>588</v>
      </c>
      <c r="F202" s="2" t="s">
        <v>584</v>
      </c>
      <c r="G202" s="2" t="s">
        <v>567</v>
      </c>
      <c r="H202" s="14" t="s">
        <v>203</v>
      </c>
      <c r="I202" s="2" t="s">
        <v>526</v>
      </c>
      <c r="J202" s="64" t="s">
        <v>1</v>
      </c>
      <c r="K202" s="2" t="s">
        <v>531</v>
      </c>
      <c r="L202" s="2" t="s">
        <v>535</v>
      </c>
      <c r="M202" s="2" t="s">
        <v>531</v>
      </c>
      <c r="N202" s="2" t="s">
        <v>532</v>
      </c>
      <c r="O202" s="2" t="s">
        <v>571</v>
      </c>
      <c r="P202" s="2" t="s">
        <v>573</v>
      </c>
      <c r="Q202" s="67" t="s">
        <v>0</v>
      </c>
      <c r="R202" s="110" t="s">
        <v>539</v>
      </c>
      <c r="S202" s="172">
        <v>100</v>
      </c>
      <c r="T202" s="165" t="s">
        <v>0</v>
      </c>
      <c r="U202" s="67" t="s">
        <v>0</v>
      </c>
      <c r="V202" s="165" t="s">
        <v>0</v>
      </c>
      <c r="W202" s="208">
        <v>762.83964612040916</v>
      </c>
      <c r="X202" s="165">
        <v>50</v>
      </c>
      <c r="Y202" s="195">
        <v>2</v>
      </c>
      <c r="Z202" s="208">
        <v>5.1873095936187826E-4</v>
      </c>
      <c r="AA202" s="270">
        <v>1.2968273984046956E-2</v>
      </c>
      <c r="AB202" s="208">
        <v>1.5028480475157472E-4</v>
      </c>
      <c r="AC202" s="201">
        <v>29.389232243549799</v>
      </c>
      <c r="AD202" s="201">
        <v>0.47831892262235559</v>
      </c>
      <c r="AE202" s="265">
        <v>0.27615755873450881</v>
      </c>
      <c r="AF202" s="208">
        <v>714.0342496388655</v>
      </c>
      <c r="AG202" s="378">
        <v>17850.856240971636</v>
      </c>
      <c r="AH202" s="110"/>
      <c r="AI202" s="393"/>
    </row>
    <row r="203" spans="1:35" hidden="1" x14ac:dyDescent="0.3">
      <c r="A203" s="151">
        <v>45273</v>
      </c>
      <c r="B203" s="189">
        <v>202</v>
      </c>
      <c r="C203" s="11" t="s">
        <v>544</v>
      </c>
      <c r="D203" s="10" t="s">
        <v>552</v>
      </c>
      <c r="E203" s="2" t="s">
        <v>588</v>
      </c>
      <c r="F203" s="2" t="s">
        <v>584</v>
      </c>
      <c r="G203" s="2" t="s">
        <v>567</v>
      </c>
      <c r="H203" s="14" t="s">
        <v>204</v>
      </c>
      <c r="I203" s="2" t="s">
        <v>526</v>
      </c>
      <c r="J203" s="57" t="s">
        <v>2</v>
      </c>
      <c r="K203" s="2" t="s">
        <v>531</v>
      </c>
      <c r="L203" s="2" t="s">
        <v>535</v>
      </c>
      <c r="M203" s="2" t="s">
        <v>531</v>
      </c>
      <c r="N203" s="2" t="s">
        <v>532</v>
      </c>
      <c r="O203" s="2" t="s">
        <v>571</v>
      </c>
      <c r="P203" s="2" t="s">
        <v>573</v>
      </c>
      <c r="Q203" s="67" t="s">
        <v>0</v>
      </c>
      <c r="R203" s="110" t="s">
        <v>519</v>
      </c>
      <c r="S203" s="172">
        <v>100</v>
      </c>
      <c r="T203" s="165" t="s">
        <v>0</v>
      </c>
      <c r="U203" s="67" t="s">
        <v>0</v>
      </c>
      <c r="V203" s="165" t="s">
        <v>0</v>
      </c>
      <c r="W203" s="238">
        <v>323556.35347502446</v>
      </c>
      <c r="X203" s="165">
        <v>50</v>
      </c>
      <c r="Y203" s="195">
        <v>2</v>
      </c>
      <c r="Z203" s="238">
        <v>0.22001832036301663</v>
      </c>
      <c r="AA203" s="277">
        <v>5.500458009075416</v>
      </c>
      <c r="AB203" s="238">
        <v>0.38054630570640602</v>
      </c>
      <c r="AC203" s="222">
        <v>25.996341299672025</v>
      </c>
      <c r="AD203" s="222">
        <v>7.2621054366679081</v>
      </c>
      <c r="AE203" s="290">
        <v>4.1927785287436619</v>
      </c>
      <c r="AF203" s="238">
        <v>302855.67778809444</v>
      </c>
      <c r="AG203" s="385">
        <v>7571391.9447023598</v>
      </c>
      <c r="AH203" s="402"/>
      <c r="AI203" s="393"/>
    </row>
    <row r="204" spans="1:35" hidden="1" x14ac:dyDescent="0.3">
      <c r="A204" s="151">
        <v>45273</v>
      </c>
      <c r="B204" s="189">
        <v>203</v>
      </c>
      <c r="C204" s="11" t="s">
        <v>544</v>
      </c>
      <c r="D204" s="10" t="s">
        <v>552</v>
      </c>
      <c r="E204" s="2" t="s">
        <v>588</v>
      </c>
      <c r="F204" s="2" t="s">
        <v>584</v>
      </c>
      <c r="G204" s="65" t="s">
        <v>567</v>
      </c>
      <c r="H204" s="14" t="s">
        <v>205</v>
      </c>
      <c r="I204" s="67" t="s">
        <v>517</v>
      </c>
      <c r="J204" s="9" t="s">
        <v>0</v>
      </c>
      <c r="K204" s="2" t="s">
        <v>531</v>
      </c>
      <c r="L204" s="2" t="s">
        <v>593</v>
      </c>
      <c r="M204" s="2" t="s">
        <v>532</v>
      </c>
      <c r="N204" s="2" t="s">
        <v>532</v>
      </c>
      <c r="O204" s="67" t="s">
        <v>571</v>
      </c>
      <c r="P204" s="65" t="s">
        <v>573</v>
      </c>
      <c r="Q204" s="67" t="s">
        <v>0</v>
      </c>
      <c r="R204" s="110" t="s">
        <v>519</v>
      </c>
      <c r="S204" s="172">
        <v>100</v>
      </c>
      <c r="T204" s="165" t="s">
        <v>0</v>
      </c>
      <c r="U204" s="67" t="s">
        <v>576</v>
      </c>
      <c r="V204" s="360">
        <v>2000000</v>
      </c>
      <c r="W204" s="208">
        <v>10683719.479554761</v>
      </c>
      <c r="X204" s="165">
        <v>50</v>
      </c>
      <c r="Y204" s="195">
        <v>2</v>
      </c>
      <c r="Z204" s="208">
        <v>7.2649292460972381</v>
      </c>
      <c r="AA204" s="270">
        <v>181.62323115243095</v>
      </c>
      <c r="AB204" s="208">
        <v>2.233715135230911</v>
      </c>
      <c r="AC204" s="220">
        <v>13.7326</v>
      </c>
      <c r="AD204" s="201">
        <v>0.56355</v>
      </c>
      <c r="AE204" s="265">
        <v>0.32535999999999998</v>
      </c>
      <c r="AF204" s="208">
        <v>10000190.289968098</v>
      </c>
      <c r="AG204" s="378">
        <v>250004757.24920243</v>
      </c>
      <c r="AH204" s="110"/>
      <c r="AI204" s="393"/>
    </row>
    <row r="205" spans="1:35" hidden="1" x14ac:dyDescent="0.3">
      <c r="A205" s="151">
        <v>45273</v>
      </c>
      <c r="B205" s="189">
        <v>204</v>
      </c>
      <c r="C205" s="11" t="s">
        <v>544</v>
      </c>
      <c r="D205" s="10" t="s">
        <v>552</v>
      </c>
      <c r="E205" s="2" t="s">
        <v>588</v>
      </c>
      <c r="F205" s="2" t="s">
        <v>584</v>
      </c>
      <c r="G205" s="65" t="s">
        <v>567</v>
      </c>
      <c r="H205" s="14" t="s">
        <v>206</v>
      </c>
      <c r="I205" s="67" t="s">
        <v>517</v>
      </c>
      <c r="J205" s="9" t="s">
        <v>0</v>
      </c>
      <c r="K205" s="2" t="s">
        <v>531</v>
      </c>
      <c r="L205" s="2" t="s">
        <v>593</v>
      </c>
      <c r="M205" s="2" t="s">
        <v>532</v>
      </c>
      <c r="N205" s="2" t="s">
        <v>532</v>
      </c>
      <c r="O205" s="67" t="s">
        <v>571</v>
      </c>
      <c r="P205" s="65" t="s">
        <v>574</v>
      </c>
      <c r="Q205" s="67" t="s">
        <v>0</v>
      </c>
      <c r="R205" s="110" t="s">
        <v>519</v>
      </c>
      <c r="S205" s="172">
        <v>100</v>
      </c>
      <c r="T205" s="165" t="s">
        <v>0</v>
      </c>
      <c r="U205" s="67" t="s">
        <v>576</v>
      </c>
      <c r="V205" s="360">
        <v>2000000</v>
      </c>
      <c r="W205" s="208">
        <v>14325701.409005892</v>
      </c>
      <c r="X205" s="165">
        <v>50</v>
      </c>
      <c r="Y205" s="195">
        <v>2</v>
      </c>
      <c r="Z205" s="208">
        <v>9.7414769581240055</v>
      </c>
      <c r="AA205" s="270">
        <v>243.53692395310014</v>
      </c>
      <c r="AB205" s="208">
        <v>0.3363721834155311</v>
      </c>
      <c r="AC205" s="201">
        <v>13.191599999999999</v>
      </c>
      <c r="AD205" s="201">
        <v>5.6750000000000002E-2</v>
      </c>
      <c r="AE205" s="265">
        <v>3.2759999999999997E-2</v>
      </c>
      <c r="AF205" s="208">
        <v>13409163.391221244</v>
      </c>
      <c r="AG205" s="378">
        <v>335229084.78053105</v>
      </c>
      <c r="AH205" s="110"/>
      <c r="AI205" s="393"/>
    </row>
    <row r="206" spans="1:35" hidden="1" x14ac:dyDescent="0.3">
      <c r="A206" s="151">
        <v>45273</v>
      </c>
      <c r="B206" s="189">
        <v>205</v>
      </c>
      <c r="C206" s="11" t="s">
        <v>544</v>
      </c>
      <c r="D206" s="10" t="s">
        <v>552</v>
      </c>
      <c r="E206" s="2" t="s">
        <v>588</v>
      </c>
      <c r="F206" s="2" t="s">
        <v>584</v>
      </c>
      <c r="G206" s="65" t="s">
        <v>567</v>
      </c>
      <c r="H206" s="14" t="s">
        <v>207</v>
      </c>
      <c r="I206" s="67" t="s">
        <v>517</v>
      </c>
      <c r="J206" s="9" t="s">
        <v>0</v>
      </c>
      <c r="K206" s="2" t="s">
        <v>531</v>
      </c>
      <c r="L206" s="2" t="s">
        <v>593</v>
      </c>
      <c r="M206" s="2" t="s">
        <v>531</v>
      </c>
      <c r="N206" s="2" t="s">
        <v>532</v>
      </c>
      <c r="O206" s="67" t="s">
        <v>571</v>
      </c>
      <c r="P206" s="115" t="s">
        <v>573</v>
      </c>
      <c r="Q206" s="67" t="s">
        <v>0</v>
      </c>
      <c r="R206" s="110" t="s">
        <v>539</v>
      </c>
      <c r="S206" s="172">
        <v>100</v>
      </c>
      <c r="T206" s="165" t="s">
        <v>0</v>
      </c>
      <c r="U206" s="67" t="s">
        <v>576</v>
      </c>
      <c r="V206" s="360">
        <v>2000000</v>
      </c>
      <c r="W206" s="208">
        <v>823061.1383330141</v>
      </c>
      <c r="X206" s="165">
        <v>50</v>
      </c>
      <c r="Y206" s="195">
        <v>2</v>
      </c>
      <c r="Z206" s="208">
        <v>0.55968157406644958</v>
      </c>
      <c r="AA206" s="270">
        <v>13.992039351661239</v>
      </c>
      <c r="AB206" s="208">
        <v>0.48917207537850566</v>
      </c>
      <c r="AC206" s="201">
        <v>24.241900000000001</v>
      </c>
      <c r="AD206" s="201">
        <v>12.1637</v>
      </c>
      <c r="AE206" s="265">
        <v>7.0227199999999996</v>
      </c>
      <c r="AF206" s="208">
        <v>770402.85636092979</v>
      </c>
      <c r="AG206" s="378">
        <v>19260071.409023244</v>
      </c>
      <c r="AH206" s="110"/>
      <c r="AI206" s="393"/>
    </row>
    <row r="207" spans="1:35" hidden="1" x14ac:dyDescent="0.3">
      <c r="A207" s="151">
        <v>45273</v>
      </c>
      <c r="B207" s="189">
        <v>206</v>
      </c>
      <c r="C207" s="11" t="s">
        <v>544</v>
      </c>
      <c r="D207" s="10" t="s">
        <v>552</v>
      </c>
      <c r="E207" s="2" t="s">
        <v>588</v>
      </c>
      <c r="F207" s="2" t="s">
        <v>584</v>
      </c>
      <c r="G207" s="65" t="s">
        <v>567</v>
      </c>
      <c r="H207" s="14" t="s">
        <v>208</v>
      </c>
      <c r="I207" s="67" t="s">
        <v>517</v>
      </c>
      <c r="J207" s="9" t="s">
        <v>0</v>
      </c>
      <c r="K207" s="2" t="s">
        <v>531</v>
      </c>
      <c r="L207" s="2" t="s">
        <v>593</v>
      </c>
      <c r="M207" s="2" t="s">
        <v>531</v>
      </c>
      <c r="N207" s="2" t="s">
        <v>532</v>
      </c>
      <c r="O207" s="67" t="s">
        <v>571</v>
      </c>
      <c r="P207" s="115" t="s">
        <v>574</v>
      </c>
      <c r="Q207" s="67" t="s">
        <v>0</v>
      </c>
      <c r="R207" s="110" t="s">
        <v>519</v>
      </c>
      <c r="S207" s="172">
        <v>100</v>
      </c>
      <c r="T207" s="165" t="s">
        <v>0</v>
      </c>
      <c r="U207" s="67" t="s">
        <v>576</v>
      </c>
      <c r="V207" s="360">
        <v>2000000</v>
      </c>
      <c r="W207" s="208">
        <v>5662831.3321919013</v>
      </c>
      <c r="X207" s="165">
        <v>50</v>
      </c>
      <c r="Y207" s="195">
        <v>2</v>
      </c>
      <c r="Z207" s="208">
        <v>3.8507253058904927</v>
      </c>
      <c r="AA207" s="270">
        <v>96.26813264726232</v>
      </c>
      <c r="AB207" s="208">
        <v>8.778449535341655E-2</v>
      </c>
      <c r="AC207" s="201">
        <v>14.714700000000001</v>
      </c>
      <c r="AD207" s="201">
        <v>3.7280000000000001E-2</v>
      </c>
      <c r="AE207" s="265">
        <v>2.1520000000000001E-2</v>
      </c>
      <c r="AF207" s="208">
        <v>5300531.4310510652</v>
      </c>
      <c r="AG207" s="378">
        <v>132513285.77627665</v>
      </c>
      <c r="AH207" s="110"/>
      <c r="AI207" s="393"/>
    </row>
    <row r="208" spans="1:35" hidden="1" x14ac:dyDescent="0.3">
      <c r="A208" s="145">
        <v>45273</v>
      </c>
      <c r="B208" s="189">
        <v>207</v>
      </c>
      <c r="C208" s="11" t="s">
        <v>544</v>
      </c>
      <c r="D208" s="243" t="s">
        <v>0</v>
      </c>
      <c r="E208" s="243" t="s">
        <v>0</v>
      </c>
      <c r="F208" s="243" t="s">
        <v>0</v>
      </c>
      <c r="G208" s="2" t="s">
        <v>567</v>
      </c>
      <c r="H208" s="14" t="s">
        <v>185</v>
      </c>
      <c r="I208" s="2" t="s">
        <v>521</v>
      </c>
      <c r="J208" s="9" t="s">
        <v>0</v>
      </c>
      <c r="K208" s="2" t="s">
        <v>531</v>
      </c>
      <c r="L208" s="2" t="s">
        <v>521</v>
      </c>
      <c r="M208" s="2" t="s">
        <v>532</v>
      </c>
      <c r="N208" s="2" t="s">
        <v>532</v>
      </c>
      <c r="O208" s="2" t="s">
        <v>571</v>
      </c>
      <c r="P208" s="2" t="s">
        <v>573</v>
      </c>
      <c r="Q208" s="67" t="s">
        <v>0</v>
      </c>
      <c r="R208" s="110" t="s">
        <v>0</v>
      </c>
      <c r="S208" s="172">
        <v>100</v>
      </c>
      <c r="T208" s="165" t="s">
        <v>541</v>
      </c>
      <c r="U208" s="67" t="s">
        <v>0</v>
      </c>
      <c r="V208" s="165" t="s">
        <v>0</v>
      </c>
      <c r="W208" s="208">
        <v>40.416756850023084</v>
      </c>
      <c r="X208" s="165">
        <v>50</v>
      </c>
      <c r="Y208" s="195">
        <v>2</v>
      </c>
      <c r="Z208" s="208">
        <v>2.7483394658015701E-5</v>
      </c>
      <c r="AA208" s="270">
        <v>6.8708486645039247E-4</v>
      </c>
      <c r="AB208" s="208">
        <v>4.318600953821282E-5</v>
      </c>
      <c r="AC208" s="220">
        <v>36.203200000000002</v>
      </c>
      <c r="AD208" s="201">
        <v>3.2382599999999999</v>
      </c>
      <c r="AE208" s="265">
        <v>1.86961</v>
      </c>
      <c r="AF208" s="208">
        <v>37.83095018332007</v>
      </c>
      <c r="AG208" s="378">
        <v>945.77375458300173</v>
      </c>
      <c r="AH208" s="110"/>
      <c r="AI208" s="394" t="s">
        <v>620</v>
      </c>
    </row>
    <row r="209" spans="1:35" ht="16.2" hidden="1" thickBot="1" x14ac:dyDescent="0.35">
      <c r="A209" s="152">
        <v>45273</v>
      </c>
      <c r="B209" s="190">
        <v>208</v>
      </c>
      <c r="C209" s="41" t="s">
        <v>544</v>
      </c>
      <c r="D209" s="244" t="s">
        <v>0</v>
      </c>
      <c r="E209" s="244" t="s">
        <v>0</v>
      </c>
      <c r="F209" s="244" t="s">
        <v>0</v>
      </c>
      <c r="G209" s="4" t="s">
        <v>567</v>
      </c>
      <c r="H209" s="327" t="s">
        <v>186</v>
      </c>
      <c r="I209" s="4" t="s">
        <v>521</v>
      </c>
      <c r="J209" s="40" t="s">
        <v>0</v>
      </c>
      <c r="K209" s="2" t="s">
        <v>531</v>
      </c>
      <c r="L209" s="4" t="s">
        <v>521</v>
      </c>
      <c r="M209" s="23" t="s">
        <v>532</v>
      </c>
      <c r="N209" s="2" t="s">
        <v>532</v>
      </c>
      <c r="O209" s="4" t="s">
        <v>571</v>
      </c>
      <c r="P209" s="4" t="s">
        <v>574</v>
      </c>
      <c r="Q209" s="67" t="s">
        <v>0</v>
      </c>
      <c r="R209" s="111" t="s">
        <v>0</v>
      </c>
      <c r="S209" s="172">
        <v>100</v>
      </c>
      <c r="T209" s="169" t="s">
        <v>0</v>
      </c>
      <c r="U209" s="67" t="s">
        <v>0</v>
      </c>
      <c r="V209" s="169" t="s">
        <v>0</v>
      </c>
      <c r="W209" s="211">
        <v>7.3024332935301963</v>
      </c>
      <c r="X209" s="169">
        <v>50</v>
      </c>
      <c r="Y209" s="205">
        <v>2</v>
      </c>
      <c r="Z209" s="211">
        <v>4.9656546396005337E-6</v>
      </c>
      <c r="AA209" s="278">
        <v>1.2414136599001334E-4</v>
      </c>
      <c r="AB209" s="211">
        <v>4.2137604617245535E-6</v>
      </c>
      <c r="AC209" s="203">
        <v>37.542299999999997</v>
      </c>
      <c r="AD209" s="203">
        <v>1.84426</v>
      </c>
      <c r="AE209" s="268">
        <v>1.0647800000000001</v>
      </c>
      <c r="AF209" s="211">
        <v>6.8352339889537905</v>
      </c>
      <c r="AG209" s="376">
        <v>170.88084972384479</v>
      </c>
      <c r="AH209" s="111"/>
      <c r="AI209" s="405" t="s">
        <v>620</v>
      </c>
    </row>
    <row r="210" spans="1:35" hidden="1" x14ac:dyDescent="0.3">
      <c r="A210" s="149">
        <v>45279</v>
      </c>
      <c r="B210" s="188">
        <v>209</v>
      </c>
      <c r="C210" s="71" t="s">
        <v>549</v>
      </c>
      <c r="D210" s="20" t="s">
        <v>552</v>
      </c>
      <c r="E210" s="17" t="s">
        <v>588</v>
      </c>
      <c r="F210" s="17" t="s">
        <v>584</v>
      </c>
      <c r="G210" s="43" t="s">
        <v>568</v>
      </c>
      <c r="H210" s="334" t="s">
        <v>209</v>
      </c>
      <c r="I210" s="72" t="s">
        <v>517</v>
      </c>
      <c r="J210" s="73" t="s">
        <v>0</v>
      </c>
      <c r="K210" s="17" t="s">
        <v>531</v>
      </c>
      <c r="L210" s="17" t="s">
        <v>593</v>
      </c>
      <c r="M210" s="36" t="s">
        <v>532</v>
      </c>
      <c r="N210" s="72" t="s">
        <v>532</v>
      </c>
      <c r="O210" s="72" t="s">
        <v>570</v>
      </c>
      <c r="P210" s="43" t="s">
        <v>573</v>
      </c>
      <c r="Q210" s="18" t="s">
        <v>0</v>
      </c>
      <c r="R210" s="117" t="s">
        <v>519</v>
      </c>
      <c r="S210" s="181">
        <v>100</v>
      </c>
      <c r="T210" s="193" t="s">
        <v>0</v>
      </c>
      <c r="U210" s="18" t="s">
        <v>576</v>
      </c>
      <c r="V210" s="392">
        <v>200</v>
      </c>
      <c r="W210" s="209">
        <v>313.13667628439913</v>
      </c>
      <c r="X210" s="164">
        <v>50</v>
      </c>
      <c r="Y210" s="194">
        <v>2</v>
      </c>
      <c r="Z210" s="209">
        <v>2.1293293987339142E-4</v>
      </c>
      <c r="AA210" s="279">
        <v>5.3233234968347856E-3</v>
      </c>
      <c r="AB210" s="209">
        <v>1.9600526653801965E-5</v>
      </c>
      <c r="AC210" s="232">
        <v>30.943431518693711</v>
      </c>
      <c r="AD210" s="209">
        <v>0.14680144271492826</v>
      </c>
      <c r="AE210" s="279">
        <v>8.4755852468889267E-2</v>
      </c>
      <c r="AF210" s="209">
        <v>293.10263673664258</v>
      </c>
      <c r="AG210" s="386">
        <v>7327.5659184160659</v>
      </c>
      <c r="AH210" s="117" t="s">
        <v>648</v>
      </c>
      <c r="AI210" s="404" t="s">
        <v>627</v>
      </c>
    </row>
    <row r="211" spans="1:35" hidden="1" x14ac:dyDescent="0.3">
      <c r="A211" s="145">
        <v>45279</v>
      </c>
      <c r="B211" s="189">
        <v>210</v>
      </c>
      <c r="C211" s="70" t="s">
        <v>549</v>
      </c>
      <c r="D211" s="10" t="s">
        <v>552</v>
      </c>
      <c r="E211" s="2" t="s">
        <v>588</v>
      </c>
      <c r="F211" s="2" t="s">
        <v>584</v>
      </c>
      <c r="G211" s="2" t="s">
        <v>568</v>
      </c>
      <c r="H211" s="14" t="s">
        <v>210</v>
      </c>
      <c r="I211" s="2" t="s">
        <v>517</v>
      </c>
      <c r="J211" s="9" t="s">
        <v>0</v>
      </c>
      <c r="K211" s="2" t="s">
        <v>531</v>
      </c>
      <c r="L211" s="2" t="s">
        <v>593</v>
      </c>
      <c r="M211" s="2" t="s">
        <v>532</v>
      </c>
      <c r="N211" s="2" t="s">
        <v>532</v>
      </c>
      <c r="O211" s="2" t="s">
        <v>570</v>
      </c>
      <c r="P211" s="2" t="s">
        <v>573</v>
      </c>
      <c r="Q211" s="67" t="s">
        <v>0</v>
      </c>
      <c r="R211" s="110" t="s">
        <v>519</v>
      </c>
      <c r="S211" s="166">
        <v>100</v>
      </c>
      <c r="T211" s="166" t="s">
        <v>0</v>
      </c>
      <c r="U211" s="67" t="s">
        <v>576</v>
      </c>
      <c r="V211" s="391">
        <v>2000</v>
      </c>
      <c r="W211" s="208">
        <v>3948.1377448176513</v>
      </c>
      <c r="X211" s="165">
        <v>50</v>
      </c>
      <c r="Y211" s="195">
        <v>2</v>
      </c>
      <c r="Z211" s="208">
        <v>2.6847336664760028E-3</v>
      </c>
      <c r="AA211" s="270">
        <v>6.7118341661900074E-2</v>
      </c>
      <c r="AB211" s="208">
        <v>9.4532324500699148E-5</v>
      </c>
      <c r="AC211" s="216">
        <v>26.835149149030276</v>
      </c>
      <c r="AD211" s="208">
        <v>5.6726670832758445E-2</v>
      </c>
      <c r="AE211" s="270">
        <v>3.2751158675524382E-2</v>
      </c>
      <c r="AF211" s="208">
        <v>3695.5415026328837</v>
      </c>
      <c r="AG211" s="378">
        <v>92388.537565822087</v>
      </c>
      <c r="AH211" s="110" t="s">
        <v>648</v>
      </c>
      <c r="AI211" s="394" t="s">
        <v>628</v>
      </c>
    </row>
    <row r="212" spans="1:35" hidden="1" x14ac:dyDescent="0.3">
      <c r="A212" s="145">
        <v>45279</v>
      </c>
      <c r="B212" s="189">
        <v>211</v>
      </c>
      <c r="C212" s="70" t="s">
        <v>549</v>
      </c>
      <c r="D212" s="10" t="s">
        <v>552</v>
      </c>
      <c r="E212" s="2" t="s">
        <v>588</v>
      </c>
      <c r="F212" s="2" t="s">
        <v>584</v>
      </c>
      <c r="G212" s="2" t="s">
        <v>568</v>
      </c>
      <c r="H212" s="14" t="s">
        <v>211</v>
      </c>
      <c r="I212" s="2" t="s">
        <v>517</v>
      </c>
      <c r="J212" s="9" t="s">
        <v>0</v>
      </c>
      <c r="K212" s="2" t="s">
        <v>531</v>
      </c>
      <c r="L212" s="2" t="s">
        <v>593</v>
      </c>
      <c r="M212" s="2" t="s">
        <v>532</v>
      </c>
      <c r="N212" s="2" t="s">
        <v>532</v>
      </c>
      <c r="O212" s="2" t="s">
        <v>570</v>
      </c>
      <c r="P212" s="2" t="s">
        <v>574</v>
      </c>
      <c r="Q212" s="67" t="s">
        <v>0</v>
      </c>
      <c r="R212" s="110" t="s">
        <v>519</v>
      </c>
      <c r="S212" s="166">
        <v>100</v>
      </c>
      <c r="T212" s="166" t="s">
        <v>0</v>
      </c>
      <c r="U212" s="67" t="s">
        <v>576</v>
      </c>
      <c r="V212" s="391">
        <v>2000</v>
      </c>
      <c r="W212" s="208">
        <v>3103.0526739081001</v>
      </c>
      <c r="X212" s="165">
        <v>50</v>
      </c>
      <c r="Y212" s="195">
        <v>2</v>
      </c>
      <c r="Z212" s="208">
        <v>2.1100758182575081E-3</v>
      </c>
      <c r="AA212" s="270">
        <v>5.27518954564377E-2</v>
      </c>
      <c r="AB212" s="208">
        <v>2.221274133710747E-4</v>
      </c>
      <c r="AC212" s="216">
        <v>27.230341916629708</v>
      </c>
      <c r="AD212" s="208">
        <v>0.16613674770789594</v>
      </c>
      <c r="AE212" s="270">
        <v>9.5919096011442662E-2</v>
      </c>
      <c r="AF212" s="208">
        <v>2904.523773603285</v>
      </c>
      <c r="AG212" s="378">
        <v>72613.094340082112</v>
      </c>
      <c r="AH212" s="110" t="s">
        <v>648</v>
      </c>
      <c r="AI212" s="394" t="s">
        <v>628</v>
      </c>
    </row>
    <row r="213" spans="1:35" hidden="1" x14ac:dyDescent="0.3">
      <c r="A213" s="145">
        <v>45279</v>
      </c>
      <c r="B213" s="189">
        <v>212</v>
      </c>
      <c r="C213" s="70" t="s">
        <v>549</v>
      </c>
      <c r="D213" s="10" t="s">
        <v>552</v>
      </c>
      <c r="E213" s="2" t="s">
        <v>588</v>
      </c>
      <c r="F213" s="2" t="s">
        <v>584</v>
      </c>
      <c r="G213" s="2" t="s">
        <v>568</v>
      </c>
      <c r="H213" s="14" t="s">
        <v>212</v>
      </c>
      <c r="I213" s="2" t="s">
        <v>517</v>
      </c>
      <c r="J213" s="9" t="s">
        <v>0</v>
      </c>
      <c r="K213" s="2" t="s">
        <v>531</v>
      </c>
      <c r="L213" s="2" t="s">
        <v>593</v>
      </c>
      <c r="M213" s="2" t="s">
        <v>532</v>
      </c>
      <c r="N213" s="2" t="s">
        <v>532</v>
      </c>
      <c r="O213" s="2" t="s">
        <v>570</v>
      </c>
      <c r="P213" s="2" t="s">
        <v>573</v>
      </c>
      <c r="Q213" s="67" t="s">
        <v>0</v>
      </c>
      <c r="R213" s="110" t="s">
        <v>519</v>
      </c>
      <c r="S213" s="166">
        <v>100</v>
      </c>
      <c r="T213" s="166" t="s">
        <v>0</v>
      </c>
      <c r="U213" s="67" t="s">
        <v>576</v>
      </c>
      <c r="V213" s="391">
        <v>20000</v>
      </c>
      <c r="W213" s="208">
        <v>44976.072633814802</v>
      </c>
      <c r="X213" s="165">
        <v>50</v>
      </c>
      <c r="Y213" s="195">
        <v>2</v>
      </c>
      <c r="Z213" s="208">
        <v>3.0583729390994067E-2</v>
      </c>
      <c r="AA213" s="270">
        <v>0.76459323477485164</v>
      </c>
      <c r="AB213" s="208">
        <v>3.4971056652206628E-3</v>
      </c>
      <c r="AC213" s="216">
        <v>22.901558495220062</v>
      </c>
      <c r="AD213" s="208">
        <v>0.18797497764816878</v>
      </c>
      <c r="AE213" s="270">
        <v>0.10852740394608414</v>
      </c>
      <c r="AF213" s="208">
        <v>42098.56742254323</v>
      </c>
      <c r="AG213" s="378">
        <v>1052464.1855635808</v>
      </c>
      <c r="AH213" s="110" t="s">
        <v>648</v>
      </c>
      <c r="AI213" s="394" t="s">
        <v>650</v>
      </c>
    </row>
    <row r="214" spans="1:35" hidden="1" x14ac:dyDescent="0.3">
      <c r="A214" s="145">
        <v>45279</v>
      </c>
      <c r="B214" s="189">
        <v>213</v>
      </c>
      <c r="C214" s="70" t="s">
        <v>549</v>
      </c>
      <c r="D214" s="10" t="s">
        <v>552</v>
      </c>
      <c r="E214" s="2" t="s">
        <v>588</v>
      </c>
      <c r="F214" s="2" t="s">
        <v>584</v>
      </c>
      <c r="G214" s="2" t="s">
        <v>568</v>
      </c>
      <c r="H214" s="14" t="s">
        <v>213</v>
      </c>
      <c r="I214" s="2" t="s">
        <v>517</v>
      </c>
      <c r="J214" s="9" t="s">
        <v>0</v>
      </c>
      <c r="K214" s="2" t="s">
        <v>531</v>
      </c>
      <c r="L214" s="2" t="s">
        <v>593</v>
      </c>
      <c r="M214" s="2" t="s">
        <v>532</v>
      </c>
      <c r="N214" s="2" t="s">
        <v>532</v>
      </c>
      <c r="O214" s="2" t="s">
        <v>570</v>
      </c>
      <c r="P214" s="2" t="s">
        <v>574</v>
      </c>
      <c r="Q214" s="67" t="s">
        <v>0</v>
      </c>
      <c r="R214" s="110" t="s">
        <v>519</v>
      </c>
      <c r="S214" s="166">
        <v>100</v>
      </c>
      <c r="T214" s="166" t="s">
        <v>0</v>
      </c>
      <c r="U214" s="67" t="s">
        <v>576</v>
      </c>
      <c r="V214" s="391">
        <v>20000</v>
      </c>
      <c r="W214" s="208">
        <v>39457.069374464299</v>
      </c>
      <c r="X214" s="165">
        <v>50</v>
      </c>
      <c r="Y214" s="195">
        <v>2</v>
      </c>
      <c r="Z214" s="208">
        <v>2.6830807174635724E-2</v>
      </c>
      <c r="AA214" s="270">
        <v>0.67077017936589312</v>
      </c>
      <c r="AB214" s="208">
        <v>6.2033212163564132E-3</v>
      </c>
      <c r="AC214" s="216">
        <v>23.135653187179088</v>
      </c>
      <c r="AD214" s="208">
        <v>0.37846850760975481</v>
      </c>
      <c r="AE214" s="270">
        <v>0.21850889474828789</v>
      </c>
      <c r="AF214" s="208">
        <v>36932.662148628347</v>
      </c>
      <c r="AG214" s="378">
        <v>923316.55371570855</v>
      </c>
      <c r="AH214" s="110" t="s">
        <v>648</v>
      </c>
      <c r="AI214" s="394" t="s">
        <v>629</v>
      </c>
    </row>
    <row r="215" spans="1:35" hidden="1" x14ac:dyDescent="0.3">
      <c r="A215" s="145">
        <v>45279</v>
      </c>
      <c r="B215" s="189">
        <v>214</v>
      </c>
      <c r="C215" s="70" t="s">
        <v>549</v>
      </c>
      <c r="D215" s="10" t="s">
        <v>552</v>
      </c>
      <c r="E215" s="2" t="s">
        <v>588</v>
      </c>
      <c r="F215" s="2" t="s">
        <v>584</v>
      </c>
      <c r="G215" s="2" t="s">
        <v>568</v>
      </c>
      <c r="H215" s="14" t="s">
        <v>214</v>
      </c>
      <c r="I215" s="2" t="s">
        <v>517</v>
      </c>
      <c r="J215" s="9" t="s">
        <v>0</v>
      </c>
      <c r="K215" s="2" t="s">
        <v>531</v>
      </c>
      <c r="L215" s="2" t="s">
        <v>593</v>
      </c>
      <c r="M215" s="2" t="s">
        <v>532</v>
      </c>
      <c r="N215" s="2" t="s">
        <v>532</v>
      </c>
      <c r="O215" s="2" t="s">
        <v>570</v>
      </c>
      <c r="P215" s="2" t="s">
        <v>573</v>
      </c>
      <c r="Q215" s="67" t="s">
        <v>0</v>
      </c>
      <c r="R215" s="110" t="s">
        <v>519</v>
      </c>
      <c r="S215" s="166">
        <v>100</v>
      </c>
      <c r="T215" s="166" t="s">
        <v>0</v>
      </c>
      <c r="U215" s="67" t="s">
        <v>576</v>
      </c>
      <c r="V215" s="391">
        <v>200000</v>
      </c>
      <c r="W215" s="208">
        <v>531992.94060014852</v>
      </c>
      <c r="X215" s="165">
        <v>50</v>
      </c>
      <c r="Y215" s="195">
        <v>2</v>
      </c>
      <c r="Z215" s="208">
        <v>0.36175519960810099</v>
      </c>
      <c r="AA215" s="270">
        <v>9.0438799902025249</v>
      </c>
      <c r="AB215" s="208">
        <v>2.4729494703764187E-2</v>
      </c>
      <c r="AC215" s="216">
        <v>18.895783952043015</v>
      </c>
      <c r="AD215" s="208">
        <v>0.10891058594540062</v>
      </c>
      <c r="AE215" s="270">
        <v>6.2879556113176929E-2</v>
      </c>
      <c r="AF215" s="208">
        <v>497956.78827977699</v>
      </c>
      <c r="AG215" s="378">
        <v>12448919.706994426</v>
      </c>
      <c r="AH215" s="110" t="s">
        <v>648</v>
      </c>
      <c r="AI215" s="394" t="s">
        <v>651</v>
      </c>
    </row>
    <row r="216" spans="1:35" hidden="1" x14ac:dyDescent="0.3">
      <c r="A216" s="145">
        <v>45279</v>
      </c>
      <c r="B216" s="189">
        <v>215</v>
      </c>
      <c r="C216" s="70" t="s">
        <v>549</v>
      </c>
      <c r="D216" s="10" t="s">
        <v>552</v>
      </c>
      <c r="E216" s="2" t="s">
        <v>588</v>
      </c>
      <c r="F216" s="2" t="s">
        <v>584</v>
      </c>
      <c r="G216" s="2" t="s">
        <v>568</v>
      </c>
      <c r="H216" s="14" t="s">
        <v>215</v>
      </c>
      <c r="I216" s="2" t="s">
        <v>517</v>
      </c>
      <c r="J216" s="9" t="s">
        <v>0</v>
      </c>
      <c r="K216" s="2" t="s">
        <v>531</v>
      </c>
      <c r="L216" s="2" t="s">
        <v>593</v>
      </c>
      <c r="M216" s="2" t="s">
        <v>532</v>
      </c>
      <c r="N216" s="2" t="s">
        <v>532</v>
      </c>
      <c r="O216" s="2" t="s">
        <v>570</v>
      </c>
      <c r="P216" s="2" t="s">
        <v>574</v>
      </c>
      <c r="Q216" s="67" t="s">
        <v>0</v>
      </c>
      <c r="R216" s="110" t="s">
        <v>519</v>
      </c>
      <c r="S216" s="166">
        <v>100</v>
      </c>
      <c r="T216" s="166" t="s">
        <v>0</v>
      </c>
      <c r="U216" s="67" t="s">
        <v>576</v>
      </c>
      <c r="V216" s="391">
        <v>200000</v>
      </c>
      <c r="W216" s="208">
        <v>368049.89955866331</v>
      </c>
      <c r="X216" s="165">
        <v>50</v>
      </c>
      <c r="Y216" s="195">
        <v>2</v>
      </c>
      <c r="Z216" s="208">
        <v>0.25027393169989104</v>
      </c>
      <c r="AA216" s="270">
        <v>6.2568482924972759</v>
      </c>
      <c r="AB216" s="208">
        <v>2.1274267457887942E-2</v>
      </c>
      <c r="AC216" s="216">
        <v>19.493824056386387</v>
      </c>
      <c r="AD216" s="208">
        <v>0.13646856282124939</v>
      </c>
      <c r="AE216" s="270">
        <v>7.8790161480769699E-2</v>
      </c>
      <c r="AF216" s="208">
        <v>344502.59002341976</v>
      </c>
      <c r="AG216" s="378">
        <v>8612564.7505854946</v>
      </c>
      <c r="AH216" s="110" t="s">
        <v>648</v>
      </c>
      <c r="AI216" s="394" t="s">
        <v>630</v>
      </c>
    </row>
    <row r="217" spans="1:35" hidden="1" x14ac:dyDescent="0.3">
      <c r="A217" s="145">
        <v>45279</v>
      </c>
      <c r="B217" s="189">
        <v>216</v>
      </c>
      <c r="C217" s="70" t="s">
        <v>549</v>
      </c>
      <c r="D217" s="10" t="s">
        <v>552</v>
      </c>
      <c r="E217" s="2" t="s">
        <v>588</v>
      </c>
      <c r="F217" s="2" t="s">
        <v>584</v>
      </c>
      <c r="G217" s="2" t="s">
        <v>568</v>
      </c>
      <c r="H217" s="14" t="s">
        <v>216</v>
      </c>
      <c r="I217" s="2" t="s">
        <v>517</v>
      </c>
      <c r="J217" s="9" t="s">
        <v>0</v>
      </c>
      <c r="K217" s="2" t="s">
        <v>531</v>
      </c>
      <c r="L217" s="2" t="s">
        <v>593</v>
      </c>
      <c r="M217" s="2" t="s">
        <v>532</v>
      </c>
      <c r="N217" s="2" t="s">
        <v>532</v>
      </c>
      <c r="O217" s="2" t="s">
        <v>570</v>
      </c>
      <c r="P217" s="2" t="s">
        <v>573</v>
      </c>
      <c r="Q217" s="67" t="s">
        <v>0</v>
      </c>
      <c r="R217" s="110" t="s">
        <v>519</v>
      </c>
      <c r="S217" s="166">
        <v>100</v>
      </c>
      <c r="T217" s="166" t="s">
        <v>0</v>
      </c>
      <c r="U217" s="67" t="s">
        <v>576</v>
      </c>
      <c r="V217" s="391">
        <v>2000000</v>
      </c>
      <c r="W217" s="208">
        <v>8581029.0018434804</v>
      </c>
      <c r="X217" s="165">
        <v>50</v>
      </c>
      <c r="Y217" s="195">
        <v>2</v>
      </c>
      <c r="Z217" s="208">
        <v>5.8350997212535667</v>
      </c>
      <c r="AA217" s="280">
        <v>145.87749303133916</v>
      </c>
      <c r="AB217" s="208">
        <v>0.8534641743584177</v>
      </c>
      <c r="AC217" s="216">
        <v>14.402209159819236</v>
      </c>
      <c r="AD217" s="208">
        <v>0.24790578991442735</v>
      </c>
      <c r="AE217" s="270">
        <v>0.14312847454076144</v>
      </c>
      <c r="AF217" s="208">
        <v>8032026.9608713062</v>
      </c>
      <c r="AG217" s="378">
        <v>200800674.02178264</v>
      </c>
      <c r="AH217" s="110" t="s">
        <v>648</v>
      </c>
      <c r="AI217" s="394" t="s">
        <v>631</v>
      </c>
    </row>
    <row r="218" spans="1:35" hidden="1" x14ac:dyDescent="0.3">
      <c r="A218" s="145">
        <v>45279</v>
      </c>
      <c r="B218" s="189">
        <v>217</v>
      </c>
      <c r="C218" s="70" t="s">
        <v>549</v>
      </c>
      <c r="D218" s="10" t="s">
        <v>552</v>
      </c>
      <c r="E218" s="2" t="s">
        <v>588</v>
      </c>
      <c r="F218" s="2" t="s">
        <v>584</v>
      </c>
      <c r="G218" s="2" t="s">
        <v>568</v>
      </c>
      <c r="H218" s="14" t="s">
        <v>217</v>
      </c>
      <c r="I218" s="2" t="s">
        <v>517</v>
      </c>
      <c r="J218" s="9" t="s">
        <v>0</v>
      </c>
      <c r="K218" s="2" t="s">
        <v>531</v>
      </c>
      <c r="L218" s="2" t="s">
        <v>593</v>
      </c>
      <c r="M218" s="2" t="s">
        <v>532</v>
      </c>
      <c r="N218" s="2" t="s">
        <v>532</v>
      </c>
      <c r="O218" s="2" t="s">
        <v>570</v>
      </c>
      <c r="P218" s="2" t="s">
        <v>574</v>
      </c>
      <c r="Q218" s="67" t="s">
        <v>0</v>
      </c>
      <c r="R218" s="110" t="s">
        <v>519</v>
      </c>
      <c r="S218" s="166">
        <v>100</v>
      </c>
      <c r="T218" s="166" t="s">
        <v>0</v>
      </c>
      <c r="U218" s="67" t="s">
        <v>576</v>
      </c>
      <c r="V218" s="391">
        <v>2000000</v>
      </c>
      <c r="W218" s="208">
        <v>9189268.8553588986</v>
      </c>
      <c r="X218" s="165">
        <v>50</v>
      </c>
      <c r="Y218" s="195">
        <v>2</v>
      </c>
      <c r="Z218" s="208">
        <v>6.2487028216440512</v>
      </c>
      <c r="AA218" s="270">
        <v>156.21757054110128</v>
      </c>
      <c r="AB218" s="208">
        <v>0.38052539680948949</v>
      </c>
      <c r="AC218" s="216">
        <v>14.280979935315164</v>
      </c>
      <c r="AD218" s="208">
        <v>9.7058172780402491E-2</v>
      </c>
      <c r="AE218" s="270">
        <v>5.6036562181818586E-2</v>
      </c>
      <c r="AF218" s="208">
        <v>8601352.492933102</v>
      </c>
      <c r="AG218" s="378">
        <v>215033812.32332757</v>
      </c>
      <c r="AH218" s="110" t="s">
        <v>648</v>
      </c>
      <c r="AI218" s="394" t="s">
        <v>631</v>
      </c>
    </row>
    <row r="219" spans="1:35" hidden="1" x14ac:dyDescent="0.3">
      <c r="A219" s="145">
        <v>45279</v>
      </c>
      <c r="B219" s="189">
        <v>218</v>
      </c>
      <c r="C219" s="70" t="s">
        <v>549</v>
      </c>
      <c r="D219" s="10" t="s">
        <v>552</v>
      </c>
      <c r="E219" s="2" t="s">
        <v>588</v>
      </c>
      <c r="F219" s="2" t="s">
        <v>584</v>
      </c>
      <c r="G219" s="2" t="s">
        <v>568</v>
      </c>
      <c r="H219" s="14" t="s">
        <v>218</v>
      </c>
      <c r="I219" s="2" t="s">
        <v>525</v>
      </c>
      <c r="J219" s="9" t="s">
        <v>0</v>
      </c>
      <c r="K219" s="2" t="s">
        <v>531</v>
      </c>
      <c r="L219" s="2" t="s">
        <v>533</v>
      </c>
      <c r="M219" s="2" t="s">
        <v>532</v>
      </c>
      <c r="N219" s="2" t="s">
        <v>532</v>
      </c>
      <c r="O219" s="2" t="s">
        <v>570</v>
      </c>
      <c r="P219" s="2" t="s">
        <v>573</v>
      </c>
      <c r="Q219" s="67" t="s">
        <v>0</v>
      </c>
      <c r="R219" s="110" t="s">
        <v>0</v>
      </c>
      <c r="S219" s="166">
        <v>100</v>
      </c>
      <c r="T219" s="166" t="s">
        <v>0</v>
      </c>
      <c r="U219" s="67" t="s">
        <v>0</v>
      </c>
      <c r="V219" s="208" t="s">
        <v>0</v>
      </c>
      <c r="W219" s="208" t="s">
        <v>0</v>
      </c>
      <c r="X219" s="165">
        <v>50</v>
      </c>
      <c r="Y219" s="195">
        <v>2</v>
      </c>
      <c r="Z219" s="293" t="s">
        <v>0</v>
      </c>
      <c r="AA219" s="299" t="s">
        <v>0</v>
      </c>
      <c r="AB219" s="293" t="s">
        <v>0</v>
      </c>
      <c r="AC219" s="216">
        <v>37.025696621419478</v>
      </c>
      <c r="AD219" s="208">
        <v>0.14200103664732322</v>
      </c>
      <c r="AE219" s="270">
        <v>0.10040989594884168</v>
      </c>
      <c r="AF219" s="293" t="s">
        <v>0</v>
      </c>
      <c r="AG219" s="381" t="s">
        <v>0</v>
      </c>
      <c r="AH219" s="400"/>
      <c r="AI219" s="393"/>
    </row>
    <row r="220" spans="1:35" hidden="1" x14ac:dyDescent="0.3">
      <c r="A220" s="145">
        <v>45279</v>
      </c>
      <c r="B220" s="189">
        <v>219</v>
      </c>
      <c r="C220" s="70" t="s">
        <v>549</v>
      </c>
      <c r="D220" s="35" t="s">
        <v>596</v>
      </c>
      <c r="E220" s="2" t="s">
        <v>589</v>
      </c>
      <c r="F220" s="2" t="s">
        <v>585</v>
      </c>
      <c r="G220" s="2" t="s">
        <v>568</v>
      </c>
      <c r="H220" s="332" t="s">
        <v>219</v>
      </c>
      <c r="I220" s="2" t="s">
        <v>517</v>
      </c>
      <c r="J220" s="9" t="s">
        <v>0</v>
      </c>
      <c r="K220" s="2" t="s">
        <v>531</v>
      </c>
      <c r="L220" s="2" t="s">
        <v>593</v>
      </c>
      <c r="M220" s="2" t="s">
        <v>532</v>
      </c>
      <c r="N220" s="2" t="s">
        <v>532</v>
      </c>
      <c r="O220" s="2" t="s">
        <v>570</v>
      </c>
      <c r="P220" s="2" t="s">
        <v>573</v>
      </c>
      <c r="Q220" s="67" t="s">
        <v>0</v>
      </c>
      <c r="R220" s="110" t="s">
        <v>519</v>
      </c>
      <c r="S220" s="166">
        <v>100</v>
      </c>
      <c r="T220" s="166" t="s">
        <v>0</v>
      </c>
      <c r="U220" s="67" t="s">
        <v>576</v>
      </c>
      <c r="V220" s="391">
        <v>200</v>
      </c>
      <c r="W220" s="238">
        <v>1291.1221834666042</v>
      </c>
      <c r="X220" s="165">
        <v>50</v>
      </c>
      <c r="Y220" s="195">
        <v>2</v>
      </c>
      <c r="Z220" s="208">
        <v>8.7796308475729086E-4</v>
      </c>
      <c r="AA220" s="270">
        <v>2.1949077118932271E-2</v>
      </c>
      <c r="AB220" s="208">
        <v>6.6844598389358774E-5</v>
      </c>
      <c r="AC220" s="216">
        <v>28.647729971818723</v>
      </c>
      <c r="AD220" s="208">
        <v>0.12085367533960727</v>
      </c>
      <c r="AE220" s="270">
        <v>6.9774901989877902E-2</v>
      </c>
      <c r="AF220" s="208">
        <v>1208.5180209919945</v>
      </c>
      <c r="AG220" s="378">
        <v>30212.95052479986</v>
      </c>
      <c r="AH220" s="110" t="s">
        <v>658</v>
      </c>
      <c r="AI220" s="393" t="s">
        <v>653</v>
      </c>
    </row>
    <row r="221" spans="1:35" hidden="1" x14ac:dyDescent="0.3">
      <c r="A221" s="145">
        <v>45279</v>
      </c>
      <c r="B221" s="189">
        <v>220</v>
      </c>
      <c r="C221" s="70" t="s">
        <v>549</v>
      </c>
      <c r="D221" s="35" t="s">
        <v>596</v>
      </c>
      <c r="E221" s="2" t="s">
        <v>589</v>
      </c>
      <c r="F221" s="2" t="s">
        <v>585</v>
      </c>
      <c r="G221" s="2" t="s">
        <v>568</v>
      </c>
      <c r="H221" s="332" t="s">
        <v>220</v>
      </c>
      <c r="I221" s="2" t="s">
        <v>517</v>
      </c>
      <c r="J221" s="9" t="s">
        <v>0</v>
      </c>
      <c r="K221" s="2" t="s">
        <v>531</v>
      </c>
      <c r="L221" s="2" t="s">
        <v>593</v>
      </c>
      <c r="M221" s="2" t="s">
        <v>532</v>
      </c>
      <c r="N221" s="2" t="s">
        <v>532</v>
      </c>
      <c r="O221" s="2" t="s">
        <v>570</v>
      </c>
      <c r="P221" s="2" t="s">
        <v>573</v>
      </c>
      <c r="Q221" s="67" t="s">
        <v>0</v>
      </c>
      <c r="R221" s="110" t="s">
        <v>519</v>
      </c>
      <c r="S221" s="166">
        <v>100</v>
      </c>
      <c r="T221" s="166" t="s">
        <v>0</v>
      </c>
      <c r="U221" s="67" t="s">
        <v>576</v>
      </c>
      <c r="V221" s="391">
        <v>2000</v>
      </c>
      <c r="W221" s="238">
        <v>11434.202873445538</v>
      </c>
      <c r="X221" s="165">
        <v>50</v>
      </c>
      <c r="Y221" s="195">
        <v>2</v>
      </c>
      <c r="Z221" s="208">
        <v>7.7752579539429652E-3</v>
      </c>
      <c r="AA221" s="270">
        <v>0.19438144884857414</v>
      </c>
      <c r="AB221" s="208">
        <v>5.2302102916098974E-4</v>
      </c>
      <c r="AC221" s="216">
        <v>25.114770796283967</v>
      </c>
      <c r="AD221" s="208">
        <v>0.10869493311339867</v>
      </c>
      <c r="AE221" s="270">
        <v>6.2755048892569096E-2</v>
      </c>
      <c r="AF221" s="208">
        <v>10702.658822835416</v>
      </c>
      <c r="AG221" s="206">
        <v>267566.4705708854</v>
      </c>
      <c r="AH221" s="110" t="s">
        <v>658</v>
      </c>
      <c r="AI221" s="394" t="s">
        <v>654</v>
      </c>
    </row>
    <row r="222" spans="1:35" hidden="1" x14ac:dyDescent="0.3">
      <c r="A222" s="145">
        <v>45279</v>
      </c>
      <c r="B222" s="189">
        <v>221</v>
      </c>
      <c r="C222" s="70" t="s">
        <v>549</v>
      </c>
      <c r="D222" s="35" t="s">
        <v>596</v>
      </c>
      <c r="E222" s="2" t="s">
        <v>589</v>
      </c>
      <c r="F222" s="2" t="s">
        <v>585</v>
      </c>
      <c r="G222" s="2" t="s">
        <v>568</v>
      </c>
      <c r="H222" s="332" t="s">
        <v>221</v>
      </c>
      <c r="I222" s="2" t="s">
        <v>517</v>
      </c>
      <c r="J222" s="9" t="s">
        <v>0</v>
      </c>
      <c r="K222" s="2" t="s">
        <v>531</v>
      </c>
      <c r="L222" s="2" t="s">
        <v>593</v>
      </c>
      <c r="M222" s="2" t="s">
        <v>532</v>
      </c>
      <c r="N222" s="2" t="s">
        <v>532</v>
      </c>
      <c r="O222" s="2" t="s">
        <v>570</v>
      </c>
      <c r="P222" s="2" t="s">
        <v>574</v>
      </c>
      <c r="Q222" s="67" t="s">
        <v>0</v>
      </c>
      <c r="R222" s="110" t="s">
        <v>519</v>
      </c>
      <c r="S222" s="166">
        <v>100</v>
      </c>
      <c r="T222" s="166" t="s">
        <v>0</v>
      </c>
      <c r="U222" s="67" t="s">
        <v>576</v>
      </c>
      <c r="V222" s="391">
        <v>2000</v>
      </c>
      <c r="W222" s="238">
        <v>10046.371239465065</v>
      </c>
      <c r="X222" s="165">
        <v>50</v>
      </c>
      <c r="Y222" s="195">
        <v>2</v>
      </c>
      <c r="Z222" s="208">
        <v>6.8315324428362446E-3</v>
      </c>
      <c r="AA222" s="270">
        <v>0.17078831107090611</v>
      </c>
      <c r="AB222" s="208">
        <v>8.5987631096993272E-4</v>
      </c>
      <c r="AC222" s="216">
        <v>25.330863689273034</v>
      </c>
      <c r="AD222" s="208">
        <v>0.21111302660197112</v>
      </c>
      <c r="AE222" s="270">
        <v>0.12188616273808466</v>
      </c>
      <c r="AF222" s="208">
        <v>9403.6186845388929</v>
      </c>
      <c r="AG222" s="206">
        <v>235090.46711347235</v>
      </c>
      <c r="AH222" s="110" t="s">
        <v>658</v>
      </c>
      <c r="AI222" s="394" t="s">
        <v>654</v>
      </c>
    </row>
    <row r="223" spans="1:35" hidden="1" x14ac:dyDescent="0.3">
      <c r="A223" s="145">
        <v>45279</v>
      </c>
      <c r="B223" s="188">
        <v>222</v>
      </c>
      <c r="C223" s="70" t="s">
        <v>549</v>
      </c>
      <c r="D223" s="35" t="s">
        <v>596</v>
      </c>
      <c r="E223" s="2" t="s">
        <v>589</v>
      </c>
      <c r="F223" s="2" t="s">
        <v>585</v>
      </c>
      <c r="G223" s="2" t="s">
        <v>568</v>
      </c>
      <c r="H223" s="14" t="s">
        <v>222</v>
      </c>
      <c r="I223" s="2" t="s">
        <v>517</v>
      </c>
      <c r="J223" s="9" t="s">
        <v>0</v>
      </c>
      <c r="K223" s="2" t="s">
        <v>531</v>
      </c>
      <c r="L223" s="2" t="s">
        <v>593</v>
      </c>
      <c r="M223" s="2" t="s">
        <v>532</v>
      </c>
      <c r="N223" s="2" t="s">
        <v>532</v>
      </c>
      <c r="O223" s="2" t="s">
        <v>570</v>
      </c>
      <c r="P223" s="2" t="s">
        <v>573</v>
      </c>
      <c r="Q223" s="67" t="s">
        <v>0</v>
      </c>
      <c r="R223" s="110" t="s">
        <v>519</v>
      </c>
      <c r="S223" s="166">
        <v>100</v>
      </c>
      <c r="T223" s="166" t="s">
        <v>0</v>
      </c>
      <c r="U223" s="67" t="s">
        <v>576</v>
      </c>
      <c r="V223" s="391">
        <v>20000</v>
      </c>
      <c r="W223" s="208">
        <v>85484.159005262263</v>
      </c>
      <c r="X223" s="165">
        <v>50</v>
      </c>
      <c r="Y223" s="195">
        <v>2</v>
      </c>
      <c r="Z223" s="208">
        <v>5.812922812357834E-2</v>
      </c>
      <c r="AA223" s="270">
        <v>1.4532307030894585</v>
      </c>
      <c r="AB223" s="208">
        <v>2.1544703700296483E-3</v>
      </c>
      <c r="AC223" s="216">
        <v>21.855028814535899</v>
      </c>
      <c r="AD223" s="208">
        <v>5.9474594613348003E-2</v>
      </c>
      <c r="AE223" s="270">
        <v>3.433767320996034E-2</v>
      </c>
      <c r="AF223" s="208">
        <v>80015.003994296028</v>
      </c>
      <c r="AG223" s="206">
        <v>2000375.0998574004</v>
      </c>
      <c r="AH223" s="110" t="s">
        <v>658</v>
      </c>
      <c r="AI223" s="393" t="s">
        <v>655</v>
      </c>
    </row>
    <row r="224" spans="1:35" hidden="1" x14ac:dyDescent="0.3">
      <c r="A224" s="145">
        <v>45279</v>
      </c>
      <c r="B224" s="189">
        <v>223</v>
      </c>
      <c r="C224" s="70" t="s">
        <v>549</v>
      </c>
      <c r="D224" s="35" t="s">
        <v>596</v>
      </c>
      <c r="E224" s="2" t="s">
        <v>589</v>
      </c>
      <c r="F224" s="2" t="s">
        <v>585</v>
      </c>
      <c r="G224" s="2" t="s">
        <v>568</v>
      </c>
      <c r="H224" s="14" t="s">
        <v>223</v>
      </c>
      <c r="I224" s="2" t="s">
        <v>517</v>
      </c>
      <c r="J224" s="9" t="s">
        <v>0</v>
      </c>
      <c r="K224" s="2" t="s">
        <v>531</v>
      </c>
      <c r="L224" s="2" t="s">
        <v>593</v>
      </c>
      <c r="M224" s="2" t="s">
        <v>532</v>
      </c>
      <c r="N224" s="2" t="s">
        <v>532</v>
      </c>
      <c r="O224" s="2" t="s">
        <v>570</v>
      </c>
      <c r="P224" s="2" t="s">
        <v>574</v>
      </c>
      <c r="Q224" s="67" t="s">
        <v>0</v>
      </c>
      <c r="R224" s="110" t="s">
        <v>519</v>
      </c>
      <c r="S224" s="166">
        <v>100</v>
      </c>
      <c r="T224" s="166" t="s">
        <v>0</v>
      </c>
      <c r="U224" s="67" t="s">
        <v>576</v>
      </c>
      <c r="V224" s="391">
        <v>20000</v>
      </c>
      <c r="W224" s="208">
        <v>67905.607868618565</v>
      </c>
      <c r="X224" s="165">
        <v>50</v>
      </c>
      <c r="Y224" s="195">
        <v>2</v>
      </c>
      <c r="Z224" s="208">
        <v>4.6175813350660622E-2</v>
      </c>
      <c r="AA224" s="270">
        <v>1.1543953337665156</v>
      </c>
      <c r="AB224" s="208">
        <v>4.7811394591985266E-3</v>
      </c>
      <c r="AC224" s="216">
        <v>22.232978798443344</v>
      </c>
      <c r="AD224" s="208">
        <v>0.1689788541373782</v>
      </c>
      <c r="AE224" s="270">
        <v>9.7559986923569819E-2</v>
      </c>
      <c r="AF224" s="208">
        <v>63561.103578361668</v>
      </c>
      <c r="AG224" s="206">
        <v>1589027.5894590418</v>
      </c>
      <c r="AH224" s="110" t="s">
        <v>658</v>
      </c>
      <c r="AI224" s="393" t="s">
        <v>655</v>
      </c>
    </row>
    <row r="225" spans="1:35" hidden="1" x14ac:dyDescent="0.3">
      <c r="A225" s="145">
        <v>45279</v>
      </c>
      <c r="B225" s="189">
        <v>224</v>
      </c>
      <c r="C225" s="70" t="s">
        <v>549</v>
      </c>
      <c r="D225" s="35" t="s">
        <v>596</v>
      </c>
      <c r="E225" s="2" t="s">
        <v>589</v>
      </c>
      <c r="F225" s="2" t="s">
        <v>585</v>
      </c>
      <c r="G225" s="2" t="s">
        <v>568</v>
      </c>
      <c r="H225" s="14" t="s">
        <v>224</v>
      </c>
      <c r="I225" s="2" t="s">
        <v>517</v>
      </c>
      <c r="J225" s="9" t="s">
        <v>0</v>
      </c>
      <c r="K225" s="2" t="s">
        <v>531</v>
      </c>
      <c r="L225" s="2" t="s">
        <v>593</v>
      </c>
      <c r="M225" s="2" t="s">
        <v>532</v>
      </c>
      <c r="N225" s="2" t="s">
        <v>532</v>
      </c>
      <c r="O225" s="2" t="s">
        <v>570</v>
      </c>
      <c r="P225" s="2" t="s">
        <v>573</v>
      </c>
      <c r="Q225" s="67" t="s">
        <v>0</v>
      </c>
      <c r="R225" s="110" t="s">
        <v>519</v>
      </c>
      <c r="S225" s="166">
        <v>100</v>
      </c>
      <c r="T225" s="166" t="s">
        <v>0</v>
      </c>
      <c r="U225" s="67" t="s">
        <v>576</v>
      </c>
      <c r="V225" s="391">
        <v>200000</v>
      </c>
      <c r="W225" s="208">
        <v>644373.42940448679</v>
      </c>
      <c r="X225" s="165">
        <v>50</v>
      </c>
      <c r="Y225" s="195">
        <v>2</v>
      </c>
      <c r="Z225" s="208">
        <v>0.43817393199505106</v>
      </c>
      <c r="AA225" s="270">
        <v>10.954348299876276</v>
      </c>
      <c r="AB225" s="208">
        <v>1.7583199088912753E-2</v>
      </c>
      <c r="AC225" s="216">
        <v>18.583809638051303</v>
      </c>
      <c r="AD225" s="208">
        <v>6.5237413017193588E-2</v>
      </c>
      <c r="AE225" s="270">
        <v>3.7664837966711516E-2</v>
      </c>
      <c r="AF225" s="208">
        <v>603147.33311518363</v>
      </c>
      <c r="AG225" s="206">
        <v>15078683.327879589</v>
      </c>
      <c r="AH225" s="110" t="s">
        <v>658</v>
      </c>
      <c r="AI225" s="394" t="s">
        <v>656</v>
      </c>
    </row>
    <row r="226" spans="1:35" hidden="1" x14ac:dyDescent="0.3">
      <c r="A226" s="145">
        <v>45279</v>
      </c>
      <c r="B226" s="189">
        <v>225</v>
      </c>
      <c r="C226" s="70" t="s">
        <v>549</v>
      </c>
      <c r="D226" s="35" t="s">
        <v>596</v>
      </c>
      <c r="E226" s="2" t="s">
        <v>589</v>
      </c>
      <c r="F226" s="2" t="s">
        <v>585</v>
      </c>
      <c r="G226" s="2" t="s">
        <v>568</v>
      </c>
      <c r="H226" s="14" t="s">
        <v>225</v>
      </c>
      <c r="I226" s="2" t="s">
        <v>517</v>
      </c>
      <c r="J226" s="9" t="s">
        <v>0</v>
      </c>
      <c r="K226" s="2" t="s">
        <v>531</v>
      </c>
      <c r="L226" s="2" t="s">
        <v>593</v>
      </c>
      <c r="M226" s="2" t="s">
        <v>532</v>
      </c>
      <c r="N226" s="2" t="s">
        <v>532</v>
      </c>
      <c r="O226" s="2" t="s">
        <v>570</v>
      </c>
      <c r="P226" s="2" t="s">
        <v>574</v>
      </c>
      <c r="Q226" s="67" t="s">
        <v>0</v>
      </c>
      <c r="R226" s="110" t="s">
        <v>519</v>
      </c>
      <c r="S226" s="166">
        <v>100</v>
      </c>
      <c r="T226" s="166" t="s">
        <v>0</v>
      </c>
      <c r="U226" s="67" t="s">
        <v>576</v>
      </c>
      <c r="V226" s="391">
        <v>200000</v>
      </c>
      <c r="W226" s="208">
        <v>883766.64197637292</v>
      </c>
      <c r="X226" s="165">
        <v>50</v>
      </c>
      <c r="Y226" s="195">
        <v>2</v>
      </c>
      <c r="Z226" s="208">
        <v>0.60096131654393359</v>
      </c>
      <c r="AA226" s="270">
        <v>15.02403291359834</v>
      </c>
      <c r="AB226" s="208">
        <v>2.5005209221084058E-2</v>
      </c>
      <c r="AC226" s="216">
        <v>18.072232360191222</v>
      </c>
      <c r="AD226" s="208">
        <v>6.7076799899434922E-2</v>
      </c>
      <c r="AE226" s="270">
        <v>3.8726808478317415E-2</v>
      </c>
      <c r="AF226" s="208">
        <v>827224.50815024087</v>
      </c>
      <c r="AG226" s="206">
        <v>20680612.703756023</v>
      </c>
      <c r="AH226" s="110" t="s">
        <v>658</v>
      </c>
      <c r="AI226" s="394" t="s">
        <v>656</v>
      </c>
    </row>
    <row r="227" spans="1:35" hidden="1" x14ac:dyDescent="0.3">
      <c r="A227" s="145">
        <v>45279</v>
      </c>
      <c r="B227" s="189">
        <v>226</v>
      </c>
      <c r="C227" s="70" t="s">
        <v>549</v>
      </c>
      <c r="D227" s="35" t="s">
        <v>596</v>
      </c>
      <c r="E227" s="2" t="s">
        <v>589</v>
      </c>
      <c r="F227" s="2" t="s">
        <v>585</v>
      </c>
      <c r="G227" s="2" t="s">
        <v>568</v>
      </c>
      <c r="H227" s="14" t="s">
        <v>226</v>
      </c>
      <c r="I227" s="2" t="s">
        <v>517</v>
      </c>
      <c r="J227" s="9" t="s">
        <v>0</v>
      </c>
      <c r="K227" s="2" t="s">
        <v>531</v>
      </c>
      <c r="L227" s="2" t="s">
        <v>593</v>
      </c>
      <c r="M227" s="2" t="s">
        <v>532</v>
      </c>
      <c r="N227" s="2" t="s">
        <v>532</v>
      </c>
      <c r="O227" s="2" t="s">
        <v>570</v>
      </c>
      <c r="P227" s="2" t="s">
        <v>573</v>
      </c>
      <c r="Q227" s="67" t="s">
        <v>0</v>
      </c>
      <c r="R227" s="110" t="s">
        <v>519</v>
      </c>
      <c r="S227" s="166">
        <v>100</v>
      </c>
      <c r="T227" s="166" t="s">
        <v>0</v>
      </c>
      <c r="U227" s="67" t="s">
        <v>576</v>
      </c>
      <c r="V227" s="391">
        <v>2000000</v>
      </c>
      <c r="W227" s="208">
        <v>6550305.1937448559</v>
      </c>
      <c r="X227" s="165">
        <v>50</v>
      </c>
      <c r="Y227" s="195">
        <v>2</v>
      </c>
      <c r="Z227" s="208">
        <v>4.4542075317465022</v>
      </c>
      <c r="AA227" s="270">
        <v>111.35518829366255</v>
      </c>
      <c r="AB227" s="208">
        <v>4.9774893193143391E-2</v>
      </c>
      <c r="AC227" s="216">
        <v>14.827337415176961</v>
      </c>
      <c r="AD227" s="208">
        <v>1.8073544830477087E-2</v>
      </c>
      <c r="AE227" s="270">
        <v>1.0434765973086716E-2</v>
      </c>
      <c r="AF227" s="208">
        <v>6131225.9761377368</v>
      </c>
      <c r="AG227" s="206">
        <v>153280649.40344343</v>
      </c>
      <c r="AH227" s="110" t="s">
        <v>658</v>
      </c>
      <c r="AI227" s="394" t="s">
        <v>657</v>
      </c>
    </row>
    <row r="228" spans="1:35" hidden="1" x14ac:dyDescent="0.3">
      <c r="A228" s="145">
        <v>45279</v>
      </c>
      <c r="B228" s="189">
        <v>227</v>
      </c>
      <c r="C228" s="70" t="s">
        <v>549</v>
      </c>
      <c r="D228" s="35" t="s">
        <v>596</v>
      </c>
      <c r="E228" s="2" t="s">
        <v>589</v>
      </c>
      <c r="F228" s="2" t="s">
        <v>585</v>
      </c>
      <c r="G228" s="2" t="s">
        <v>568</v>
      </c>
      <c r="H228" s="14" t="s">
        <v>227</v>
      </c>
      <c r="I228" s="2" t="s">
        <v>517</v>
      </c>
      <c r="J228" s="9" t="s">
        <v>0</v>
      </c>
      <c r="K228" s="2" t="s">
        <v>531</v>
      </c>
      <c r="L228" s="2" t="s">
        <v>593</v>
      </c>
      <c r="M228" s="2" t="s">
        <v>532</v>
      </c>
      <c r="N228" s="2" t="s">
        <v>532</v>
      </c>
      <c r="O228" s="2" t="s">
        <v>570</v>
      </c>
      <c r="P228" s="2" t="s">
        <v>574</v>
      </c>
      <c r="Q228" s="67" t="s">
        <v>0</v>
      </c>
      <c r="R228" s="110" t="s">
        <v>519</v>
      </c>
      <c r="S228" s="166">
        <v>100</v>
      </c>
      <c r="T228" s="166" t="s">
        <v>0</v>
      </c>
      <c r="U228" s="67" t="s">
        <v>576</v>
      </c>
      <c r="V228" s="391">
        <v>2000000</v>
      </c>
      <c r="W228" s="208">
        <v>5356247.6982941581</v>
      </c>
      <c r="X228" s="165">
        <v>50</v>
      </c>
      <c r="Y228" s="195">
        <v>2</v>
      </c>
      <c r="Z228" s="208">
        <v>3.6422484348400275</v>
      </c>
      <c r="AA228" s="270">
        <v>91.056210871000687</v>
      </c>
      <c r="AB228" s="208">
        <v>0.1614854519606721</v>
      </c>
      <c r="AC228" s="216">
        <v>15.154250054547418</v>
      </c>
      <c r="AD228" s="208">
        <v>7.1402759597930937E-2</v>
      </c>
      <c r="AE228" s="270">
        <v>4.1224402474747561E-2</v>
      </c>
      <c r="AF228" s="208">
        <v>5013562.5823617596</v>
      </c>
      <c r="AG228" s="206">
        <v>125339064.559044</v>
      </c>
      <c r="AH228" s="110" t="s">
        <v>658</v>
      </c>
      <c r="AI228" s="394" t="s">
        <v>657</v>
      </c>
    </row>
    <row r="229" spans="1:35" hidden="1" x14ac:dyDescent="0.3">
      <c r="A229" s="145">
        <v>45279</v>
      </c>
      <c r="B229" s="189">
        <v>228</v>
      </c>
      <c r="C229" s="70" t="s">
        <v>549</v>
      </c>
      <c r="D229" s="35" t="s">
        <v>596</v>
      </c>
      <c r="E229" s="2" t="s">
        <v>589</v>
      </c>
      <c r="F229" s="2" t="s">
        <v>585</v>
      </c>
      <c r="G229" s="2" t="s">
        <v>568</v>
      </c>
      <c r="H229" s="14" t="s">
        <v>228</v>
      </c>
      <c r="I229" s="2" t="s">
        <v>525</v>
      </c>
      <c r="J229" s="9" t="s">
        <v>0</v>
      </c>
      <c r="K229" s="2" t="s">
        <v>531</v>
      </c>
      <c r="L229" s="2" t="s">
        <v>533</v>
      </c>
      <c r="M229" s="2" t="s">
        <v>532</v>
      </c>
      <c r="N229" s="2" t="s">
        <v>532</v>
      </c>
      <c r="O229" s="2" t="s">
        <v>570</v>
      </c>
      <c r="P229" s="2" t="s">
        <v>573</v>
      </c>
      <c r="Q229" s="67" t="s">
        <v>0</v>
      </c>
      <c r="R229" s="110" t="s">
        <v>0</v>
      </c>
      <c r="S229" s="166">
        <v>100</v>
      </c>
      <c r="T229" s="166" t="s">
        <v>0</v>
      </c>
      <c r="U229" s="67" t="s">
        <v>0</v>
      </c>
      <c r="V229" s="208" t="s">
        <v>0</v>
      </c>
      <c r="W229" s="208">
        <v>21.479609327450035</v>
      </c>
      <c r="X229" s="165">
        <v>50</v>
      </c>
      <c r="Y229" s="195">
        <v>2</v>
      </c>
      <c r="Z229" s="208">
        <v>1.4606134342666024E-5</v>
      </c>
      <c r="AA229" s="270">
        <v>3.6515335856665061E-4</v>
      </c>
      <c r="AB229" s="208">
        <v>2.8708910067600817E-6</v>
      </c>
      <c r="AC229" s="216">
        <v>35.301330323515309</v>
      </c>
      <c r="AD229" s="208">
        <v>0.33997645859934589</v>
      </c>
      <c r="AE229" s="270">
        <v>0.19628549989046801</v>
      </c>
      <c r="AF229" s="208">
        <v>20.105374447516443</v>
      </c>
      <c r="AG229" s="206">
        <v>502.63436118791117</v>
      </c>
      <c r="AH229" s="110" t="s">
        <v>646</v>
      </c>
      <c r="AI229" s="393" t="s">
        <v>647</v>
      </c>
    </row>
    <row r="230" spans="1:35" hidden="1" x14ac:dyDescent="0.3">
      <c r="A230" s="145">
        <v>45279</v>
      </c>
      <c r="B230" s="189">
        <v>229</v>
      </c>
      <c r="C230" s="70" t="s">
        <v>549</v>
      </c>
      <c r="D230" s="35" t="s">
        <v>596</v>
      </c>
      <c r="E230" s="2" t="s">
        <v>589</v>
      </c>
      <c r="F230" s="2" t="s">
        <v>585</v>
      </c>
      <c r="G230" s="2" t="s">
        <v>568</v>
      </c>
      <c r="H230" s="14" t="s">
        <v>542</v>
      </c>
      <c r="I230" s="2" t="s">
        <v>520</v>
      </c>
      <c r="J230" s="9" t="s">
        <v>0</v>
      </c>
      <c r="K230" s="2" t="s">
        <v>531</v>
      </c>
      <c r="L230" s="2" t="s">
        <v>530</v>
      </c>
      <c r="M230" s="2" t="s">
        <v>532</v>
      </c>
      <c r="N230" s="2" t="s">
        <v>532</v>
      </c>
      <c r="O230" s="2" t="s">
        <v>570</v>
      </c>
      <c r="P230" s="2" t="s">
        <v>573</v>
      </c>
      <c r="Q230" s="67" t="s">
        <v>0</v>
      </c>
      <c r="R230" s="110" t="s">
        <v>519</v>
      </c>
      <c r="S230" s="166">
        <v>100</v>
      </c>
      <c r="T230" s="166" t="s">
        <v>0</v>
      </c>
      <c r="U230" s="67" t="s">
        <v>0</v>
      </c>
      <c r="V230" s="208" t="s">
        <v>0</v>
      </c>
      <c r="W230" s="208">
        <v>20.104939061641566</v>
      </c>
      <c r="X230" s="165">
        <v>50</v>
      </c>
      <c r="Y230" s="195">
        <v>2</v>
      </c>
      <c r="Z230" s="208">
        <v>1.3671358561916266E-5</v>
      </c>
      <c r="AA230" s="270">
        <v>3.4178396404790663E-4</v>
      </c>
      <c r="AB230" s="208">
        <v>6.4864301277178231E-6</v>
      </c>
      <c r="AC230" s="216">
        <v>35.53681139822158</v>
      </c>
      <c r="AD230" s="208">
        <v>0.90290082001711436</v>
      </c>
      <c r="AE230" s="270">
        <v>0.5212900314884148</v>
      </c>
      <c r="AF230" s="208">
        <v>18.81865363176</v>
      </c>
      <c r="AG230" s="206">
        <v>470.46634079399996</v>
      </c>
      <c r="AH230" s="110"/>
      <c r="AI230" s="393" t="s">
        <v>624</v>
      </c>
    </row>
    <row r="231" spans="1:35" hidden="1" x14ac:dyDescent="0.3">
      <c r="A231" s="145">
        <v>45279</v>
      </c>
      <c r="B231" s="189">
        <v>230</v>
      </c>
      <c r="C231" s="70" t="s">
        <v>549</v>
      </c>
      <c r="D231" s="94" t="s">
        <v>552</v>
      </c>
      <c r="E231" s="2" t="s">
        <v>588</v>
      </c>
      <c r="F231" s="2" t="s">
        <v>584</v>
      </c>
      <c r="G231" s="2" t="s">
        <v>568</v>
      </c>
      <c r="H231" s="14" t="s">
        <v>543</v>
      </c>
      <c r="I231" s="2" t="s">
        <v>520</v>
      </c>
      <c r="J231" s="9" t="s">
        <v>0</v>
      </c>
      <c r="K231" s="2" t="s">
        <v>531</v>
      </c>
      <c r="L231" s="2" t="s">
        <v>530</v>
      </c>
      <c r="M231" s="2" t="s">
        <v>532</v>
      </c>
      <c r="N231" s="2" t="s">
        <v>532</v>
      </c>
      <c r="O231" s="2" t="s">
        <v>570</v>
      </c>
      <c r="P231" s="2" t="s">
        <v>574</v>
      </c>
      <c r="Q231" s="67" t="s">
        <v>0</v>
      </c>
      <c r="R231" s="110" t="s">
        <v>519</v>
      </c>
      <c r="S231" s="166">
        <v>100</v>
      </c>
      <c r="T231" s="166" t="s">
        <v>0</v>
      </c>
      <c r="U231" s="67" t="s">
        <v>0</v>
      </c>
      <c r="V231" s="208" t="s">
        <v>0</v>
      </c>
      <c r="W231" s="208" t="s">
        <v>0</v>
      </c>
      <c r="X231" s="165">
        <v>50</v>
      </c>
      <c r="Y231" s="195">
        <v>2</v>
      </c>
      <c r="Z231" s="293" t="s">
        <v>0</v>
      </c>
      <c r="AA231" s="299" t="s">
        <v>0</v>
      </c>
      <c r="AB231" s="293" t="s">
        <v>0</v>
      </c>
      <c r="AC231" s="295" t="s">
        <v>0</v>
      </c>
      <c r="AD231" s="293" t="s">
        <v>0</v>
      </c>
      <c r="AE231" s="299" t="s">
        <v>0</v>
      </c>
      <c r="AF231" s="293" t="s">
        <v>0</v>
      </c>
      <c r="AG231" s="382" t="s">
        <v>0</v>
      </c>
      <c r="AH231" s="400"/>
      <c r="AI231" s="393"/>
    </row>
    <row r="232" spans="1:35" hidden="1" x14ac:dyDescent="0.3">
      <c r="A232" s="145">
        <v>45279</v>
      </c>
      <c r="B232" s="189">
        <v>231</v>
      </c>
      <c r="C232" s="70" t="s">
        <v>549</v>
      </c>
      <c r="D232" s="243" t="s">
        <v>0</v>
      </c>
      <c r="E232" s="243" t="s">
        <v>0</v>
      </c>
      <c r="F232" s="243" t="s">
        <v>0</v>
      </c>
      <c r="G232" s="2" t="s">
        <v>568</v>
      </c>
      <c r="H232" s="14" t="s">
        <v>229</v>
      </c>
      <c r="I232" s="2" t="s">
        <v>521</v>
      </c>
      <c r="J232" s="9" t="s">
        <v>0</v>
      </c>
      <c r="K232" s="2" t="s">
        <v>531</v>
      </c>
      <c r="L232" s="2" t="s">
        <v>521</v>
      </c>
      <c r="M232" s="2" t="s">
        <v>532</v>
      </c>
      <c r="N232" s="2" t="s">
        <v>532</v>
      </c>
      <c r="O232" s="2" t="s">
        <v>570</v>
      </c>
      <c r="P232" s="2" t="s">
        <v>573</v>
      </c>
      <c r="Q232" s="67" t="s">
        <v>0</v>
      </c>
      <c r="R232" s="110" t="s">
        <v>0</v>
      </c>
      <c r="S232" s="166">
        <v>100</v>
      </c>
      <c r="T232" s="166" t="s">
        <v>0</v>
      </c>
      <c r="U232" s="67" t="s">
        <v>0</v>
      </c>
      <c r="V232" s="208" t="s">
        <v>0</v>
      </c>
      <c r="W232" s="208" t="s">
        <v>0</v>
      </c>
      <c r="X232" s="165">
        <v>50</v>
      </c>
      <c r="Y232" s="195">
        <v>2</v>
      </c>
      <c r="Z232" s="302" t="s">
        <v>0</v>
      </c>
      <c r="AA232" s="308" t="s">
        <v>0</v>
      </c>
      <c r="AB232" s="302" t="s">
        <v>0</v>
      </c>
      <c r="AC232" s="233">
        <v>37.922019373287966</v>
      </c>
      <c r="AD232" s="214">
        <v>0.89999133290220235</v>
      </c>
      <c r="AE232" s="273">
        <v>0.63638997450426682</v>
      </c>
      <c r="AF232" s="214" t="s">
        <v>0</v>
      </c>
      <c r="AG232" s="382" t="s">
        <v>0</v>
      </c>
      <c r="AH232" s="400">
        <v>2</v>
      </c>
      <c r="AI232" s="394" t="s">
        <v>620</v>
      </c>
    </row>
    <row r="233" spans="1:35" ht="16.2" hidden="1" thickBot="1" x14ac:dyDescent="0.35">
      <c r="A233" s="146">
        <v>45279</v>
      </c>
      <c r="B233" s="190">
        <v>232</v>
      </c>
      <c r="C233" s="69" t="s">
        <v>549</v>
      </c>
      <c r="D233" s="244" t="s">
        <v>0</v>
      </c>
      <c r="E233" s="244" t="s">
        <v>0</v>
      </c>
      <c r="F233" s="244" t="s">
        <v>0</v>
      </c>
      <c r="G233" s="4" t="s">
        <v>568</v>
      </c>
      <c r="H233" s="327" t="s">
        <v>230</v>
      </c>
      <c r="I233" s="4" t="s">
        <v>521</v>
      </c>
      <c r="J233" s="40" t="s">
        <v>0</v>
      </c>
      <c r="K233" s="4" t="s">
        <v>531</v>
      </c>
      <c r="L233" s="4" t="s">
        <v>521</v>
      </c>
      <c r="M233" s="4" t="s">
        <v>532</v>
      </c>
      <c r="N233" s="4" t="s">
        <v>532</v>
      </c>
      <c r="O233" s="4" t="s">
        <v>570</v>
      </c>
      <c r="P233" s="4" t="s">
        <v>574</v>
      </c>
      <c r="Q233" s="118" t="s">
        <v>0</v>
      </c>
      <c r="R233" s="111" t="s">
        <v>0</v>
      </c>
      <c r="S233" s="166">
        <v>100</v>
      </c>
      <c r="T233" s="168" t="s">
        <v>0</v>
      </c>
      <c r="U233" s="67" t="s">
        <v>0</v>
      </c>
      <c r="V233" s="211" t="s">
        <v>0</v>
      </c>
      <c r="W233" s="211" t="s">
        <v>0</v>
      </c>
      <c r="X233" s="169">
        <v>50</v>
      </c>
      <c r="Y233" s="205">
        <v>2</v>
      </c>
      <c r="Z233" s="296" t="s">
        <v>0</v>
      </c>
      <c r="AA233" s="309" t="s">
        <v>0</v>
      </c>
      <c r="AB233" s="296" t="s">
        <v>0</v>
      </c>
      <c r="AC233" s="296" t="s">
        <v>0</v>
      </c>
      <c r="AD233" s="296" t="s">
        <v>0</v>
      </c>
      <c r="AE233" s="297" t="s">
        <v>0</v>
      </c>
      <c r="AF233" s="296" t="s">
        <v>0</v>
      </c>
      <c r="AG233" s="383" t="s">
        <v>0</v>
      </c>
      <c r="AH233" s="409">
        <v>2</v>
      </c>
      <c r="AI233" s="405" t="s">
        <v>620</v>
      </c>
    </row>
    <row r="234" spans="1:35" hidden="1" x14ac:dyDescent="0.3">
      <c r="A234" s="149">
        <v>45280</v>
      </c>
      <c r="B234" s="188">
        <v>233</v>
      </c>
      <c r="C234" s="16" t="s">
        <v>544</v>
      </c>
      <c r="D234" s="20" t="s">
        <v>552</v>
      </c>
      <c r="E234" s="17" t="s">
        <v>588</v>
      </c>
      <c r="F234" s="17" t="s">
        <v>584</v>
      </c>
      <c r="G234" s="18" t="s">
        <v>569</v>
      </c>
      <c r="H234" s="335" t="s">
        <v>231</v>
      </c>
      <c r="I234" s="43" t="s">
        <v>527</v>
      </c>
      <c r="J234" s="119" t="s">
        <v>1</v>
      </c>
      <c r="K234" s="17" t="s">
        <v>532</v>
      </c>
      <c r="L234" s="17" t="s">
        <v>608</v>
      </c>
      <c r="M234" s="17" t="s">
        <v>531</v>
      </c>
      <c r="N234" s="17" t="s">
        <v>531</v>
      </c>
      <c r="O234" s="17" t="s">
        <v>572</v>
      </c>
      <c r="P234" s="18" t="s">
        <v>573</v>
      </c>
      <c r="Q234" s="136" t="s">
        <v>496</v>
      </c>
      <c r="R234" s="117" t="s">
        <v>539</v>
      </c>
      <c r="S234" s="181">
        <v>100</v>
      </c>
      <c r="T234" s="193">
        <v>1000</v>
      </c>
      <c r="U234" s="36" t="s">
        <v>0</v>
      </c>
      <c r="V234" s="164" t="s">
        <v>0</v>
      </c>
      <c r="W234" s="209">
        <v>200801.84471813304</v>
      </c>
      <c r="X234" s="164">
        <v>50</v>
      </c>
      <c r="Y234" s="194">
        <v>2</v>
      </c>
      <c r="Z234" s="209">
        <v>0.13654525440833046</v>
      </c>
      <c r="AA234" s="279">
        <v>3.4136313602082615</v>
      </c>
      <c r="AB234" s="209">
        <v>4.3258238731559229E-3</v>
      </c>
      <c r="AC234" s="232">
        <v>20.75255205926554</v>
      </c>
      <c r="AD234" s="209">
        <v>5.0554320328037208E-2</v>
      </c>
      <c r="AE234" s="279">
        <v>2.9187550450090853E-2</v>
      </c>
      <c r="AF234" s="209">
        <v>187954.82805410013</v>
      </c>
      <c r="AG234" s="387">
        <v>4698870.7013525032</v>
      </c>
      <c r="AH234" s="209"/>
      <c r="AI234" s="404"/>
    </row>
    <row r="235" spans="1:35" hidden="1" x14ac:dyDescent="0.3">
      <c r="A235" s="145">
        <v>45280</v>
      </c>
      <c r="B235" s="189">
        <v>234</v>
      </c>
      <c r="C235" s="8" t="s">
        <v>544</v>
      </c>
      <c r="D235" s="10" t="s">
        <v>552</v>
      </c>
      <c r="E235" s="2" t="s">
        <v>588</v>
      </c>
      <c r="F235" s="2" t="s">
        <v>584</v>
      </c>
      <c r="G235" s="2" t="s">
        <v>569</v>
      </c>
      <c r="H235" s="14" t="s">
        <v>232</v>
      </c>
      <c r="I235" s="2" t="s">
        <v>527</v>
      </c>
      <c r="J235" s="64" t="s">
        <v>1</v>
      </c>
      <c r="K235" s="2" t="s">
        <v>532</v>
      </c>
      <c r="L235" s="2" t="s">
        <v>608</v>
      </c>
      <c r="M235" s="2" t="s">
        <v>531</v>
      </c>
      <c r="N235" s="2" t="s">
        <v>531</v>
      </c>
      <c r="O235" s="2" t="s">
        <v>572</v>
      </c>
      <c r="P235" s="2" t="s">
        <v>573</v>
      </c>
      <c r="Q235" s="89" t="s">
        <v>496</v>
      </c>
      <c r="R235" s="110" t="s">
        <v>539</v>
      </c>
      <c r="S235" s="166">
        <v>100</v>
      </c>
      <c r="T235" s="166">
        <v>1000</v>
      </c>
      <c r="U235" s="67" t="s">
        <v>0</v>
      </c>
      <c r="V235" s="165" t="s">
        <v>0</v>
      </c>
      <c r="W235" s="208">
        <v>105564.88056042737</v>
      </c>
      <c r="X235" s="165">
        <v>50</v>
      </c>
      <c r="Y235" s="195">
        <v>2</v>
      </c>
      <c r="Z235" s="208">
        <v>7.1784118781090603E-2</v>
      </c>
      <c r="AA235" s="270">
        <v>1.7946029695272652</v>
      </c>
      <c r="AB235" s="208">
        <v>8.179976621681467E-3</v>
      </c>
      <c r="AC235" s="201">
        <v>21.777038843694072</v>
      </c>
      <c r="AD235" s="201">
        <v>0.1864284060026325</v>
      </c>
      <c r="AE235" s="265">
        <v>0.10763449039021272</v>
      </c>
      <c r="AF235" s="208">
        <v>98810.989521228243</v>
      </c>
      <c r="AG235" s="269">
        <v>2470274.7380307061</v>
      </c>
      <c r="AH235" s="208"/>
      <c r="AI235" s="393"/>
    </row>
    <row r="236" spans="1:35" hidden="1" x14ac:dyDescent="0.3">
      <c r="A236" s="145">
        <v>45280</v>
      </c>
      <c r="B236" s="188">
        <v>235</v>
      </c>
      <c r="C236" s="8" t="s">
        <v>544</v>
      </c>
      <c r="D236" s="10" t="s">
        <v>552</v>
      </c>
      <c r="E236" s="2" t="s">
        <v>588</v>
      </c>
      <c r="F236" s="2" t="s">
        <v>584</v>
      </c>
      <c r="G236" s="2" t="s">
        <v>569</v>
      </c>
      <c r="H236" s="14" t="s">
        <v>233</v>
      </c>
      <c r="I236" s="2" t="s">
        <v>527</v>
      </c>
      <c r="J236" s="64" t="s">
        <v>1</v>
      </c>
      <c r="K236" s="2" t="s">
        <v>532</v>
      </c>
      <c r="L236" s="2" t="s">
        <v>608</v>
      </c>
      <c r="M236" s="2" t="s">
        <v>531</v>
      </c>
      <c r="N236" s="2" t="s">
        <v>531</v>
      </c>
      <c r="O236" s="2" t="s">
        <v>572</v>
      </c>
      <c r="P236" s="2" t="s">
        <v>573</v>
      </c>
      <c r="Q236" s="67" t="s">
        <v>497</v>
      </c>
      <c r="R236" s="110" t="s">
        <v>539</v>
      </c>
      <c r="S236" s="166">
        <v>100</v>
      </c>
      <c r="T236" s="166">
        <v>1000</v>
      </c>
      <c r="U236" s="67" t="s">
        <v>0</v>
      </c>
      <c r="V236" s="165" t="s">
        <v>0</v>
      </c>
      <c r="W236" s="208">
        <v>31201.95572570631</v>
      </c>
      <c r="X236" s="165">
        <v>50</v>
      </c>
      <c r="Y236" s="195">
        <v>2</v>
      </c>
      <c r="Z236" s="208">
        <v>2.121732989348029E-2</v>
      </c>
      <c r="AA236" s="270">
        <v>0.53043324733700725</v>
      </c>
      <c r="AB236" s="208">
        <v>1.0109400212080638E-3</v>
      </c>
      <c r="AC236" s="201">
        <v>23.700495992958981</v>
      </c>
      <c r="AD236" s="201">
        <v>7.4750156416650657E-2</v>
      </c>
      <c r="AE236" s="265">
        <v>4.3157022929119888E-2</v>
      </c>
      <c r="AF236" s="208">
        <v>29205.698939712911</v>
      </c>
      <c r="AG236" s="269">
        <v>730142.47349282284</v>
      </c>
      <c r="AH236" s="208"/>
      <c r="AI236" s="393"/>
    </row>
    <row r="237" spans="1:35" hidden="1" x14ac:dyDescent="0.3">
      <c r="A237" s="145">
        <v>45280</v>
      </c>
      <c r="B237" s="189">
        <v>236</v>
      </c>
      <c r="C237" s="8" t="s">
        <v>544</v>
      </c>
      <c r="D237" s="10" t="s">
        <v>552</v>
      </c>
      <c r="E237" s="2" t="s">
        <v>588</v>
      </c>
      <c r="F237" s="2" t="s">
        <v>584</v>
      </c>
      <c r="G237" s="2" t="s">
        <v>569</v>
      </c>
      <c r="H237" s="14" t="s">
        <v>234</v>
      </c>
      <c r="I237" s="2" t="s">
        <v>527</v>
      </c>
      <c r="J237" s="64" t="s">
        <v>1</v>
      </c>
      <c r="K237" s="2" t="s">
        <v>532</v>
      </c>
      <c r="L237" s="2" t="s">
        <v>608</v>
      </c>
      <c r="M237" s="2" t="s">
        <v>531</v>
      </c>
      <c r="N237" s="2" t="s">
        <v>531</v>
      </c>
      <c r="O237" s="2" t="s">
        <v>572</v>
      </c>
      <c r="P237" s="2" t="s">
        <v>574</v>
      </c>
      <c r="Q237" s="67" t="s">
        <v>497</v>
      </c>
      <c r="R237" s="110" t="s">
        <v>539</v>
      </c>
      <c r="S237" s="166">
        <v>100</v>
      </c>
      <c r="T237" s="166">
        <v>1000</v>
      </c>
      <c r="U237" s="67" t="s">
        <v>0</v>
      </c>
      <c r="V237" s="165" t="s">
        <v>0</v>
      </c>
      <c r="W237" s="208">
        <v>58175.254977971403</v>
      </c>
      <c r="X237" s="165">
        <v>50</v>
      </c>
      <c r="Y237" s="195">
        <v>2</v>
      </c>
      <c r="Z237" s="208">
        <v>3.9559173385020553E-2</v>
      </c>
      <c r="AA237" s="270">
        <v>0.9889793346255138</v>
      </c>
      <c r="AB237" s="208">
        <v>1.1850201712803349E-3</v>
      </c>
      <c r="AC237" s="201">
        <v>22.713602781219162</v>
      </c>
      <c r="AD237" s="201">
        <v>4.7069821913229809E-2</v>
      </c>
      <c r="AE237" s="265">
        <v>2.7175774352310979E-2</v>
      </c>
      <c r="AF237" s="208">
        <v>54453.2848377794</v>
      </c>
      <c r="AG237" s="269">
        <v>1361332.1209444851</v>
      </c>
      <c r="AH237" s="208"/>
      <c r="AI237" s="393"/>
    </row>
    <row r="238" spans="1:35" hidden="1" x14ac:dyDescent="0.3">
      <c r="A238" s="145">
        <v>45280</v>
      </c>
      <c r="B238" s="189">
        <v>237</v>
      </c>
      <c r="C238" s="8" t="s">
        <v>544</v>
      </c>
      <c r="D238" s="10" t="s">
        <v>552</v>
      </c>
      <c r="E238" s="2" t="s">
        <v>588</v>
      </c>
      <c r="F238" s="2" t="s">
        <v>584</v>
      </c>
      <c r="G238" s="2" t="s">
        <v>569</v>
      </c>
      <c r="H238" s="14" t="s">
        <v>235</v>
      </c>
      <c r="I238" s="2" t="s">
        <v>527</v>
      </c>
      <c r="J238" s="64" t="s">
        <v>1</v>
      </c>
      <c r="K238" s="2" t="s">
        <v>532</v>
      </c>
      <c r="L238" s="2" t="s">
        <v>608</v>
      </c>
      <c r="M238" s="2" t="s">
        <v>531</v>
      </c>
      <c r="N238" s="2" t="s">
        <v>531</v>
      </c>
      <c r="O238" s="2" t="s">
        <v>572</v>
      </c>
      <c r="P238" s="2" t="s">
        <v>573</v>
      </c>
      <c r="Q238" s="67" t="s">
        <v>498</v>
      </c>
      <c r="R238" s="110" t="s">
        <v>539</v>
      </c>
      <c r="S238" s="166">
        <v>100</v>
      </c>
      <c r="T238" s="166">
        <v>1000</v>
      </c>
      <c r="U238" s="67" t="s">
        <v>0</v>
      </c>
      <c r="V238" s="165" t="s">
        <v>0</v>
      </c>
      <c r="W238" s="208">
        <v>43126.192121942833</v>
      </c>
      <c r="X238" s="165">
        <v>50</v>
      </c>
      <c r="Y238" s="195">
        <v>2</v>
      </c>
      <c r="Z238" s="208">
        <v>2.9325810642921123E-2</v>
      </c>
      <c r="AA238" s="264">
        <v>0.7331452660730281</v>
      </c>
      <c r="AB238" s="208">
        <v>2.4137643014473542E-3</v>
      </c>
      <c r="AC238" s="201">
        <v>23.190616229610015</v>
      </c>
      <c r="AD238" s="201">
        <v>0.13213672032095927</v>
      </c>
      <c r="AE238" s="265">
        <v>7.6289171047140128E-2</v>
      </c>
      <c r="AF238" s="208">
        <v>40367.039636941518</v>
      </c>
      <c r="AG238" s="265">
        <v>1009175.990923538</v>
      </c>
      <c r="AH238" s="208"/>
      <c r="AI238" s="393"/>
    </row>
    <row r="239" spans="1:35" hidden="1" x14ac:dyDescent="0.3">
      <c r="A239" s="145">
        <v>45280</v>
      </c>
      <c r="B239" s="189">
        <v>238</v>
      </c>
      <c r="C239" s="8" t="s">
        <v>544</v>
      </c>
      <c r="D239" s="10" t="s">
        <v>552</v>
      </c>
      <c r="E239" s="2" t="s">
        <v>588</v>
      </c>
      <c r="F239" s="2" t="s">
        <v>584</v>
      </c>
      <c r="G239" s="2" t="s">
        <v>569</v>
      </c>
      <c r="H239" s="14" t="s">
        <v>236</v>
      </c>
      <c r="I239" s="2" t="s">
        <v>527</v>
      </c>
      <c r="J239" s="64" t="s">
        <v>1</v>
      </c>
      <c r="K239" s="2" t="s">
        <v>532</v>
      </c>
      <c r="L239" s="2" t="s">
        <v>608</v>
      </c>
      <c r="M239" s="2" t="s">
        <v>531</v>
      </c>
      <c r="N239" s="2" t="s">
        <v>531</v>
      </c>
      <c r="O239" s="2" t="s">
        <v>572</v>
      </c>
      <c r="P239" s="2" t="s">
        <v>574</v>
      </c>
      <c r="Q239" s="67" t="s">
        <v>498</v>
      </c>
      <c r="R239" s="110" t="s">
        <v>539</v>
      </c>
      <c r="S239" s="166">
        <v>100</v>
      </c>
      <c r="T239" s="166">
        <v>1000</v>
      </c>
      <c r="U239" s="67" t="s">
        <v>0</v>
      </c>
      <c r="V239" s="165" t="s">
        <v>0</v>
      </c>
      <c r="W239" s="208">
        <v>29825.508157597586</v>
      </c>
      <c r="X239" s="165">
        <v>50</v>
      </c>
      <c r="Y239" s="195">
        <v>2</v>
      </c>
      <c r="Z239" s="208">
        <v>2.0281345547166357E-2</v>
      </c>
      <c r="AA239" s="264">
        <v>0.50703363867915896</v>
      </c>
      <c r="AB239" s="208">
        <v>1.856167990563507E-3</v>
      </c>
      <c r="AC239" s="201">
        <v>23.775025377041317</v>
      </c>
      <c r="AD239" s="201">
        <v>0.14172424428782276</v>
      </c>
      <c r="AE239" s="265">
        <v>8.1824530590270755E-2</v>
      </c>
      <c r="AF239" s="208">
        <v>27917.314530931646</v>
      </c>
      <c r="AG239" s="265">
        <v>697932.86327329103</v>
      </c>
      <c r="AH239" s="208"/>
      <c r="AI239" s="393"/>
    </row>
    <row r="240" spans="1:35" hidden="1" x14ac:dyDescent="0.3">
      <c r="A240" s="145">
        <v>45280</v>
      </c>
      <c r="B240" s="189">
        <v>239</v>
      </c>
      <c r="C240" s="8" t="s">
        <v>544</v>
      </c>
      <c r="D240" s="10" t="s">
        <v>552</v>
      </c>
      <c r="E240" s="2" t="s">
        <v>588</v>
      </c>
      <c r="F240" s="2" t="s">
        <v>584</v>
      </c>
      <c r="G240" s="2" t="s">
        <v>569</v>
      </c>
      <c r="H240" s="14" t="s">
        <v>237</v>
      </c>
      <c r="I240" s="2" t="s">
        <v>527</v>
      </c>
      <c r="J240" s="57" t="s">
        <v>2</v>
      </c>
      <c r="K240" s="2" t="s">
        <v>532</v>
      </c>
      <c r="L240" s="2" t="s">
        <v>608</v>
      </c>
      <c r="M240" s="2" t="s">
        <v>531</v>
      </c>
      <c r="N240" s="2" t="s">
        <v>531</v>
      </c>
      <c r="O240" s="2" t="s">
        <v>572</v>
      </c>
      <c r="P240" s="2" t="s">
        <v>573</v>
      </c>
      <c r="Q240" s="67" t="s">
        <v>496</v>
      </c>
      <c r="R240" s="110" t="s">
        <v>539</v>
      </c>
      <c r="S240" s="166">
        <v>100</v>
      </c>
      <c r="T240" s="166">
        <v>1000</v>
      </c>
      <c r="U240" s="67" t="s">
        <v>0</v>
      </c>
      <c r="V240" s="165" t="s">
        <v>0</v>
      </c>
      <c r="W240" s="208">
        <v>18644.82791288479</v>
      </c>
      <c r="X240" s="165">
        <v>50</v>
      </c>
      <c r="Y240" s="195">
        <v>2</v>
      </c>
      <c r="Z240" s="208">
        <v>1.2678482980761656E-2</v>
      </c>
      <c r="AA240" s="264">
        <v>0.3169620745190414</v>
      </c>
      <c r="AB240" s="208">
        <v>4.0340967670276877E-4</v>
      </c>
      <c r="AC240" s="201">
        <v>24.514951707595589</v>
      </c>
      <c r="AD240" s="201">
        <v>5.0210660323851894E-2</v>
      </c>
      <c r="AE240" s="265">
        <v>2.8989138254164756E-2</v>
      </c>
      <c r="AF240" s="208">
        <v>17451.958319325589</v>
      </c>
      <c r="AG240" s="206">
        <v>436298.95798313979</v>
      </c>
      <c r="AH240" s="110"/>
      <c r="AI240" s="393"/>
    </row>
    <row r="241" spans="1:35" hidden="1" x14ac:dyDescent="0.3">
      <c r="A241" s="145">
        <v>45280</v>
      </c>
      <c r="B241" s="189">
        <v>240</v>
      </c>
      <c r="C241" s="8" t="s">
        <v>544</v>
      </c>
      <c r="D241" s="10" t="s">
        <v>552</v>
      </c>
      <c r="E241" s="2" t="s">
        <v>588</v>
      </c>
      <c r="F241" s="2" t="s">
        <v>584</v>
      </c>
      <c r="G241" s="2" t="s">
        <v>569</v>
      </c>
      <c r="H241" s="14" t="s">
        <v>238</v>
      </c>
      <c r="I241" s="2" t="s">
        <v>527</v>
      </c>
      <c r="J241" s="57" t="s">
        <v>2</v>
      </c>
      <c r="K241" s="2" t="s">
        <v>532</v>
      </c>
      <c r="L241" s="2" t="s">
        <v>608</v>
      </c>
      <c r="M241" s="2" t="s">
        <v>531</v>
      </c>
      <c r="N241" s="2" t="s">
        <v>531</v>
      </c>
      <c r="O241" s="2" t="s">
        <v>572</v>
      </c>
      <c r="P241" s="2" t="s">
        <v>574</v>
      </c>
      <c r="Q241" s="67" t="s">
        <v>496</v>
      </c>
      <c r="R241" s="110" t="s">
        <v>539</v>
      </c>
      <c r="S241" s="166">
        <v>100</v>
      </c>
      <c r="T241" s="166">
        <v>1000</v>
      </c>
      <c r="U241" s="67" t="s">
        <v>0</v>
      </c>
      <c r="V241" s="165" t="s">
        <v>0</v>
      </c>
      <c r="W241" s="208">
        <v>16575.21710967079</v>
      </c>
      <c r="X241" s="165">
        <v>50</v>
      </c>
      <c r="Y241" s="195">
        <v>2</v>
      </c>
      <c r="Z241" s="208">
        <v>1.1271147634576137E-2</v>
      </c>
      <c r="AA241" s="264">
        <v>0.28177869086440344</v>
      </c>
      <c r="AB241" s="208">
        <v>4.9370144314121462E-4</v>
      </c>
      <c r="AC241" s="201">
        <v>24.701679228605958</v>
      </c>
      <c r="AD241" s="201">
        <v>6.8859081188465204E-2</v>
      </c>
      <c r="AE241" s="265">
        <v>3.9755809060310683E-2</v>
      </c>
      <c r="AF241" s="208">
        <v>15514.758274161524</v>
      </c>
      <c r="AG241" s="206">
        <v>387868.95685403817</v>
      </c>
      <c r="AH241" s="110"/>
      <c r="AI241" s="393"/>
    </row>
    <row r="242" spans="1:35" hidden="1" x14ac:dyDescent="0.3">
      <c r="A242" s="145">
        <v>45280</v>
      </c>
      <c r="B242" s="189">
        <v>241</v>
      </c>
      <c r="C242" s="8" t="s">
        <v>544</v>
      </c>
      <c r="D242" s="10" t="s">
        <v>552</v>
      </c>
      <c r="E242" s="2" t="s">
        <v>588</v>
      </c>
      <c r="F242" s="2" t="s">
        <v>584</v>
      </c>
      <c r="G242" s="2" t="s">
        <v>569</v>
      </c>
      <c r="H242" s="14" t="s">
        <v>239</v>
      </c>
      <c r="I242" s="2" t="s">
        <v>527</v>
      </c>
      <c r="J242" s="57" t="s">
        <v>2</v>
      </c>
      <c r="K242" s="2" t="s">
        <v>532</v>
      </c>
      <c r="L242" s="2" t="s">
        <v>608</v>
      </c>
      <c r="M242" s="2" t="s">
        <v>531</v>
      </c>
      <c r="N242" s="2" t="s">
        <v>531</v>
      </c>
      <c r="O242" s="2" t="s">
        <v>572</v>
      </c>
      <c r="P242" s="2" t="s">
        <v>573</v>
      </c>
      <c r="Q242" s="67" t="s">
        <v>497</v>
      </c>
      <c r="R242" s="110" t="s">
        <v>539</v>
      </c>
      <c r="S242" s="166">
        <v>100</v>
      </c>
      <c r="T242" s="166">
        <v>1000</v>
      </c>
      <c r="U242" s="67" t="s">
        <v>0</v>
      </c>
      <c r="V242" s="165" t="s">
        <v>0</v>
      </c>
      <c r="W242" s="208">
        <v>9563.2710176851469</v>
      </c>
      <c r="X242" s="165">
        <v>50</v>
      </c>
      <c r="Y242" s="195">
        <v>2</v>
      </c>
      <c r="Z242" s="208">
        <v>6.5030242920258996E-3</v>
      </c>
      <c r="AA242" s="264">
        <v>0.16257560730064749</v>
      </c>
      <c r="AB242" s="208">
        <v>3.4771723712189715E-3</v>
      </c>
      <c r="AC242" s="201">
        <v>25.791913169407241</v>
      </c>
      <c r="AD242" s="201">
        <v>1.1155703683851759</v>
      </c>
      <c r="AE242" s="265">
        <v>0.64407485248715135</v>
      </c>
      <c r="AF242" s="208">
        <v>8951.4265284110425</v>
      </c>
      <c r="AG242" s="206">
        <v>223785.66321027611</v>
      </c>
      <c r="AH242" s="110"/>
      <c r="AI242" s="393"/>
    </row>
    <row r="243" spans="1:35" hidden="1" x14ac:dyDescent="0.3">
      <c r="A243" s="145">
        <v>45280</v>
      </c>
      <c r="B243" s="189">
        <v>242</v>
      </c>
      <c r="C243" s="8" t="s">
        <v>544</v>
      </c>
      <c r="D243" s="10" t="s">
        <v>552</v>
      </c>
      <c r="E243" s="2" t="s">
        <v>588</v>
      </c>
      <c r="F243" s="2" t="s">
        <v>584</v>
      </c>
      <c r="G243" s="2" t="s">
        <v>569</v>
      </c>
      <c r="H243" s="14" t="s">
        <v>240</v>
      </c>
      <c r="I243" s="2" t="s">
        <v>527</v>
      </c>
      <c r="J243" s="57" t="s">
        <v>2</v>
      </c>
      <c r="K243" s="2" t="s">
        <v>532</v>
      </c>
      <c r="L243" s="2" t="s">
        <v>608</v>
      </c>
      <c r="M243" s="2" t="s">
        <v>531</v>
      </c>
      <c r="N243" s="2" t="s">
        <v>531</v>
      </c>
      <c r="O243" s="2" t="s">
        <v>572</v>
      </c>
      <c r="P243" s="2" t="s">
        <v>574</v>
      </c>
      <c r="Q243" s="67" t="s">
        <v>497</v>
      </c>
      <c r="R243" s="110" t="s">
        <v>539</v>
      </c>
      <c r="S243" s="166">
        <v>100</v>
      </c>
      <c r="T243" s="166">
        <v>1000</v>
      </c>
      <c r="U243" s="67" t="s">
        <v>0</v>
      </c>
      <c r="V243" s="165" t="s">
        <v>0</v>
      </c>
      <c r="W243" s="208">
        <v>5605.8233484165085</v>
      </c>
      <c r="X243" s="165">
        <v>50</v>
      </c>
      <c r="Y243" s="195">
        <v>2</v>
      </c>
      <c r="Z243" s="208">
        <v>3.8119598769232252E-3</v>
      </c>
      <c r="AA243" s="264">
        <v>9.5298996923080637E-2</v>
      </c>
      <c r="AB243" s="208">
        <v>1.6783220436452015E-3</v>
      </c>
      <c r="AC243" s="201">
        <v>26.551094696328306</v>
      </c>
      <c r="AD243" s="201">
        <v>0.84994516003179421</v>
      </c>
      <c r="AE243" s="265">
        <v>0.49071606694077596</v>
      </c>
      <c r="AF243" s="208">
        <v>5247.1707370631411</v>
      </c>
      <c r="AG243" s="206">
        <v>131179.26842657852</v>
      </c>
      <c r="AH243" s="110"/>
      <c r="AI243" s="393"/>
    </row>
    <row r="244" spans="1:35" hidden="1" x14ac:dyDescent="0.3">
      <c r="A244" s="145">
        <v>45280</v>
      </c>
      <c r="B244" s="189">
        <v>243</v>
      </c>
      <c r="C244" s="8" t="s">
        <v>544</v>
      </c>
      <c r="D244" s="10" t="s">
        <v>552</v>
      </c>
      <c r="E244" s="2" t="s">
        <v>588</v>
      </c>
      <c r="F244" s="2" t="s">
        <v>584</v>
      </c>
      <c r="G244" s="2" t="s">
        <v>569</v>
      </c>
      <c r="H244" s="14" t="s">
        <v>241</v>
      </c>
      <c r="I244" s="2" t="s">
        <v>527</v>
      </c>
      <c r="J244" s="57" t="s">
        <v>2</v>
      </c>
      <c r="K244" s="2" t="s">
        <v>532</v>
      </c>
      <c r="L244" s="2" t="s">
        <v>608</v>
      </c>
      <c r="M244" s="2" t="s">
        <v>531</v>
      </c>
      <c r="N244" s="2" t="s">
        <v>531</v>
      </c>
      <c r="O244" s="2" t="s">
        <v>572</v>
      </c>
      <c r="P244" s="2" t="s">
        <v>573</v>
      </c>
      <c r="Q244" s="67" t="s">
        <v>498</v>
      </c>
      <c r="R244" s="110" t="s">
        <v>539</v>
      </c>
      <c r="S244" s="166">
        <v>100</v>
      </c>
      <c r="T244" s="166">
        <v>1000</v>
      </c>
      <c r="U244" s="67" t="s">
        <v>0</v>
      </c>
      <c r="V244" s="165" t="s">
        <v>0</v>
      </c>
      <c r="W244" s="208">
        <v>1288.8577629680854</v>
      </c>
      <c r="X244" s="165">
        <v>50</v>
      </c>
      <c r="Y244" s="195">
        <v>2</v>
      </c>
      <c r="Z244" s="208">
        <v>8.7642327881829807E-4</v>
      </c>
      <c r="AA244" s="264">
        <v>2.1910581970457452E-2</v>
      </c>
      <c r="AB244" s="208">
        <v>4.4341529155218593E-5</v>
      </c>
      <c r="AC244" s="201">
        <v>28.745238885721125</v>
      </c>
      <c r="AD244" s="201">
        <v>7.9212431563690136E-2</v>
      </c>
      <c r="AE244" s="265">
        <v>4.5733318686461313E-2</v>
      </c>
      <c r="AF244" s="208">
        <v>1206.3984748989858</v>
      </c>
      <c r="AG244" s="206">
        <v>30159.96187247464</v>
      </c>
      <c r="AH244" s="110"/>
      <c r="AI244" s="393"/>
    </row>
    <row r="245" spans="1:35" hidden="1" x14ac:dyDescent="0.3">
      <c r="A245" s="145">
        <v>45280</v>
      </c>
      <c r="B245" s="189">
        <v>244</v>
      </c>
      <c r="C245" s="8" t="s">
        <v>544</v>
      </c>
      <c r="D245" s="10" t="s">
        <v>552</v>
      </c>
      <c r="E245" s="2" t="s">
        <v>588</v>
      </c>
      <c r="F245" s="2" t="s">
        <v>584</v>
      </c>
      <c r="G245" s="2" t="s">
        <v>569</v>
      </c>
      <c r="H245" s="14" t="s">
        <v>242</v>
      </c>
      <c r="I245" s="2" t="s">
        <v>527</v>
      </c>
      <c r="J245" s="57" t="s">
        <v>2</v>
      </c>
      <c r="K245" s="2" t="s">
        <v>532</v>
      </c>
      <c r="L245" s="2" t="s">
        <v>608</v>
      </c>
      <c r="M245" s="2" t="s">
        <v>531</v>
      </c>
      <c r="N245" s="2" t="s">
        <v>531</v>
      </c>
      <c r="O245" s="2" t="s">
        <v>572</v>
      </c>
      <c r="P245" s="2" t="s">
        <v>574</v>
      </c>
      <c r="Q245" s="67" t="s">
        <v>498</v>
      </c>
      <c r="R245" s="110" t="s">
        <v>539</v>
      </c>
      <c r="S245" s="166">
        <v>100</v>
      </c>
      <c r="T245" s="166">
        <v>1000</v>
      </c>
      <c r="U245" s="67" t="s">
        <v>0</v>
      </c>
      <c r="V245" s="165" t="s">
        <v>0</v>
      </c>
      <c r="W245" s="208">
        <v>2162.8610670211192</v>
      </c>
      <c r="X245" s="165">
        <v>50</v>
      </c>
      <c r="Y245" s="195">
        <v>2</v>
      </c>
      <c r="Z245" s="208">
        <v>1.470745525574361E-3</v>
      </c>
      <c r="AA245" s="264">
        <v>3.6768638139359024E-2</v>
      </c>
      <c r="AB245" s="208">
        <v>9.4111493553631132E-5</v>
      </c>
      <c r="AC245" s="201">
        <v>27.92654150318408</v>
      </c>
      <c r="AD245" s="201">
        <v>9.9707331639115188E-2</v>
      </c>
      <c r="AE245" s="265">
        <v>5.7566054762022444E-2</v>
      </c>
      <c r="AF245" s="208">
        <v>2024.4842896114685</v>
      </c>
      <c r="AG245" s="206">
        <v>50612.107240286721</v>
      </c>
      <c r="AH245" s="110"/>
      <c r="AI245" s="393"/>
    </row>
    <row r="246" spans="1:35" hidden="1" x14ac:dyDescent="0.3">
      <c r="A246" s="145">
        <v>45280</v>
      </c>
      <c r="B246" s="189">
        <v>245</v>
      </c>
      <c r="C246" s="8" t="s">
        <v>544</v>
      </c>
      <c r="D246" s="10" t="s">
        <v>552</v>
      </c>
      <c r="E246" s="2" t="s">
        <v>588</v>
      </c>
      <c r="F246" s="2" t="s">
        <v>584</v>
      </c>
      <c r="G246" s="2" t="s">
        <v>569</v>
      </c>
      <c r="H246" s="14" t="s">
        <v>243</v>
      </c>
      <c r="I246" s="2" t="s">
        <v>526</v>
      </c>
      <c r="J246" s="64" t="s">
        <v>1</v>
      </c>
      <c r="K246" s="2" t="s">
        <v>531</v>
      </c>
      <c r="L246" s="2" t="s">
        <v>535</v>
      </c>
      <c r="M246" s="2" t="s">
        <v>531</v>
      </c>
      <c r="N246" s="2" t="s">
        <v>532</v>
      </c>
      <c r="O246" s="2" t="s">
        <v>572</v>
      </c>
      <c r="P246" s="2" t="s">
        <v>573</v>
      </c>
      <c r="Q246" s="67" t="s">
        <v>0</v>
      </c>
      <c r="R246" s="110" t="s">
        <v>539</v>
      </c>
      <c r="S246" s="166">
        <v>100</v>
      </c>
      <c r="T246" s="166" t="s">
        <v>0</v>
      </c>
      <c r="U246" s="67" t="s">
        <v>0</v>
      </c>
      <c r="V246" s="165" t="s">
        <v>0</v>
      </c>
      <c r="W246" s="208">
        <v>63.930576619164633</v>
      </c>
      <c r="X246" s="165">
        <v>50</v>
      </c>
      <c r="Y246" s="195">
        <v>2</v>
      </c>
      <c r="Z246" s="208">
        <v>4.3472792101031955E-5</v>
      </c>
      <c r="AA246" s="264">
        <v>1.0868198025257988E-3</v>
      </c>
      <c r="AB246" s="208">
        <v>3.9536218656877288E-5</v>
      </c>
      <c r="AC246" s="201">
        <v>33.911550843462145</v>
      </c>
      <c r="AD246" s="201">
        <v>1.3535704453603843</v>
      </c>
      <c r="AE246" s="265">
        <v>0.78148426099593959</v>
      </c>
      <c r="AF246" s="208">
        <v>59.840389179300587</v>
      </c>
      <c r="AG246" s="206">
        <v>1496.0097294825146</v>
      </c>
      <c r="AH246" s="110"/>
      <c r="AI246" s="393"/>
    </row>
    <row r="247" spans="1:35" hidden="1" x14ac:dyDescent="0.3">
      <c r="A247" s="145">
        <v>45280</v>
      </c>
      <c r="B247" s="189">
        <v>246</v>
      </c>
      <c r="C247" s="8" t="s">
        <v>544</v>
      </c>
      <c r="D247" s="10" t="s">
        <v>552</v>
      </c>
      <c r="E247" s="2" t="s">
        <v>588</v>
      </c>
      <c r="F247" s="2" t="s">
        <v>584</v>
      </c>
      <c r="G247" s="2" t="s">
        <v>569</v>
      </c>
      <c r="H247" s="14" t="s">
        <v>244</v>
      </c>
      <c r="I247" s="2" t="s">
        <v>526</v>
      </c>
      <c r="J247" s="64" t="s">
        <v>1</v>
      </c>
      <c r="K247" s="2" t="s">
        <v>531</v>
      </c>
      <c r="L247" s="2" t="s">
        <v>535</v>
      </c>
      <c r="M247" s="2" t="s">
        <v>531</v>
      </c>
      <c r="N247" s="2" t="s">
        <v>532</v>
      </c>
      <c r="O247" s="2" t="s">
        <v>572</v>
      </c>
      <c r="P247" s="2" t="s">
        <v>574</v>
      </c>
      <c r="Q247" s="67" t="s">
        <v>0</v>
      </c>
      <c r="R247" s="110" t="s">
        <v>539</v>
      </c>
      <c r="S247" s="166">
        <v>100</v>
      </c>
      <c r="T247" s="166" t="s">
        <v>0</v>
      </c>
      <c r="U247" s="67" t="s">
        <v>0</v>
      </c>
      <c r="V247" s="165" t="s">
        <v>0</v>
      </c>
      <c r="W247" s="208">
        <v>55.630583052150193</v>
      </c>
      <c r="X247" s="165">
        <v>50</v>
      </c>
      <c r="Y247" s="195">
        <v>2</v>
      </c>
      <c r="Z247" s="208">
        <v>3.7828796475462133E-5</v>
      </c>
      <c r="AA247" s="264">
        <v>9.4571991188655328E-4</v>
      </c>
      <c r="AB247" s="208">
        <v>3.6102607812021289E-5</v>
      </c>
      <c r="AC247" s="217">
        <v>34.181514169904808</v>
      </c>
      <c r="AD247" s="217">
        <v>1.437430529657354</v>
      </c>
      <c r="AE247" s="202">
        <v>0.82990090323905974</v>
      </c>
      <c r="AF247" s="208">
        <v>52.071417405519554</v>
      </c>
      <c r="AG247" s="206">
        <v>1301.7854351379888</v>
      </c>
      <c r="AH247" s="110"/>
      <c r="AI247" s="393"/>
    </row>
    <row r="248" spans="1:35" hidden="1" x14ac:dyDescent="0.3">
      <c r="A248" s="145">
        <v>45280</v>
      </c>
      <c r="B248" s="189">
        <v>247</v>
      </c>
      <c r="C248" s="8" t="s">
        <v>544</v>
      </c>
      <c r="D248" s="10" t="s">
        <v>552</v>
      </c>
      <c r="E248" s="2" t="s">
        <v>588</v>
      </c>
      <c r="F248" s="2" t="s">
        <v>584</v>
      </c>
      <c r="G248" s="2" t="s">
        <v>569</v>
      </c>
      <c r="H248" s="14" t="s">
        <v>245</v>
      </c>
      <c r="I248" s="2" t="s">
        <v>526</v>
      </c>
      <c r="J248" s="57" t="s">
        <v>2</v>
      </c>
      <c r="K248" s="2" t="s">
        <v>531</v>
      </c>
      <c r="L248" s="2" t="s">
        <v>535</v>
      </c>
      <c r="M248" s="2" t="s">
        <v>531</v>
      </c>
      <c r="N248" s="2" t="s">
        <v>532</v>
      </c>
      <c r="O248" s="2" t="s">
        <v>572</v>
      </c>
      <c r="P248" s="2" t="s">
        <v>573</v>
      </c>
      <c r="Q248" s="67" t="s">
        <v>0</v>
      </c>
      <c r="R248" s="110" t="s">
        <v>539</v>
      </c>
      <c r="S248" s="166">
        <v>100</v>
      </c>
      <c r="T248" s="166" t="s">
        <v>0</v>
      </c>
      <c r="U248" s="67" t="s">
        <v>0</v>
      </c>
      <c r="V248" s="165" t="s">
        <v>0</v>
      </c>
      <c r="W248" s="208" t="s">
        <v>0</v>
      </c>
      <c r="X248" s="165">
        <v>50</v>
      </c>
      <c r="Y248" s="195">
        <v>2</v>
      </c>
      <c r="Z248" s="293" t="s">
        <v>0</v>
      </c>
      <c r="AA248" s="294" t="s">
        <v>0</v>
      </c>
      <c r="AB248" s="302" t="s">
        <v>0</v>
      </c>
      <c r="AC248" s="233">
        <v>36.088620751710799</v>
      </c>
      <c r="AD248" s="214">
        <v>1.8808315709087742</v>
      </c>
      <c r="AE248" s="273">
        <v>1.329948758059341</v>
      </c>
      <c r="AF248" s="302" t="s">
        <v>0</v>
      </c>
      <c r="AG248" s="382" t="s">
        <v>0</v>
      </c>
      <c r="AH248" s="400"/>
      <c r="AI248" s="393"/>
    </row>
    <row r="249" spans="1:35" hidden="1" x14ac:dyDescent="0.3">
      <c r="A249" s="145">
        <v>45280</v>
      </c>
      <c r="B249" s="188">
        <v>248</v>
      </c>
      <c r="C249" s="8" t="s">
        <v>544</v>
      </c>
      <c r="D249" s="10" t="s">
        <v>552</v>
      </c>
      <c r="E249" s="2" t="s">
        <v>588</v>
      </c>
      <c r="F249" s="2" t="s">
        <v>584</v>
      </c>
      <c r="G249" s="2" t="s">
        <v>569</v>
      </c>
      <c r="H249" s="14" t="s">
        <v>246</v>
      </c>
      <c r="I249" s="2" t="s">
        <v>526</v>
      </c>
      <c r="J249" s="57" t="s">
        <v>2</v>
      </c>
      <c r="K249" s="2" t="s">
        <v>531</v>
      </c>
      <c r="L249" s="23" t="s">
        <v>535</v>
      </c>
      <c r="M249" s="2" t="s">
        <v>531</v>
      </c>
      <c r="N249" s="2" t="s">
        <v>532</v>
      </c>
      <c r="O249" s="2" t="s">
        <v>572</v>
      </c>
      <c r="P249" s="2" t="s">
        <v>574</v>
      </c>
      <c r="Q249" s="67" t="s">
        <v>0</v>
      </c>
      <c r="R249" s="110" t="s">
        <v>539</v>
      </c>
      <c r="S249" s="166">
        <v>100</v>
      </c>
      <c r="T249" s="166" t="s">
        <v>0</v>
      </c>
      <c r="U249" s="67" t="s">
        <v>0</v>
      </c>
      <c r="V249" s="165" t="s">
        <v>0</v>
      </c>
      <c r="W249" s="208">
        <v>13.855730757237026</v>
      </c>
      <c r="X249" s="165">
        <v>50</v>
      </c>
      <c r="Y249" s="195">
        <v>2</v>
      </c>
      <c r="Z249" s="208">
        <v>9.4218969149211771E-6</v>
      </c>
      <c r="AA249" s="264">
        <v>2.3554742287302944E-4</v>
      </c>
      <c r="AB249" s="208">
        <v>5.3973284784854949E-6</v>
      </c>
      <c r="AC249" s="216">
        <v>36.151411897479043</v>
      </c>
      <c r="AD249" s="208">
        <v>1.1261519303637006</v>
      </c>
      <c r="AE249" s="270">
        <v>0.65018412014389926</v>
      </c>
      <c r="AF249" s="208">
        <v>12.969260793873671</v>
      </c>
      <c r="AG249" s="206">
        <v>324.23151984684182</v>
      </c>
      <c r="AH249" s="110"/>
      <c r="AI249" s="393"/>
    </row>
    <row r="250" spans="1:35" hidden="1" x14ac:dyDescent="0.3">
      <c r="A250" s="145">
        <v>45280</v>
      </c>
      <c r="B250" s="189">
        <v>249</v>
      </c>
      <c r="C250" s="8" t="s">
        <v>544</v>
      </c>
      <c r="D250" s="10" t="s">
        <v>552</v>
      </c>
      <c r="E250" s="2" t="s">
        <v>588</v>
      </c>
      <c r="F250" s="2" t="s">
        <v>584</v>
      </c>
      <c r="G250" s="2" t="s">
        <v>569</v>
      </c>
      <c r="H250" s="14" t="s">
        <v>247</v>
      </c>
      <c r="I250" s="2" t="s">
        <v>537</v>
      </c>
      <c r="J250" s="9" t="s">
        <v>0</v>
      </c>
      <c r="K250" s="67" t="s">
        <v>531</v>
      </c>
      <c r="L250" s="2" t="s">
        <v>536</v>
      </c>
      <c r="M250" s="2" t="s">
        <v>532</v>
      </c>
      <c r="N250" s="2" t="s">
        <v>532</v>
      </c>
      <c r="O250" s="2" t="s">
        <v>572</v>
      </c>
      <c r="P250" s="2" t="s">
        <v>573</v>
      </c>
      <c r="Q250" s="67" t="s">
        <v>0</v>
      </c>
      <c r="R250" s="110" t="s">
        <v>539</v>
      </c>
      <c r="S250" s="166">
        <v>100</v>
      </c>
      <c r="T250" s="166" t="s">
        <v>0</v>
      </c>
      <c r="U250" s="67" t="s">
        <v>0</v>
      </c>
      <c r="V250" s="165" t="s">
        <v>0</v>
      </c>
      <c r="W250" s="208">
        <v>375.20656753455762</v>
      </c>
      <c r="X250" s="165">
        <v>50</v>
      </c>
      <c r="Y250" s="195">
        <v>2</v>
      </c>
      <c r="Z250" s="208">
        <v>2.5514046592349916E-4</v>
      </c>
      <c r="AA250" s="264">
        <v>6.3785116480874794E-3</v>
      </c>
      <c r="AB250" s="208">
        <v>5.9041439555007903E-5</v>
      </c>
      <c r="AC250" s="216">
        <v>30.726477704562381</v>
      </c>
      <c r="AD250" s="208">
        <v>0.3743782635121497</v>
      </c>
      <c r="AE250" s="270">
        <v>0.2161473912174843</v>
      </c>
      <c r="AF250" s="208">
        <v>351.20138455261178</v>
      </c>
      <c r="AG250" s="206">
        <v>8780.0346138152963</v>
      </c>
      <c r="AH250" s="110"/>
      <c r="AI250" s="393"/>
    </row>
    <row r="251" spans="1:35" hidden="1" x14ac:dyDescent="0.3">
      <c r="A251" s="145">
        <v>45280</v>
      </c>
      <c r="B251" s="189">
        <v>250</v>
      </c>
      <c r="C251" s="8" t="s">
        <v>544</v>
      </c>
      <c r="D251" s="10" t="s">
        <v>552</v>
      </c>
      <c r="E251" s="2" t="s">
        <v>588</v>
      </c>
      <c r="F251" s="2" t="s">
        <v>584</v>
      </c>
      <c r="G251" s="2" t="s">
        <v>569</v>
      </c>
      <c r="H251" s="14" t="s">
        <v>248</v>
      </c>
      <c r="I251" s="2" t="s">
        <v>537</v>
      </c>
      <c r="J251" s="9" t="s">
        <v>0</v>
      </c>
      <c r="K251" s="67" t="s">
        <v>531</v>
      </c>
      <c r="L251" s="2" t="s">
        <v>536</v>
      </c>
      <c r="M251" s="2" t="s">
        <v>532</v>
      </c>
      <c r="N251" s="2" t="s">
        <v>532</v>
      </c>
      <c r="O251" s="2" t="s">
        <v>572</v>
      </c>
      <c r="P251" s="2" t="s">
        <v>574</v>
      </c>
      <c r="Q251" s="67" t="s">
        <v>0</v>
      </c>
      <c r="R251" s="110" t="s">
        <v>539</v>
      </c>
      <c r="S251" s="166">
        <v>100</v>
      </c>
      <c r="T251" s="166" t="s">
        <v>0</v>
      </c>
      <c r="U251" s="67" t="s">
        <v>0</v>
      </c>
      <c r="V251" s="165" t="s">
        <v>0</v>
      </c>
      <c r="W251" s="208">
        <v>289.75773354707832</v>
      </c>
      <c r="X251" s="165">
        <v>50</v>
      </c>
      <c r="Y251" s="195">
        <v>2</v>
      </c>
      <c r="Z251" s="208">
        <v>1.9703525881201327E-4</v>
      </c>
      <c r="AA251" s="264">
        <v>4.9258814703003317E-3</v>
      </c>
      <c r="AB251" s="208">
        <v>3.9309958077661388E-5</v>
      </c>
      <c r="AC251" s="216">
        <v>31.129460861189596</v>
      </c>
      <c r="AD251" s="208">
        <v>0.33745652282183897</v>
      </c>
      <c r="AE251" s="270">
        <v>0.19483061429098383</v>
      </c>
      <c r="AF251" s="208">
        <v>271.21944553166168</v>
      </c>
      <c r="AG251" s="206">
        <v>6780.4861382915424</v>
      </c>
      <c r="AH251" s="110"/>
      <c r="AI251" s="393"/>
    </row>
    <row r="252" spans="1:35" hidden="1" x14ac:dyDescent="0.3">
      <c r="A252" s="145">
        <v>45280</v>
      </c>
      <c r="B252" s="189">
        <v>251</v>
      </c>
      <c r="C252" s="8" t="s">
        <v>544</v>
      </c>
      <c r="D252" s="10" t="s">
        <v>552</v>
      </c>
      <c r="E252" s="2" t="s">
        <v>588</v>
      </c>
      <c r="F252" s="2" t="s">
        <v>584</v>
      </c>
      <c r="G252" s="65" t="s">
        <v>569</v>
      </c>
      <c r="H252" s="14" t="s">
        <v>249</v>
      </c>
      <c r="I252" s="67" t="s">
        <v>517</v>
      </c>
      <c r="J252" s="9" t="s">
        <v>0</v>
      </c>
      <c r="K252" s="66" t="s">
        <v>531</v>
      </c>
      <c r="L252" s="42" t="s">
        <v>593</v>
      </c>
      <c r="M252" s="42" t="s">
        <v>532</v>
      </c>
      <c r="N252" s="2" t="s">
        <v>532</v>
      </c>
      <c r="O252" s="67" t="s">
        <v>572</v>
      </c>
      <c r="P252" s="65" t="s">
        <v>573</v>
      </c>
      <c r="Q252" s="67" t="s">
        <v>0</v>
      </c>
      <c r="R252" s="110" t="s">
        <v>539</v>
      </c>
      <c r="S252" s="166">
        <v>100</v>
      </c>
      <c r="T252" s="166" t="s">
        <v>0</v>
      </c>
      <c r="U252" s="67" t="s">
        <v>576</v>
      </c>
      <c r="V252" s="360">
        <v>2000000</v>
      </c>
      <c r="W252" s="208">
        <v>385373.80576359062</v>
      </c>
      <c r="X252" s="165">
        <v>50</v>
      </c>
      <c r="Y252" s="195">
        <v>2</v>
      </c>
      <c r="Z252" s="214">
        <v>0.26205418791924162</v>
      </c>
      <c r="AA252" s="276">
        <v>6.5513546979810409</v>
      </c>
      <c r="AB252" s="214">
        <v>2.0118635915906367E-2</v>
      </c>
      <c r="AC252" s="233">
        <v>19.723091608579846</v>
      </c>
      <c r="AD252" s="214">
        <v>0.11907413267537008</v>
      </c>
      <c r="AE252" s="273">
        <v>6.8747482553646128E-2</v>
      </c>
      <c r="AF252" s="214">
        <v>360718.13732849108</v>
      </c>
      <c r="AG252" s="206">
        <v>9017953.4332122784</v>
      </c>
      <c r="AH252" s="110"/>
      <c r="AI252" s="393"/>
    </row>
    <row r="253" spans="1:35" hidden="1" x14ac:dyDescent="0.3">
      <c r="A253" s="145">
        <v>45280</v>
      </c>
      <c r="B253" s="189">
        <v>252</v>
      </c>
      <c r="C253" s="8" t="s">
        <v>544</v>
      </c>
      <c r="D253" s="10" t="s">
        <v>552</v>
      </c>
      <c r="E253" s="2" t="s">
        <v>588</v>
      </c>
      <c r="F253" s="2" t="s">
        <v>584</v>
      </c>
      <c r="G253" s="65" t="s">
        <v>569</v>
      </c>
      <c r="H253" s="14" t="s">
        <v>250</v>
      </c>
      <c r="I253" s="67" t="s">
        <v>517</v>
      </c>
      <c r="J253" s="9" t="s">
        <v>0</v>
      </c>
      <c r="K253" s="66" t="s">
        <v>531</v>
      </c>
      <c r="L253" s="42" t="s">
        <v>593</v>
      </c>
      <c r="M253" s="42" t="s">
        <v>532</v>
      </c>
      <c r="N253" s="2" t="s">
        <v>532</v>
      </c>
      <c r="O253" s="67" t="s">
        <v>572</v>
      </c>
      <c r="P253" s="65" t="s">
        <v>574</v>
      </c>
      <c r="Q253" s="67" t="s">
        <v>0</v>
      </c>
      <c r="R253" s="110" t="s">
        <v>539</v>
      </c>
      <c r="S253" s="166">
        <v>100</v>
      </c>
      <c r="T253" s="166" t="s">
        <v>0</v>
      </c>
      <c r="U253" s="67" t="s">
        <v>576</v>
      </c>
      <c r="V253" s="360">
        <v>2000000</v>
      </c>
      <c r="W253" s="208">
        <v>180893.07217382672</v>
      </c>
      <c r="X253" s="165">
        <v>50</v>
      </c>
      <c r="Y253" s="195">
        <v>2</v>
      </c>
      <c r="Z253" s="214">
        <v>0.12300728907820216</v>
      </c>
      <c r="AA253" s="276">
        <v>3.0751822269550542</v>
      </c>
      <c r="AB253" s="214">
        <v>1.1029935178449654E-2</v>
      </c>
      <c r="AC253" s="233">
        <v>20.92153422263409</v>
      </c>
      <c r="AD253" s="214">
        <v>0.14168046151546387</v>
      </c>
      <c r="AE253" s="273">
        <v>8.1799252594863481E-2</v>
      </c>
      <c r="AF253" s="214">
        <v>169319.79048467</v>
      </c>
      <c r="AG253" s="206">
        <v>4232994.7621167507</v>
      </c>
      <c r="AH253" s="110"/>
      <c r="AI253" s="393"/>
    </row>
    <row r="254" spans="1:35" hidden="1" x14ac:dyDescent="0.3">
      <c r="A254" s="145">
        <v>45280</v>
      </c>
      <c r="B254" s="189">
        <v>253</v>
      </c>
      <c r="C254" s="8" t="s">
        <v>544</v>
      </c>
      <c r="D254" s="10" t="s">
        <v>552</v>
      </c>
      <c r="E254" s="2" t="s">
        <v>588</v>
      </c>
      <c r="F254" s="2" t="s">
        <v>584</v>
      </c>
      <c r="G254" s="65" t="s">
        <v>569</v>
      </c>
      <c r="H254" s="336" t="s">
        <v>251</v>
      </c>
      <c r="I254" s="67" t="s">
        <v>517</v>
      </c>
      <c r="J254" s="64" t="s">
        <v>1</v>
      </c>
      <c r="K254" s="2" t="s">
        <v>531</v>
      </c>
      <c r="L254" s="42" t="s">
        <v>593</v>
      </c>
      <c r="M254" s="42" t="s">
        <v>531</v>
      </c>
      <c r="N254" s="2" t="s">
        <v>532</v>
      </c>
      <c r="O254" s="67" t="s">
        <v>572</v>
      </c>
      <c r="P254" s="65" t="s">
        <v>573</v>
      </c>
      <c r="Q254" s="67" t="s">
        <v>0</v>
      </c>
      <c r="R254" s="110" t="s">
        <v>539</v>
      </c>
      <c r="S254" s="166">
        <v>100</v>
      </c>
      <c r="T254" s="166" t="s">
        <v>0</v>
      </c>
      <c r="U254" s="67" t="s">
        <v>576</v>
      </c>
      <c r="V254" s="360">
        <v>2000000</v>
      </c>
      <c r="W254" s="208">
        <v>4032547.8919209908</v>
      </c>
      <c r="X254" s="165">
        <v>50</v>
      </c>
      <c r="Y254" s="195">
        <v>2</v>
      </c>
      <c r="Z254" s="208">
        <v>2.7421325665062741</v>
      </c>
      <c r="AA254" s="264">
        <v>68.553314162656847</v>
      </c>
      <c r="AB254" s="208">
        <v>0.20047934438875883</v>
      </c>
      <c r="AC254" s="216">
        <v>16.006114979322781</v>
      </c>
      <c r="AD254" s="208">
        <v>0.11655977601859839</v>
      </c>
      <c r="AE254" s="270">
        <v>6.7295818061020266E-2</v>
      </c>
      <c r="AF254" s="208">
        <v>3774551.2084804559</v>
      </c>
      <c r="AG254" s="206">
        <v>94363780.212011382</v>
      </c>
      <c r="AH254" s="110"/>
      <c r="AI254" s="393"/>
    </row>
    <row r="255" spans="1:35" hidden="1" x14ac:dyDescent="0.3">
      <c r="A255" s="145">
        <v>45280</v>
      </c>
      <c r="B255" s="189">
        <v>254</v>
      </c>
      <c r="C255" s="8" t="s">
        <v>544</v>
      </c>
      <c r="D255" s="10" t="s">
        <v>552</v>
      </c>
      <c r="E255" s="2" t="s">
        <v>588</v>
      </c>
      <c r="F255" s="2" t="s">
        <v>584</v>
      </c>
      <c r="G255" s="65" t="s">
        <v>569</v>
      </c>
      <c r="H255" s="336" t="s">
        <v>252</v>
      </c>
      <c r="I255" s="67" t="s">
        <v>517</v>
      </c>
      <c r="J255" s="64" t="s">
        <v>1</v>
      </c>
      <c r="K255" s="2" t="s">
        <v>531</v>
      </c>
      <c r="L255" s="42" t="s">
        <v>593</v>
      </c>
      <c r="M255" s="42" t="s">
        <v>531</v>
      </c>
      <c r="N255" s="2" t="s">
        <v>532</v>
      </c>
      <c r="O255" s="67" t="s">
        <v>572</v>
      </c>
      <c r="P255" s="65" t="s">
        <v>574</v>
      </c>
      <c r="Q255" s="67" t="s">
        <v>0</v>
      </c>
      <c r="R255" s="110" t="s">
        <v>539</v>
      </c>
      <c r="S255" s="166">
        <v>100</v>
      </c>
      <c r="T255" s="166" t="s">
        <v>0</v>
      </c>
      <c r="U255" s="67" t="s">
        <v>576</v>
      </c>
      <c r="V255" s="360">
        <v>2000000</v>
      </c>
      <c r="W255" s="208">
        <v>3224177.9049728042</v>
      </c>
      <c r="X255" s="165">
        <v>50</v>
      </c>
      <c r="Y255" s="195">
        <v>2</v>
      </c>
      <c r="Z255" s="208">
        <v>2.1924409753815071</v>
      </c>
      <c r="AA255" s="264">
        <v>54.811024384537674</v>
      </c>
      <c r="AB255" s="208">
        <v>5.0020879669776946E-2</v>
      </c>
      <c r="AC255" s="216">
        <v>16.357694918400863</v>
      </c>
      <c r="AD255" s="208">
        <v>3.6360572348107627E-2</v>
      </c>
      <c r="AE255" s="270">
        <v>2.0992786233068803E-2</v>
      </c>
      <c r="AF255" s="208">
        <v>3017899.5845164596</v>
      </c>
      <c r="AG255" s="206">
        <v>75447489.612911493</v>
      </c>
      <c r="AH255" s="110"/>
      <c r="AI255" s="393"/>
    </row>
    <row r="256" spans="1:35" hidden="1" x14ac:dyDescent="0.3">
      <c r="A256" s="145">
        <v>45280</v>
      </c>
      <c r="B256" s="189">
        <v>255</v>
      </c>
      <c r="C256" s="8" t="s">
        <v>544</v>
      </c>
      <c r="D256" s="10" t="s">
        <v>552</v>
      </c>
      <c r="E256" s="2" t="s">
        <v>588</v>
      </c>
      <c r="F256" s="2" t="s">
        <v>584</v>
      </c>
      <c r="G256" s="65" t="s">
        <v>569</v>
      </c>
      <c r="H256" s="336" t="s">
        <v>253</v>
      </c>
      <c r="I256" s="67" t="s">
        <v>517</v>
      </c>
      <c r="J256" s="57" t="s">
        <v>2</v>
      </c>
      <c r="K256" s="2" t="s">
        <v>531</v>
      </c>
      <c r="L256" s="42" t="s">
        <v>593</v>
      </c>
      <c r="M256" s="42" t="s">
        <v>531</v>
      </c>
      <c r="N256" s="2" t="s">
        <v>532</v>
      </c>
      <c r="O256" s="67" t="s">
        <v>572</v>
      </c>
      <c r="P256" s="65" t="s">
        <v>573</v>
      </c>
      <c r="Q256" s="67" t="s">
        <v>0</v>
      </c>
      <c r="R256" s="110" t="s">
        <v>539</v>
      </c>
      <c r="S256" s="166">
        <v>100</v>
      </c>
      <c r="T256" s="166" t="s">
        <v>0</v>
      </c>
      <c r="U256" s="67" t="s">
        <v>576</v>
      </c>
      <c r="V256" s="360">
        <v>2000000</v>
      </c>
      <c r="W256" s="208">
        <v>8800299.7715886589</v>
      </c>
      <c r="X256" s="165">
        <v>50</v>
      </c>
      <c r="Y256" s="195">
        <v>2</v>
      </c>
      <c r="Z256" s="208">
        <v>5.9842038446802883</v>
      </c>
      <c r="AA256" s="264">
        <v>149.60509611700721</v>
      </c>
      <c r="AB256" s="208">
        <v>0.13493829213195491</v>
      </c>
      <c r="AC256" s="216">
        <v>14.768182216127116</v>
      </c>
      <c r="AD256" s="208">
        <v>3.591100897415804E-2</v>
      </c>
      <c r="AE256" s="270">
        <v>2.0733230698101211E-2</v>
      </c>
      <c r="AF256" s="208">
        <v>8237269.0983755514</v>
      </c>
      <c r="AG256" s="206">
        <v>205931727.45938876</v>
      </c>
      <c r="AH256" s="110"/>
      <c r="AI256" s="393"/>
    </row>
    <row r="257" spans="1:35" ht="16.2" hidden="1" thickBot="1" x14ac:dyDescent="0.35">
      <c r="A257" s="146">
        <v>45280</v>
      </c>
      <c r="B257" s="190">
        <v>256</v>
      </c>
      <c r="C257" s="37" t="s">
        <v>544</v>
      </c>
      <c r="D257" s="48" t="s">
        <v>552</v>
      </c>
      <c r="E257" s="4" t="s">
        <v>588</v>
      </c>
      <c r="F257" s="4" t="s">
        <v>584</v>
      </c>
      <c r="G257" s="4" t="s">
        <v>569</v>
      </c>
      <c r="H257" s="337" t="s">
        <v>254</v>
      </c>
      <c r="I257" s="4" t="s">
        <v>517</v>
      </c>
      <c r="J257" s="63" t="s">
        <v>2</v>
      </c>
      <c r="K257" s="4" t="s">
        <v>531</v>
      </c>
      <c r="L257" s="42" t="s">
        <v>593</v>
      </c>
      <c r="M257" s="197" t="s">
        <v>531</v>
      </c>
      <c r="N257" s="107" t="s">
        <v>532</v>
      </c>
      <c r="O257" s="107" t="s">
        <v>572</v>
      </c>
      <c r="P257" s="4" t="s">
        <v>574</v>
      </c>
      <c r="Q257" s="67" t="s">
        <v>0</v>
      </c>
      <c r="R257" s="111" t="s">
        <v>539</v>
      </c>
      <c r="S257" s="166">
        <v>100</v>
      </c>
      <c r="T257" s="166" t="s">
        <v>0</v>
      </c>
      <c r="U257" s="67" t="s">
        <v>576</v>
      </c>
      <c r="V257" s="363">
        <v>2000000</v>
      </c>
      <c r="W257" s="211">
        <v>10719343.873309093</v>
      </c>
      <c r="X257" s="169">
        <v>50</v>
      </c>
      <c r="Y257" s="205">
        <v>2</v>
      </c>
      <c r="Z257" s="211">
        <v>7.2891538338501825</v>
      </c>
      <c r="AA257" s="262">
        <v>182.22884584625456</v>
      </c>
      <c r="AB257" s="211">
        <v>0.38070984687133974</v>
      </c>
      <c r="AC257" s="236">
        <v>14.457104734927476</v>
      </c>
      <c r="AD257" s="211">
        <v>8.3681222024895169E-2</v>
      </c>
      <c r="AE257" s="285">
        <v>4.8313376062190071E-2</v>
      </c>
      <c r="AF257" s="211">
        <v>10033535.485636123</v>
      </c>
      <c r="AG257" s="248">
        <v>250838387.14090306</v>
      </c>
      <c r="AH257" s="111"/>
      <c r="AI257" s="408"/>
    </row>
    <row r="258" spans="1:35" hidden="1" x14ac:dyDescent="0.3">
      <c r="A258" s="149">
        <v>45282</v>
      </c>
      <c r="B258" s="188">
        <v>257</v>
      </c>
      <c r="C258" s="62" t="s">
        <v>545</v>
      </c>
      <c r="D258" s="20" t="s">
        <v>552</v>
      </c>
      <c r="E258" s="17" t="s">
        <v>588</v>
      </c>
      <c r="F258" s="17" t="s">
        <v>584</v>
      </c>
      <c r="G258" s="36" t="s">
        <v>554</v>
      </c>
      <c r="H258" s="338" t="s">
        <v>255</v>
      </c>
      <c r="I258" s="18" t="s">
        <v>517</v>
      </c>
      <c r="J258" s="52" t="s">
        <v>0</v>
      </c>
      <c r="K258" s="17" t="s">
        <v>532</v>
      </c>
      <c r="L258" s="141" t="s">
        <v>608</v>
      </c>
      <c r="M258" s="198" t="s">
        <v>531</v>
      </c>
      <c r="N258" s="117" t="s">
        <v>532</v>
      </c>
      <c r="O258" s="117" t="s">
        <v>570</v>
      </c>
      <c r="P258" s="18" t="s">
        <v>573</v>
      </c>
      <c r="Q258" s="36" t="s">
        <v>0</v>
      </c>
      <c r="R258" s="117" t="s">
        <v>519</v>
      </c>
      <c r="S258" s="182">
        <v>100</v>
      </c>
      <c r="T258" s="182" t="s">
        <v>0</v>
      </c>
      <c r="U258" s="36" t="s">
        <v>576</v>
      </c>
      <c r="V258" s="359">
        <v>200000</v>
      </c>
      <c r="W258" s="209">
        <v>173612.68233272992</v>
      </c>
      <c r="X258" s="164">
        <v>50</v>
      </c>
      <c r="Y258" s="194">
        <v>2</v>
      </c>
      <c r="Z258" s="209">
        <v>0.11805662398625635</v>
      </c>
      <c r="AA258" s="279">
        <v>2.9514155996564089</v>
      </c>
      <c r="AB258" s="209">
        <v>5.1544298167605238E-2</v>
      </c>
      <c r="AC258" s="235">
        <v>22.351939999999999</v>
      </c>
      <c r="AD258" s="209">
        <v>0.65492799999999995</v>
      </c>
      <c r="AE258" s="279">
        <v>0.37812299999999999</v>
      </c>
      <c r="AF258" s="209">
        <v>162505.18963938908</v>
      </c>
      <c r="AG258" s="386">
        <v>4062629.7409847262</v>
      </c>
      <c r="AH258" s="117"/>
      <c r="AI258" s="404"/>
    </row>
    <row r="259" spans="1:35" hidden="1" x14ac:dyDescent="0.3">
      <c r="A259" s="145">
        <v>45282</v>
      </c>
      <c r="B259" s="189">
        <v>258</v>
      </c>
      <c r="C259" s="61" t="s">
        <v>545</v>
      </c>
      <c r="D259" s="10" t="s">
        <v>552</v>
      </c>
      <c r="E259" s="2" t="s">
        <v>588</v>
      </c>
      <c r="F259" s="2" t="s">
        <v>584</v>
      </c>
      <c r="G259" s="2" t="s">
        <v>554</v>
      </c>
      <c r="H259" s="333" t="s">
        <v>256</v>
      </c>
      <c r="I259" s="2" t="s">
        <v>517</v>
      </c>
      <c r="J259" s="9" t="s">
        <v>0</v>
      </c>
      <c r="K259" s="2" t="s">
        <v>532</v>
      </c>
      <c r="L259" s="2" t="s">
        <v>608</v>
      </c>
      <c r="M259" s="75" t="s">
        <v>531</v>
      </c>
      <c r="N259" s="75" t="s">
        <v>532</v>
      </c>
      <c r="O259" s="75" t="s">
        <v>570</v>
      </c>
      <c r="P259" s="2" t="s">
        <v>574</v>
      </c>
      <c r="Q259" s="67" t="s">
        <v>0</v>
      </c>
      <c r="R259" s="110" t="s">
        <v>519</v>
      </c>
      <c r="S259" s="183">
        <v>100</v>
      </c>
      <c r="T259" s="183" t="s">
        <v>0</v>
      </c>
      <c r="U259" s="67" t="s">
        <v>576</v>
      </c>
      <c r="V259" s="360">
        <v>200000</v>
      </c>
      <c r="W259" s="208">
        <v>117492.47379435149</v>
      </c>
      <c r="X259" s="165">
        <v>50</v>
      </c>
      <c r="Y259" s="195">
        <v>2</v>
      </c>
      <c r="Z259" s="208">
        <v>7.9894882180159013E-2</v>
      </c>
      <c r="AA259" s="270">
        <v>1.9973720545039753</v>
      </c>
      <c r="AB259" s="208">
        <v>2.4117383707985371E-2</v>
      </c>
      <c r="AC259" s="216">
        <v>22.947389999999999</v>
      </c>
      <c r="AD259" s="208">
        <v>0.534107</v>
      </c>
      <c r="AE259" s="270">
        <v>0.308367</v>
      </c>
      <c r="AF259" s="208">
        <v>109975.47229043963</v>
      </c>
      <c r="AG259" s="378">
        <v>2749386.8072609901</v>
      </c>
      <c r="AH259" s="110"/>
      <c r="AI259" s="393"/>
    </row>
    <row r="260" spans="1:35" hidden="1" x14ac:dyDescent="0.3">
      <c r="A260" s="145">
        <v>45282</v>
      </c>
      <c r="B260" s="189">
        <v>259</v>
      </c>
      <c r="C260" s="61" t="s">
        <v>545</v>
      </c>
      <c r="D260" s="10" t="s">
        <v>552</v>
      </c>
      <c r="E260" s="2" t="s">
        <v>588</v>
      </c>
      <c r="F260" s="2" t="s">
        <v>584</v>
      </c>
      <c r="G260" s="2" t="s">
        <v>554</v>
      </c>
      <c r="H260" s="333" t="s">
        <v>257</v>
      </c>
      <c r="I260" s="2" t="s">
        <v>517</v>
      </c>
      <c r="J260" s="9" t="s">
        <v>0</v>
      </c>
      <c r="K260" s="2" t="s">
        <v>532</v>
      </c>
      <c r="L260" s="2" t="s">
        <v>608</v>
      </c>
      <c r="M260" s="75" t="s">
        <v>531</v>
      </c>
      <c r="N260" s="2" t="s">
        <v>532</v>
      </c>
      <c r="O260" s="2" t="s">
        <v>570</v>
      </c>
      <c r="P260" s="2" t="s">
        <v>503</v>
      </c>
      <c r="Q260" s="67" t="s">
        <v>0</v>
      </c>
      <c r="R260" s="110" t="s">
        <v>519</v>
      </c>
      <c r="S260" s="183">
        <v>100</v>
      </c>
      <c r="T260" s="183" t="s">
        <v>0</v>
      </c>
      <c r="U260" s="67" t="s">
        <v>576</v>
      </c>
      <c r="V260" s="360">
        <v>200000</v>
      </c>
      <c r="W260" s="208">
        <v>85327.160231131173</v>
      </c>
      <c r="X260" s="165">
        <v>50</v>
      </c>
      <c r="Y260" s="195">
        <v>2</v>
      </c>
      <c r="Z260" s="208">
        <v>5.8022468957169192E-2</v>
      </c>
      <c r="AA260" s="264">
        <v>1.4505617239292299</v>
      </c>
      <c r="AB260" s="208">
        <v>5.4935971384034521E-3</v>
      </c>
      <c r="AC260" s="216">
        <v>23.415970000000002</v>
      </c>
      <c r="AD260" s="208">
        <v>0.15635199999999999</v>
      </c>
      <c r="AE260" s="270">
        <v>9.0270000000000003E-2</v>
      </c>
      <c r="AF260" s="208">
        <v>79868.049778621673</v>
      </c>
      <c r="AG260" s="206">
        <v>1996701.244465542</v>
      </c>
      <c r="AH260" s="110"/>
      <c r="AI260" s="393"/>
    </row>
    <row r="261" spans="1:35" hidden="1" x14ac:dyDescent="0.3">
      <c r="A261" s="145">
        <v>45282</v>
      </c>
      <c r="B261" s="189">
        <v>260</v>
      </c>
      <c r="C261" s="61" t="s">
        <v>545</v>
      </c>
      <c r="D261" s="10" t="s">
        <v>552</v>
      </c>
      <c r="E261" s="2" t="s">
        <v>588</v>
      </c>
      <c r="F261" s="2" t="s">
        <v>584</v>
      </c>
      <c r="G261" s="2" t="s">
        <v>554</v>
      </c>
      <c r="H261" s="333" t="s">
        <v>258</v>
      </c>
      <c r="I261" s="2" t="s">
        <v>517</v>
      </c>
      <c r="J261" s="9" t="s">
        <v>0</v>
      </c>
      <c r="K261" s="2" t="s">
        <v>532</v>
      </c>
      <c r="L261" s="2" t="s">
        <v>608</v>
      </c>
      <c r="M261" s="75" t="s">
        <v>531</v>
      </c>
      <c r="N261" s="2" t="s">
        <v>532</v>
      </c>
      <c r="O261" s="2" t="s">
        <v>570</v>
      </c>
      <c r="P261" s="2" t="s">
        <v>573</v>
      </c>
      <c r="Q261" s="67" t="s">
        <v>0</v>
      </c>
      <c r="R261" s="110" t="s">
        <v>519</v>
      </c>
      <c r="S261" s="183">
        <v>200</v>
      </c>
      <c r="T261" s="183" t="s">
        <v>0</v>
      </c>
      <c r="U261" s="67" t="s">
        <v>576</v>
      </c>
      <c r="V261" s="360">
        <v>200000</v>
      </c>
      <c r="W261" s="208">
        <v>163434.63431384522</v>
      </c>
      <c r="X261" s="165">
        <v>50</v>
      </c>
      <c r="Y261" s="195">
        <v>2</v>
      </c>
      <c r="Z261" s="208">
        <v>0.11113555133341474</v>
      </c>
      <c r="AA261" s="264">
        <v>2.7783887833353687</v>
      </c>
      <c r="AB261" s="208">
        <v>7.9572715881982767E-2</v>
      </c>
      <c r="AC261" s="216">
        <v>22.608499999999999</v>
      </c>
      <c r="AD261" s="208">
        <v>1.0675330000000001</v>
      </c>
      <c r="AE261" s="270">
        <v>0.61634100000000003</v>
      </c>
      <c r="AF261" s="208">
        <v>152978.31866865093</v>
      </c>
      <c r="AG261" s="206">
        <v>3824457.9667162728</v>
      </c>
      <c r="AH261" s="110"/>
      <c r="AI261" s="393"/>
    </row>
    <row r="262" spans="1:35" hidden="1" x14ac:dyDescent="0.3">
      <c r="A262" s="145">
        <v>45282</v>
      </c>
      <c r="B262" s="188">
        <v>261</v>
      </c>
      <c r="C262" s="61" t="s">
        <v>545</v>
      </c>
      <c r="D262" s="10" t="s">
        <v>552</v>
      </c>
      <c r="E262" s="2" t="s">
        <v>588</v>
      </c>
      <c r="F262" s="2" t="s">
        <v>584</v>
      </c>
      <c r="G262" s="2" t="s">
        <v>554</v>
      </c>
      <c r="H262" s="333" t="s">
        <v>259</v>
      </c>
      <c r="I262" s="2" t="s">
        <v>517</v>
      </c>
      <c r="J262" s="9" t="s">
        <v>0</v>
      </c>
      <c r="K262" s="2" t="s">
        <v>532</v>
      </c>
      <c r="L262" s="2" t="s">
        <v>608</v>
      </c>
      <c r="M262" s="75" t="s">
        <v>531</v>
      </c>
      <c r="N262" s="2" t="s">
        <v>532</v>
      </c>
      <c r="O262" s="2" t="s">
        <v>570</v>
      </c>
      <c r="P262" s="2" t="s">
        <v>574</v>
      </c>
      <c r="Q262" s="67" t="s">
        <v>0</v>
      </c>
      <c r="R262" s="110" t="s">
        <v>519</v>
      </c>
      <c r="S262" s="183">
        <v>200</v>
      </c>
      <c r="T262" s="183" t="s">
        <v>0</v>
      </c>
      <c r="U262" s="67" t="s">
        <v>576</v>
      </c>
      <c r="V262" s="360">
        <v>200000</v>
      </c>
      <c r="W262" s="208">
        <v>109672.43455662328</v>
      </c>
      <c r="X262" s="165">
        <v>50</v>
      </c>
      <c r="Y262" s="195">
        <v>2</v>
      </c>
      <c r="Z262" s="208">
        <v>7.4577255498503831E-2</v>
      </c>
      <c r="AA262" s="264">
        <v>1.8644313874625957</v>
      </c>
      <c r="AB262" s="208">
        <v>2.1206567729834601E-3</v>
      </c>
      <c r="AC262" s="216">
        <v>23.004180000000002</v>
      </c>
      <c r="AD262" s="208">
        <v>4.6039999999999998E-2</v>
      </c>
      <c r="AE262" s="270">
        <v>2.6581E-2</v>
      </c>
      <c r="AF262" s="208">
        <v>102655.74805002386</v>
      </c>
      <c r="AG262" s="206">
        <v>2566393.7012505964</v>
      </c>
      <c r="AH262" s="110"/>
      <c r="AI262" s="393"/>
    </row>
    <row r="263" spans="1:35" hidden="1" x14ac:dyDescent="0.3">
      <c r="A263" s="145">
        <v>45282</v>
      </c>
      <c r="B263" s="189">
        <v>262</v>
      </c>
      <c r="C263" s="61" t="s">
        <v>545</v>
      </c>
      <c r="D263" s="10" t="s">
        <v>552</v>
      </c>
      <c r="E263" s="2" t="s">
        <v>588</v>
      </c>
      <c r="F263" s="2" t="s">
        <v>584</v>
      </c>
      <c r="G263" s="2" t="s">
        <v>554</v>
      </c>
      <c r="H263" s="333" t="s">
        <v>260</v>
      </c>
      <c r="I263" s="2" t="s">
        <v>517</v>
      </c>
      <c r="J263" s="9" t="s">
        <v>0</v>
      </c>
      <c r="K263" s="2" t="s">
        <v>532</v>
      </c>
      <c r="L263" s="2" t="s">
        <v>608</v>
      </c>
      <c r="M263" s="75" t="s">
        <v>531</v>
      </c>
      <c r="N263" s="2" t="s">
        <v>532</v>
      </c>
      <c r="O263" s="2" t="s">
        <v>570</v>
      </c>
      <c r="P263" s="2" t="s">
        <v>503</v>
      </c>
      <c r="Q263" s="67" t="s">
        <v>0</v>
      </c>
      <c r="R263" s="110" t="s">
        <v>519</v>
      </c>
      <c r="S263" s="183">
        <v>200</v>
      </c>
      <c r="T263" s="183" t="s">
        <v>0</v>
      </c>
      <c r="U263" s="67" t="s">
        <v>576</v>
      </c>
      <c r="V263" s="360">
        <v>200000</v>
      </c>
      <c r="W263" s="208">
        <v>206579.82543506016</v>
      </c>
      <c r="X263" s="165">
        <v>50</v>
      </c>
      <c r="Y263" s="195">
        <v>2</v>
      </c>
      <c r="Z263" s="208">
        <v>0.14047428129584091</v>
      </c>
      <c r="AA263" s="264">
        <v>3.5118570323960228</v>
      </c>
      <c r="AB263" s="208">
        <v>1.9559812192480902E-2</v>
      </c>
      <c r="AC263" s="216">
        <v>21.986599999999999</v>
      </c>
      <c r="AD263" s="208">
        <v>0.22163099999999999</v>
      </c>
      <c r="AE263" s="270">
        <v>0.12795899999999999</v>
      </c>
      <c r="AF263" s="208">
        <v>193363.14177589075</v>
      </c>
      <c r="AG263" s="206">
        <v>4834078.5443972694</v>
      </c>
      <c r="AH263" s="110"/>
      <c r="AI263" s="393"/>
    </row>
    <row r="264" spans="1:35" hidden="1" x14ac:dyDescent="0.3">
      <c r="A264" s="145">
        <v>45282</v>
      </c>
      <c r="B264" s="189">
        <v>263</v>
      </c>
      <c r="C264" s="61" t="s">
        <v>545</v>
      </c>
      <c r="D264" s="10" t="s">
        <v>552</v>
      </c>
      <c r="E264" s="2" t="s">
        <v>588</v>
      </c>
      <c r="F264" s="2" t="s">
        <v>584</v>
      </c>
      <c r="G264" s="2" t="s">
        <v>554</v>
      </c>
      <c r="H264" s="333" t="s">
        <v>261</v>
      </c>
      <c r="I264" s="2" t="s">
        <v>517</v>
      </c>
      <c r="J264" s="9" t="s">
        <v>0</v>
      </c>
      <c r="K264" s="2" t="s">
        <v>532</v>
      </c>
      <c r="L264" s="2" t="s">
        <v>608</v>
      </c>
      <c r="M264" s="75" t="s">
        <v>531</v>
      </c>
      <c r="N264" s="2" t="s">
        <v>532</v>
      </c>
      <c r="O264" s="2" t="s">
        <v>570</v>
      </c>
      <c r="P264" s="2" t="s">
        <v>573</v>
      </c>
      <c r="Q264" s="67" t="s">
        <v>0</v>
      </c>
      <c r="R264" s="110" t="s">
        <v>519</v>
      </c>
      <c r="S264" s="183">
        <v>300</v>
      </c>
      <c r="T264" s="183" t="s">
        <v>0</v>
      </c>
      <c r="U264" s="67" t="s">
        <v>576</v>
      </c>
      <c r="V264" s="360">
        <v>200000</v>
      </c>
      <c r="W264" s="208">
        <v>86243.341724607453</v>
      </c>
      <c r="X264" s="165">
        <v>50</v>
      </c>
      <c r="Y264" s="195">
        <v>2</v>
      </c>
      <c r="Z264" s="208">
        <v>5.8645472372733064E-2</v>
      </c>
      <c r="AA264" s="264">
        <v>1.4661368093183267</v>
      </c>
      <c r="AB264" s="208">
        <v>1.5584661115002011E-3</v>
      </c>
      <c r="AC264" s="201">
        <v>23.39405</v>
      </c>
      <c r="AD264" s="201">
        <v>4.2870999999999999E-2</v>
      </c>
      <c r="AE264" s="265">
        <v>2.4752E-2</v>
      </c>
      <c r="AF264" s="208">
        <v>80725.615282137849</v>
      </c>
      <c r="AG264" s="206">
        <v>2018140.3820534467</v>
      </c>
      <c r="AH264" s="110"/>
      <c r="AI264" s="393"/>
    </row>
    <row r="265" spans="1:35" hidden="1" x14ac:dyDescent="0.3">
      <c r="A265" s="145">
        <v>45282</v>
      </c>
      <c r="B265" s="189">
        <v>264</v>
      </c>
      <c r="C265" s="61" t="s">
        <v>545</v>
      </c>
      <c r="D265" s="10" t="s">
        <v>552</v>
      </c>
      <c r="E265" s="2" t="s">
        <v>588</v>
      </c>
      <c r="F265" s="2" t="s">
        <v>584</v>
      </c>
      <c r="G265" s="2" t="s">
        <v>554</v>
      </c>
      <c r="H265" s="333" t="s">
        <v>262</v>
      </c>
      <c r="I265" s="2" t="s">
        <v>517</v>
      </c>
      <c r="J265" s="9" t="s">
        <v>0</v>
      </c>
      <c r="K265" s="2" t="s">
        <v>532</v>
      </c>
      <c r="L265" s="2" t="s">
        <v>608</v>
      </c>
      <c r="M265" s="75" t="s">
        <v>531</v>
      </c>
      <c r="N265" s="2" t="s">
        <v>532</v>
      </c>
      <c r="O265" s="2" t="s">
        <v>570</v>
      </c>
      <c r="P265" s="2" t="s">
        <v>574</v>
      </c>
      <c r="Q265" s="67" t="s">
        <v>0</v>
      </c>
      <c r="R265" s="110" t="s">
        <v>519</v>
      </c>
      <c r="S265" s="183">
        <v>300</v>
      </c>
      <c r="T265" s="183" t="s">
        <v>0</v>
      </c>
      <c r="U265" s="67" t="s">
        <v>576</v>
      </c>
      <c r="V265" s="360">
        <v>200000</v>
      </c>
      <c r="W265" s="208">
        <v>139411.565668736</v>
      </c>
      <c r="X265" s="165">
        <v>50</v>
      </c>
      <c r="Y265" s="195">
        <v>2</v>
      </c>
      <c r="Z265" s="208">
        <v>9.4799864654740468E-2</v>
      </c>
      <c r="AA265" s="264">
        <v>2.3699966163685118</v>
      </c>
      <c r="AB265" s="208">
        <v>7.2696408855218797E-3</v>
      </c>
      <c r="AC265" s="201">
        <v>22.61769</v>
      </c>
      <c r="AD265" s="201">
        <v>0.12628800000000001</v>
      </c>
      <c r="AE265" s="265">
        <v>7.2912000000000005E-2</v>
      </c>
      <c r="AF265" s="208">
        <v>130492.21181608966</v>
      </c>
      <c r="AG265" s="206">
        <v>3262305.2954022414</v>
      </c>
      <c r="AH265" s="110"/>
      <c r="AI265" s="393"/>
    </row>
    <row r="266" spans="1:35" hidden="1" x14ac:dyDescent="0.3">
      <c r="A266" s="145">
        <v>45282</v>
      </c>
      <c r="B266" s="189">
        <v>265</v>
      </c>
      <c r="C266" s="61" t="s">
        <v>545</v>
      </c>
      <c r="D266" s="10" t="s">
        <v>552</v>
      </c>
      <c r="E266" s="2" t="s">
        <v>588</v>
      </c>
      <c r="F266" s="2" t="s">
        <v>584</v>
      </c>
      <c r="G266" s="2" t="s">
        <v>554</v>
      </c>
      <c r="H266" s="333" t="s">
        <v>263</v>
      </c>
      <c r="I266" s="2" t="s">
        <v>517</v>
      </c>
      <c r="J266" s="9" t="s">
        <v>0</v>
      </c>
      <c r="K266" s="2" t="s">
        <v>532</v>
      </c>
      <c r="L266" s="2" t="s">
        <v>608</v>
      </c>
      <c r="M266" s="75" t="s">
        <v>531</v>
      </c>
      <c r="N266" s="2" t="s">
        <v>532</v>
      </c>
      <c r="O266" s="2" t="s">
        <v>570</v>
      </c>
      <c r="P266" s="2" t="s">
        <v>503</v>
      </c>
      <c r="Q266" s="67" t="s">
        <v>0</v>
      </c>
      <c r="R266" s="110" t="s">
        <v>519</v>
      </c>
      <c r="S266" s="183">
        <v>300</v>
      </c>
      <c r="T266" s="183" t="s">
        <v>0</v>
      </c>
      <c r="U266" s="67" t="s">
        <v>576</v>
      </c>
      <c r="V266" s="360">
        <v>200000</v>
      </c>
      <c r="W266" s="208">
        <v>104842.17737084313</v>
      </c>
      <c r="X266" s="165">
        <v>50</v>
      </c>
      <c r="Y266" s="195">
        <v>2</v>
      </c>
      <c r="Z266" s="208">
        <v>7.1292680612173323E-2</v>
      </c>
      <c r="AA266" s="264">
        <v>1.7823170153043331</v>
      </c>
      <c r="AB266" s="208">
        <v>4.9136371278698009E-3</v>
      </c>
      <c r="AC266" s="201">
        <v>23.079450000000001</v>
      </c>
      <c r="AD266" s="201">
        <v>0.11380999999999999</v>
      </c>
      <c r="AE266" s="265">
        <v>6.5708000000000003E-2</v>
      </c>
      <c r="AF266" s="208">
        <v>98134.523854674582</v>
      </c>
      <c r="AG266" s="206">
        <v>2453363.0963668646</v>
      </c>
      <c r="AH266" s="110"/>
      <c r="AI266" s="393"/>
    </row>
    <row r="267" spans="1:35" hidden="1" x14ac:dyDescent="0.3">
      <c r="A267" s="145">
        <v>45282</v>
      </c>
      <c r="B267" s="189">
        <v>266</v>
      </c>
      <c r="C267" s="61" t="s">
        <v>545</v>
      </c>
      <c r="D267" s="10" t="s">
        <v>552</v>
      </c>
      <c r="E267" s="2" t="s">
        <v>588</v>
      </c>
      <c r="F267" s="2" t="s">
        <v>584</v>
      </c>
      <c r="G267" s="2" t="s">
        <v>554</v>
      </c>
      <c r="H267" s="333" t="s">
        <v>264</v>
      </c>
      <c r="I267" s="2" t="s">
        <v>517</v>
      </c>
      <c r="J267" s="9" t="s">
        <v>0</v>
      </c>
      <c r="K267" s="2" t="s">
        <v>532</v>
      </c>
      <c r="L267" s="2" t="s">
        <v>608</v>
      </c>
      <c r="M267" s="75" t="s">
        <v>531</v>
      </c>
      <c r="N267" s="2" t="s">
        <v>532</v>
      </c>
      <c r="O267" s="2" t="s">
        <v>570</v>
      </c>
      <c r="P267" s="2" t="s">
        <v>573</v>
      </c>
      <c r="Q267" s="67" t="s">
        <v>0</v>
      </c>
      <c r="R267" s="110" t="s">
        <v>519</v>
      </c>
      <c r="S267" s="183">
        <v>400</v>
      </c>
      <c r="T267" s="183" t="s">
        <v>0</v>
      </c>
      <c r="U267" s="67" t="s">
        <v>576</v>
      </c>
      <c r="V267" s="360">
        <v>200000</v>
      </c>
      <c r="W267" s="208">
        <v>135318.03322758584</v>
      </c>
      <c r="X267" s="165">
        <v>50</v>
      </c>
      <c r="Y267" s="195">
        <v>2</v>
      </c>
      <c r="Z267" s="208">
        <v>9.2016262594758369E-2</v>
      </c>
      <c r="AA267" s="264">
        <v>2.3004065648689593</v>
      </c>
      <c r="AB267" s="208">
        <v>1.951413532329067E-2</v>
      </c>
      <c r="AC267" s="201">
        <v>22.68562</v>
      </c>
      <c r="AD267" s="201">
        <v>0.32761699999999999</v>
      </c>
      <c r="AE267" s="265">
        <v>0.18915000000000001</v>
      </c>
      <c r="AF267" s="208">
        <v>126660.57776317412</v>
      </c>
      <c r="AG267" s="206">
        <v>3166514.4440793535</v>
      </c>
      <c r="AH267" s="110"/>
      <c r="AI267" s="393"/>
    </row>
    <row r="268" spans="1:35" hidden="1" x14ac:dyDescent="0.3">
      <c r="A268" s="145">
        <v>45282</v>
      </c>
      <c r="B268" s="189">
        <v>267</v>
      </c>
      <c r="C268" s="61" t="s">
        <v>545</v>
      </c>
      <c r="D268" s="10" t="s">
        <v>552</v>
      </c>
      <c r="E268" s="2" t="s">
        <v>588</v>
      </c>
      <c r="F268" s="2" t="s">
        <v>584</v>
      </c>
      <c r="G268" s="2" t="s">
        <v>554</v>
      </c>
      <c r="H268" s="333" t="s">
        <v>265</v>
      </c>
      <c r="I268" s="2" t="s">
        <v>517</v>
      </c>
      <c r="J268" s="9" t="s">
        <v>0</v>
      </c>
      <c r="K268" s="2" t="s">
        <v>532</v>
      </c>
      <c r="L268" s="2" t="s">
        <v>608</v>
      </c>
      <c r="M268" s="75" t="s">
        <v>531</v>
      </c>
      <c r="N268" s="2" t="s">
        <v>532</v>
      </c>
      <c r="O268" s="2" t="s">
        <v>570</v>
      </c>
      <c r="P268" s="2" t="s">
        <v>574</v>
      </c>
      <c r="Q268" s="67" t="s">
        <v>0</v>
      </c>
      <c r="R268" s="110" t="s">
        <v>519</v>
      </c>
      <c r="S268" s="183">
        <v>400</v>
      </c>
      <c r="T268" s="183" t="s">
        <v>0</v>
      </c>
      <c r="U268" s="67" t="s">
        <v>576</v>
      </c>
      <c r="V268" s="360">
        <v>200000</v>
      </c>
      <c r="W268" s="208">
        <v>129162.43111092785</v>
      </c>
      <c r="X268" s="165">
        <v>50</v>
      </c>
      <c r="Y268" s="195">
        <v>2</v>
      </c>
      <c r="Z268" s="208">
        <v>8.7830453155430935E-2</v>
      </c>
      <c r="AA268" s="264">
        <v>2.1957613288857734</v>
      </c>
      <c r="AB268" s="208">
        <v>3.8403618709030259E-3</v>
      </c>
      <c r="AC268" s="201">
        <v>22.739360000000001</v>
      </c>
      <c r="AD268" s="201">
        <v>7.0264999999999994E-2</v>
      </c>
      <c r="AE268" s="265">
        <v>4.0568E-2</v>
      </c>
      <c r="AF268" s="208">
        <v>120898.80232216678</v>
      </c>
      <c r="AG268" s="206">
        <v>3022470.0580541696</v>
      </c>
      <c r="AH268" s="110"/>
      <c r="AI268" s="393"/>
    </row>
    <row r="269" spans="1:35" hidden="1" x14ac:dyDescent="0.3">
      <c r="A269" s="145">
        <v>45282</v>
      </c>
      <c r="B269" s="189">
        <v>268</v>
      </c>
      <c r="C269" s="61" t="s">
        <v>545</v>
      </c>
      <c r="D269" s="10" t="s">
        <v>552</v>
      </c>
      <c r="E269" s="2" t="s">
        <v>588</v>
      </c>
      <c r="F269" s="2" t="s">
        <v>584</v>
      </c>
      <c r="G269" s="2" t="s">
        <v>554</v>
      </c>
      <c r="H269" s="333" t="s">
        <v>266</v>
      </c>
      <c r="I269" s="2" t="s">
        <v>517</v>
      </c>
      <c r="J269" s="9" t="s">
        <v>0</v>
      </c>
      <c r="K269" s="2" t="s">
        <v>532</v>
      </c>
      <c r="L269" s="2" t="s">
        <v>608</v>
      </c>
      <c r="M269" s="75" t="s">
        <v>531</v>
      </c>
      <c r="N269" s="2" t="s">
        <v>532</v>
      </c>
      <c r="O269" s="2" t="s">
        <v>570</v>
      </c>
      <c r="P269" s="2" t="s">
        <v>503</v>
      </c>
      <c r="Q269" s="67" t="s">
        <v>0</v>
      </c>
      <c r="R269" s="110" t="s">
        <v>519</v>
      </c>
      <c r="S269" s="183">
        <v>400</v>
      </c>
      <c r="T269" s="183" t="s">
        <v>0</v>
      </c>
      <c r="U269" s="67" t="s">
        <v>576</v>
      </c>
      <c r="V269" s="360">
        <v>200000</v>
      </c>
      <c r="W269" s="208">
        <v>182059.53775697897</v>
      </c>
      <c r="X269" s="165">
        <v>50</v>
      </c>
      <c r="Y269" s="195">
        <v>2</v>
      </c>
      <c r="Z269" s="208">
        <v>0.12380048567474569</v>
      </c>
      <c r="AA269" s="264">
        <v>3.0950121418686423</v>
      </c>
      <c r="AB269" s="208">
        <v>2.2177343441739963E-2</v>
      </c>
      <c r="AC269" s="201">
        <v>22.200199999999999</v>
      </c>
      <c r="AD269" s="201">
        <v>0.30852400000000002</v>
      </c>
      <c r="AE269" s="265">
        <v>0.17812700000000001</v>
      </c>
      <c r="AF269" s="208">
        <v>170411.62725748529</v>
      </c>
      <c r="AG269" s="206">
        <v>4260290.6814371329</v>
      </c>
      <c r="AH269" s="110"/>
      <c r="AI269" s="393"/>
    </row>
    <row r="270" spans="1:35" hidden="1" x14ac:dyDescent="0.3">
      <c r="A270" s="145">
        <v>45282</v>
      </c>
      <c r="B270" s="189">
        <v>269</v>
      </c>
      <c r="C270" s="61" t="s">
        <v>545</v>
      </c>
      <c r="D270" s="10" t="s">
        <v>552</v>
      </c>
      <c r="E270" s="2" t="s">
        <v>588</v>
      </c>
      <c r="F270" s="2" t="s">
        <v>584</v>
      </c>
      <c r="G270" s="2" t="s">
        <v>554</v>
      </c>
      <c r="H270" s="333" t="s">
        <v>267</v>
      </c>
      <c r="I270" s="2" t="s">
        <v>517</v>
      </c>
      <c r="J270" s="9" t="s">
        <v>0</v>
      </c>
      <c r="K270" s="2" t="s">
        <v>531</v>
      </c>
      <c r="L270" s="2" t="s">
        <v>593</v>
      </c>
      <c r="M270" s="75" t="s">
        <v>532</v>
      </c>
      <c r="N270" s="2" t="s">
        <v>532</v>
      </c>
      <c r="O270" s="2" t="s">
        <v>570</v>
      </c>
      <c r="P270" s="2" t="s">
        <v>573</v>
      </c>
      <c r="Q270" s="67" t="s">
        <v>0</v>
      </c>
      <c r="R270" s="110" t="s">
        <v>519</v>
      </c>
      <c r="S270" s="183">
        <v>100</v>
      </c>
      <c r="T270" s="183" t="s">
        <v>0</v>
      </c>
      <c r="U270" s="67" t="s">
        <v>576</v>
      </c>
      <c r="V270" s="360">
        <v>200000</v>
      </c>
      <c r="W270" s="208">
        <v>190060.6522505178</v>
      </c>
      <c r="X270" s="165">
        <v>50</v>
      </c>
      <c r="Y270" s="195">
        <v>2</v>
      </c>
      <c r="Z270" s="208">
        <v>0.1292412435303521</v>
      </c>
      <c r="AA270" s="264">
        <v>3.2310310882588027</v>
      </c>
      <c r="AB270" s="208">
        <v>1.2171350766128257E-2</v>
      </c>
      <c r="AC270" s="201">
        <v>22.116540000000001</v>
      </c>
      <c r="AD270" s="201">
        <v>0.156054</v>
      </c>
      <c r="AE270" s="265">
        <v>9.0097999999999998E-2</v>
      </c>
      <c r="AF270" s="208">
        <v>177900.84181617241</v>
      </c>
      <c r="AG270" s="206">
        <v>4447521.0454043094</v>
      </c>
      <c r="AH270" s="110"/>
      <c r="AI270" s="393"/>
    </row>
    <row r="271" spans="1:35" hidden="1" x14ac:dyDescent="0.3">
      <c r="A271" s="145">
        <v>45282</v>
      </c>
      <c r="B271" s="189">
        <v>270</v>
      </c>
      <c r="C271" s="61" t="s">
        <v>545</v>
      </c>
      <c r="D271" s="10" t="s">
        <v>552</v>
      </c>
      <c r="E271" s="2" t="s">
        <v>588</v>
      </c>
      <c r="F271" s="2" t="s">
        <v>584</v>
      </c>
      <c r="G271" s="2" t="s">
        <v>554</v>
      </c>
      <c r="H271" s="333" t="s">
        <v>268</v>
      </c>
      <c r="I271" s="2" t="s">
        <v>517</v>
      </c>
      <c r="J271" s="9" t="s">
        <v>0</v>
      </c>
      <c r="K271" s="2" t="s">
        <v>531</v>
      </c>
      <c r="L271" s="2" t="s">
        <v>593</v>
      </c>
      <c r="M271" s="75" t="s">
        <v>532</v>
      </c>
      <c r="N271" s="2" t="s">
        <v>532</v>
      </c>
      <c r="O271" s="2" t="s">
        <v>570</v>
      </c>
      <c r="P271" s="2" t="s">
        <v>574</v>
      </c>
      <c r="Q271" s="67" t="s">
        <v>0</v>
      </c>
      <c r="R271" s="110" t="s">
        <v>519</v>
      </c>
      <c r="S271" s="183">
        <v>100</v>
      </c>
      <c r="T271" s="183" t="s">
        <v>0</v>
      </c>
      <c r="U271" s="67" t="s">
        <v>576</v>
      </c>
      <c r="V271" s="360">
        <v>200000</v>
      </c>
      <c r="W271" s="208">
        <v>53321.470763404533</v>
      </c>
      <c r="X271" s="165">
        <v>50</v>
      </c>
      <c r="Y271" s="195">
        <v>2</v>
      </c>
      <c r="Z271" s="208">
        <v>3.6258600119115081E-2</v>
      </c>
      <c r="AA271" s="264">
        <v>0.90646500297787702</v>
      </c>
      <c r="AB271" s="208">
        <v>8.8434361522479986E-3</v>
      </c>
      <c r="AC271" s="201">
        <v>24.206900000000001</v>
      </c>
      <c r="AD271" s="201">
        <v>0.40387499999999998</v>
      </c>
      <c r="AE271" s="265">
        <v>0.233177</v>
      </c>
      <c r="AF271" s="208">
        <v>49910.038839510751</v>
      </c>
      <c r="AG271" s="206">
        <v>1247750.9709877686</v>
      </c>
      <c r="AH271" s="110"/>
      <c r="AI271" s="393"/>
    </row>
    <row r="272" spans="1:35" hidden="1" x14ac:dyDescent="0.3">
      <c r="A272" s="145">
        <v>45282</v>
      </c>
      <c r="B272" s="189">
        <v>271</v>
      </c>
      <c r="C272" s="61" t="s">
        <v>545</v>
      </c>
      <c r="D272" s="10" t="s">
        <v>552</v>
      </c>
      <c r="E272" s="2" t="s">
        <v>588</v>
      </c>
      <c r="F272" s="2" t="s">
        <v>584</v>
      </c>
      <c r="G272" s="2" t="s">
        <v>554</v>
      </c>
      <c r="H272" s="333" t="s">
        <v>269</v>
      </c>
      <c r="I272" s="2" t="s">
        <v>517</v>
      </c>
      <c r="J272" s="9" t="s">
        <v>0</v>
      </c>
      <c r="K272" s="2" t="s">
        <v>531</v>
      </c>
      <c r="L272" s="2" t="s">
        <v>593</v>
      </c>
      <c r="M272" s="75" t="s">
        <v>532</v>
      </c>
      <c r="N272" s="2" t="s">
        <v>532</v>
      </c>
      <c r="O272" s="2" t="s">
        <v>570</v>
      </c>
      <c r="P272" s="2" t="s">
        <v>503</v>
      </c>
      <c r="Q272" s="67" t="s">
        <v>0</v>
      </c>
      <c r="R272" s="110" t="s">
        <v>519</v>
      </c>
      <c r="S272" s="183">
        <v>100</v>
      </c>
      <c r="T272" s="183" t="s">
        <v>0</v>
      </c>
      <c r="U272" s="67" t="s">
        <v>576</v>
      </c>
      <c r="V272" s="360">
        <v>200000</v>
      </c>
      <c r="W272" s="208">
        <v>195160.80449641397</v>
      </c>
      <c r="X272" s="165">
        <v>50</v>
      </c>
      <c r="Y272" s="195">
        <v>2</v>
      </c>
      <c r="Z272" s="208">
        <v>0.13270934705756149</v>
      </c>
      <c r="AA272" s="264">
        <v>3.3177336764390373</v>
      </c>
      <c r="AB272" s="208">
        <v>7.5958824065705862E-3</v>
      </c>
      <c r="AC272" s="201">
        <v>22.070430000000002</v>
      </c>
      <c r="AD272" s="201">
        <v>9.3642000000000003E-2</v>
      </c>
      <c r="AE272" s="265">
        <v>5.4065000000000002E-2</v>
      </c>
      <c r="AF272" s="208">
        <v>182674.69356924135</v>
      </c>
      <c r="AG272" s="206">
        <v>4566867.3392310338</v>
      </c>
      <c r="AH272" s="110"/>
      <c r="AI272" s="393"/>
    </row>
    <row r="273" spans="1:35" hidden="1" x14ac:dyDescent="0.3">
      <c r="A273" s="145">
        <v>45282</v>
      </c>
      <c r="B273" s="189">
        <v>272</v>
      </c>
      <c r="C273" s="61" t="s">
        <v>545</v>
      </c>
      <c r="D273" s="10" t="s">
        <v>552</v>
      </c>
      <c r="E273" s="2" t="s">
        <v>588</v>
      </c>
      <c r="F273" s="2" t="s">
        <v>584</v>
      </c>
      <c r="G273" s="2" t="s">
        <v>554</v>
      </c>
      <c r="H273" s="333" t="s">
        <v>270</v>
      </c>
      <c r="I273" s="2" t="s">
        <v>517</v>
      </c>
      <c r="J273" s="9" t="s">
        <v>0</v>
      </c>
      <c r="K273" s="2" t="s">
        <v>531</v>
      </c>
      <c r="L273" s="2" t="s">
        <v>593</v>
      </c>
      <c r="M273" s="75" t="s">
        <v>532</v>
      </c>
      <c r="N273" s="2" t="s">
        <v>532</v>
      </c>
      <c r="O273" s="2" t="s">
        <v>570</v>
      </c>
      <c r="P273" s="2" t="s">
        <v>573</v>
      </c>
      <c r="Q273" s="67" t="s">
        <v>0</v>
      </c>
      <c r="R273" s="110" t="s">
        <v>519</v>
      </c>
      <c r="S273" s="183">
        <v>200</v>
      </c>
      <c r="T273" s="183" t="s">
        <v>0</v>
      </c>
      <c r="U273" s="67" t="s">
        <v>576</v>
      </c>
      <c r="V273" s="360">
        <v>200000</v>
      </c>
      <c r="W273" s="208">
        <v>68413.577995465501</v>
      </c>
      <c r="X273" s="165">
        <v>50</v>
      </c>
      <c r="Y273" s="195">
        <v>2</v>
      </c>
      <c r="Z273" s="208">
        <v>4.6521233036916534E-2</v>
      </c>
      <c r="AA273" s="264">
        <v>1.1630308259229134</v>
      </c>
      <c r="AB273" s="208">
        <v>1.197703845868585E-2</v>
      </c>
      <c r="AC273" s="201">
        <v>23.80292</v>
      </c>
      <c r="AD273" s="201">
        <v>0.396117</v>
      </c>
      <c r="AE273" s="265">
        <v>0.22869900000000001</v>
      </c>
      <c r="AF273" s="208">
        <v>64036.574498373164</v>
      </c>
      <c r="AG273" s="206">
        <v>1600914.362459329</v>
      </c>
      <c r="AH273" s="110"/>
      <c r="AI273" s="393"/>
    </row>
    <row r="274" spans="1:35" hidden="1" x14ac:dyDescent="0.3">
      <c r="A274" s="145">
        <v>45282</v>
      </c>
      <c r="B274" s="189">
        <v>273</v>
      </c>
      <c r="C274" s="61" t="s">
        <v>545</v>
      </c>
      <c r="D274" s="10" t="s">
        <v>552</v>
      </c>
      <c r="E274" s="2" t="s">
        <v>588</v>
      </c>
      <c r="F274" s="2" t="s">
        <v>584</v>
      </c>
      <c r="G274" s="2" t="s">
        <v>554</v>
      </c>
      <c r="H274" s="333" t="s">
        <v>271</v>
      </c>
      <c r="I274" s="2" t="s">
        <v>517</v>
      </c>
      <c r="J274" s="9" t="s">
        <v>0</v>
      </c>
      <c r="K274" s="2" t="s">
        <v>531</v>
      </c>
      <c r="L274" s="2" t="s">
        <v>593</v>
      </c>
      <c r="M274" s="75" t="s">
        <v>532</v>
      </c>
      <c r="N274" s="2" t="s">
        <v>532</v>
      </c>
      <c r="O274" s="2" t="s">
        <v>570</v>
      </c>
      <c r="P274" s="2" t="s">
        <v>574</v>
      </c>
      <c r="Q274" s="67" t="s">
        <v>0</v>
      </c>
      <c r="R274" s="110" t="s">
        <v>519</v>
      </c>
      <c r="S274" s="183">
        <v>200</v>
      </c>
      <c r="T274" s="183" t="s">
        <v>0</v>
      </c>
      <c r="U274" s="67" t="s">
        <v>576</v>
      </c>
      <c r="V274" s="360">
        <v>200000</v>
      </c>
      <c r="W274" s="208">
        <v>94236.750024004781</v>
      </c>
      <c r="X274" s="165">
        <v>50</v>
      </c>
      <c r="Y274" s="195">
        <v>2</v>
      </c>
      <c r="Z274" s="208">
        <v>6.4080990016323253E-2</v>
      </c>
      <c r="AA274" s="264">
        <v>1.6020247504080813</v>
      </c>
      <c r="AB274" s="208">
        <v>5.787791198910798E-3</v>
      </c>
      <c r="AC274" s="201">
        <v>23.25414</v>
      </c>
      <c r="AD274" s="201">
        <v>0.143234</v>
      </c>
      <c r="AE274" s="265">
        <v>8.2696000000000006E-2</v>
      </c>
      <c r="AF274" s="208">
        <v>88207.616678033257</v>
      </c>
      <c r="AG274" s="206">
        <v>2205190.4169508317</v>
      </c>
      <c r="AH274" s="110"/>
      <c r="AI274" s="393"/>
    </row>
    <row r="275" spans="1:35" hidden="1" x14ac:dyDescent="0.3">
      <c r="A275" s="145">
        <v>45282</v>
      </c>
      <c r="B275" s="188">
        <v>274</v>
      </c>
      <c r="C275" s="61" t="s">
        <v>545</v>
      </c>
      <c r="D275" s="10" t="s">
        <v>552</v>
      </c>
      <c r="E275" s="2" t="s">
        <v>588</v>
      </c>
      <c r="F275" s="2" t="s">
        <v>584</v>
      </c>
      <c r="G275" s="2" t="s">
        <v>554</v>
      </c>
      <c r="H275" s="333" t="s">
        <v>272</v>
      </c>
      <c r="I275" s="2" t="s">
        <v>517</v>
      </c>
      <c r="J275" s="9" t="s">
        <v>0</v>
      </c>
      <c r="K275" s="2" t="s">
        <v>531</v>
      </c>
      <c r="L275" s="2" t="s">
        <v>593</v>
      </c>
      <c r="M275" s="75" t="s">
        <v>532</v>
      </c>
      <c r="N275" s="2" t="s">
        <v>532</v>
      </c>
      <c r="O275" s="2" t="s">
        <v>570</v>
      </c>
      <c r="P275" s="2" t="s">
        <v>503</v>
      </c>
      <c r="Q275" s="67" t="s">
        <v>0</v>
      </c>
      <c r="R275" s="110" t="s">
        <v>519</v>
      </c>
      <c r="S275" s="183">
        <v>300</v>
      </c>
      <c r="T275" s="183" t="s">
        <v>0</v>
      </c>
      <c r="U275" s="67" t="s">
        <v>576</v>
      </c>
      <c r="V275" s="360">
        <v>200000</v>
      </c>
      <c r="W275" s="208">
        <v>79513.54298215732</v>
      </c>
      <c r="X275" s="165">
        <v>50</v>
      </c>
      <c r="Y275" s="195">
        <v>2</v>
      </c>
      <c r="Z275" s="208">
        <v>5.4069209227866968E-2</v>
      </c>
      <c r="AA275" s="264">
        <v>1.3517302306966743</v>
      </c>
      <c r="AB275" s="208">
        <v>1.4575642622578339E-3</v>
      </c>
      <c r="AC275" s="201">
        <v>23.52589</v>
      </c>
      <c r="AD275" s="201">
        <v>4.3818000000000003E-2</v>
      </c>
      <c r="AE275" s="265">
        <v>2.5298000000000001E-2</v>
      </c>
      <c r="AF275" s="208">
        <v>74426.379499461356</v>
      </c>
      <c r="AG275" s="206">
        <v>1860659.4874865341</v>
      </c>
      <c r="AH275" s="110"/>
      <c r="AI275" s="393"/>
    </row>
    <row r="276" spans="1:35" hidden="1" x14ac:dyDescent="0.3">
      <c r="A276" s="145">
        <v>45282</v>
      </c>
      <c r="B276" s="189">
        <v>275</v>
      </c>
      <c r="C276" s="61" t="s">
        <v>545</v>
      </c>
      <c r="D276" s="10" t="s">
        <v>552</v>
      </c>
      <c r="E276" s="2" t="s">
        <v>588</v>
      </c>
      <c r="F276" s="2" t="s">
        <v>584</v>
      </c>
      <c r="G276" s="2" t="s">
        <v>554</v>
      </c>
      <c r="H276" s="333" t="s">
        <v>273</v>
      </c>
      <c r="I276" s="2" t="s">
        <v>517</v>
      </c>
      <c r="J276" s="9" t="s">
        <v>0</v>
      </c>
      <c r="K276" s="2" t="s">
        <v>531</v>
      </c>
      <c r="L276" s="2" t="s">
        <v>593</v>
      </c>
      <c r="M276" s="75" t="s">
        <v>532</v>
      </c>
      <c r="N276" s="2" t="s">
        <v>532</v>
      </c>
      <c r="O276" s="2" t="s">
        <v>570</v>
      </c>
      <c r="P276" s="2" t="s">
        <v>573</v>
      </c>
      <c r="Q276" s="67" t="s">
        <v>0</v>
      </c>
      <c r="R276" s="110" t="s">
        <v>519</v>
      </c>
      <c r="S276" s="183">
        <v>300</v>
      </c>
      <c r="T276" s="183" t="s">
        <v>0</v>
      </c>
      <c r="U276" s="67" t="s">
        <v>576</v>
      </c>
      <c r="V276" s="360">
        <v>200000</v>
      </c>
      <c r="W276" s="208">
        <v>114854.55471058503</v>
      </c>
      <c r="X276" s="165">
        <v>50</v>
      </c>
      <c r="Y276" s="195">
        <v>2</v>
      </c>
      <c r="Z276" s="208">
        <v>7.8101097203197814E-2</v>
      </c>
      <c r="AA276" s="264">
        <v>1.9525274300799453</v>
      </c>
      <c r="AB276" s="208">
        <v>2.067233293110577E-3</v>
      </c>
      <c r="AC276" s="201">
        <v>22.929210000000001</v>
      </c>
      <c r="AD276" s="201">
        <v>4.3012000000000002E-2</v>
      </c>
      <c r="AE276" s="265">
        <v>2.4833000000000001E-2</v>
      </c>
      <c r="AF276" s="208">
        <v>107506.32352088561</v>
      </c>
      <c r="AG276" s="206">
        <v>2687658.0880221399</v>
      </c>
      <c r="AH276" s="110"/>
      <c r="AI276" s="393"/>
    </row>
    <row r="277" spans="1:35" hidden="1" x14ac:dyDescent="0.3">
      <c r="A277" s="145">
        <v>45282</v>
      </c>
      <c r="B277" s="189">
        <v>276</v>
      </c>
      <c r="C277" s="61" t="s">
        <v>545</v>
      </c>
      <c r="D277" s="10" t="s">
        <v>552</v>
      </c>
      <c r="E277" s="2" t="s">
        <v>588</v>
      </c>
      <c r="F277" s="2" t="s">
        <v>584</v>
      </c>
      <c r="G277" s="2" t="s">
        <v>554</v>
      </c>
      <c r="H277" s="333" t="s">
        <v>274</v>
      </c>
      <c r="I277" s="2" t="s">
        <v>517</v>
      </c>
      <c r="J277" s="9" t="s">
        <v>0</v>
      </c>
      <c r="K277" s="2" t="s">
        <v>531</v>
      </c>
      <c r="L277" s="2" t="s">
        <v>593</v>
      </c>
      <c r="M277" s="75" t="s">
        <v>532</v>
      </c>
      <c r="N277" s="2" t="s">
        <v>532</v>
      </c>
      <c r="O277" s="2" t="s">
        <v>570</v>
      </c>
      <c r="P277" s="2" t="s">
        <v>574</v>
      </c>
      <c r="Q277" s="67" t="s">
        <v>0</v>
      </c>
      <c r="R277" s="110" t="s">
        <v>519</v>
      </c>
      <c r="S277" s="183">
        <v>300</v>
      </c>
      <c r="T277" s="183" t="s">
        <v>0</v>
      </c>
      <c r="U277" s="67" t="s">
        <v>576</v>
      </c>
      <c r="V277" s="360">
        <v>200000</v>
      </c>
      <c r="W277" s="208">
        <v>166401.69507147899</v>
      </c>
      <c r="X277" s="165">
        <v>50</v>
      </c>
      <c r="Y277" s="195">
        <v>2</v>
      </c>
      <c r="Z277" s="208">
        <v>0.1131531526486057</v>
      </c>
      <c r="AA277" s="264">
        <v>2.8288288162151427</v>
      </c>
      <c r="AB277" s="208">
        <v>1.1182388723336002E-2</v>
      </c>
      <c r="AC277" s="201">
        <v>22.332439999999998</v>
      </c>
      <c r="AD277" s="201">
        <v>0.157031</v>
      </c>
      <c r="AE277" s="265">
        <v>9.0662000000000006E-2</v>
      </c>
      <c r="AF277" s="208">
        <v>155755.55109552396</v>
      </c>
      <c r="AG277" s="206">
        <v>3893888.7773880986</v>
      </c>
      <c r="AH277" s="110"/>
      <c r="AI277" s="393"/>
    </row>
    <row r="278" spans="1:35" hidden="1" x14ac:dyDescent="0.3">
      <c r="A278" s="145">
        <v>45282</v>
      </c>
      <c r="B278" s="189">
        <v>277</v>
      </c>
      <c r="C278" s="61" t="s">
        <v>545</v>
      </c>
      <c r="D278" s="10" t="s">
        <v>552</v>
      </c>
      <c r="E278" s="2" t="s">
        <v>588</v>
      </c>
      <c r="F278" s="2" t="s">
        <v>584</v>
      </c>
      <c r="G278" s="2" t="s">
        <v>554</v>
      </c>
      <c r="H278" s="333" t="s">
        <v>275</v>
      </c>
      <c r="I278" s="2" t="s">
        <v>517</v>
      </c>
      <c r="J278" s="9" t="s">
        <v>0</v>
      </c>
      <c r="K278" s="2" t="s">
        <v>531</v>
      </c>
      <c r="L278" s="2" t="s">
        <v>593</v>
      </c>
      <c r="M278" s="75" t="s">
        <v>532</v>
      </c>
      <c r="N278" s="2" t="s">
        <v>532</v>
      </c>
      <c r="O278" s="2" t="s">
        <v>570</v>
      </c>
      <c r="P278" s="2" t="s">
        <v>503</v>
      </c>
      <c r="Q278" s="67" t="s">
        <v>0</v>
      </c>
      <c r="R278" s="110" t="s">
        <v>519</v>
      </c>
      <c r="S278" s="183">
        <v>400</v>
      </c>
      <c r="T278" s="183" t="s">
        <v>0</v>
      </c>
      <c r="U278" s="67" t="s">
        <v>576</v>
      </c>
      <c r="V278" s="360">
        <v>200000</v>
      </c>
      <c r="W278" s="208">
        <v>192170.58505061592</v>
      </c>
      <c r="X278" s="165">
        <v>50</v>
      </c>
      <c r="Y278" s="195">
        <v>2</v>
      </c>
      <c r="Z278" s="208">
        <v>0.13067599783441883</v>
      </c>
      <c r="AA278" s="264">
        <v>3.2668999458604708</v>
      </c>
      <c r="AB278" s="208">
        <v>4.7980653262308182E-3</v>
      </c>
      <c r="AC278" s="217">
        <v>22.09442</v>
      </c>
      <c r="AD278" s="217">
        <v>5.9225E-2</v>
      </c>
      <c r="AE278" s="202">
        <v>3.4193000000000001E-2</v>
      </c>
      <c r="AF278" s="208">
        <v>179875.78411416183</v>
      </c>
      <c r="AG278" s="206">
        <v>4496894.6028540451</v>
      </c>
      <c r="AH278" s="110"/>
      <c r="AI278" s="393"/>
    </row>
    <row r="279" spans="1:35" hidden="1" x14ac:dyDescent="0.3">
      <c r="A279" s="145">
        <v>45282</v>
      </c>
      <c r="B279" s="189">
        <v>278</v>
      </c>
      <c r="C279" s="61" t="s">
        <v>545</v>
      </c>
      <c r="D279" s="10" t="s">
        <v>552</v>
      </c>
      <c r="E279" s="2" t="s">
        <v>588</v>
      </c>
      <c r="F279" s="2" t="s">
        <v>584</v>
      </c>
      <c r="G279" s="2" t="s">
        <v>554</v>
      </c>
      <c r="H279" s="333" t="s">
        <v>276</v>
      </c>
      <c r="I279" s="2" t="s">
        <v>517</v>
      </c>
      <c r="J279" s="9" t="s">
        <v>0</v>
      </c>
      <c r="K279" s="2" t="s">
        <v>531</v>
      </c>
      <c r="L279" s="2" t="s">
        <v>593</v>
      </c>
      <c r="M279" s="75" t="s">
        <v>532</v>
      </c>
      <c r="N279" s="2" t="s">
        <v>532</v>
      </c>
      <c r="O279" s="2" t="s">
        <v>570</v>
      </c>
      <c r="P279" s="2" t="s">
        <v>573</v>
      </c>
      <c r="Q279" s="67" t="s">
        <v>0</v>
      </c>
      <c r="R279" s="110" t="s">
        <v>519</v>
      </c>
      <c r="S279" s="183">
        <v>400</v>
      </c>
      <c r="T279" s="183" t="s">
        <v>0</v>
      </c>
      <c r="U279" s="67" t="s">
        <v>576</v>
      </c>
      <c r="V279" s="360">
        <v>200000</v>
      </c>
      <c r="W279" s="208">
        <v>33263.807237716625</v>
      </c>
      <c r="X279" s="165">
        <v>50</v>
      </c>
      <c r="Y279" s="195">
        <v>2</v>
      </c>
      <c r="Z279" s="208">
        <v>2.2619388921647304E-2</v>
      </c>
      <c r="AA279" s="264">
        <v>0.56548472304118258</v>
      </c>
      <c r="AB279" s="208">
        <v>5.3440026733253473E-3</v>
      </c>
      <c r="AC279" s="216">
        <v>24.967839999999999</v>
      </c>
      <c r="AD279" s="208">
        <v>0.36549300000000001</v>
      </c>
      <c r="AE279" s="270">
        <v>0.21101800000000001</v>
      </c>
      <c r="AF279" s="208">
        <v>31135.636122097716</v>
      </c>
      <c r="AG279" s="206">
        <v>778390.90305244294</v>
      </c>
      <c r="AH279" s="110"/>
      <c r="AI279" s="393"/>
    </row>
    <row r="280" spans="1:35" hidden="1" x14ac:dyDescent="0.3">
      <c r="A280" s="145">
        <v>45282</v>
      </c>
      <c r="B280" s="189">
        <v>279</v>
      </c>
      <c r="C280" s="61" t="s">
        <v>545</v>
      </c>
      <c r="D280" s="10" t="s">
        <v>552</v>
      </c>
      <c r="E280" s="2" t="s">
        <v>588</v>
      </c>
      <c r="F280" s="2" t="s">
        <v>584</v>
      </c>
      <c r="G280" s="2" t="s">
        <v>554</v>
      </c>
      <c r="H280" s="333" t="s">
        <v>277</v>
      </c>
      <c r="I280" s="2" t="s">
        <v>517</v>
      </c>
      <c r="J280" s="9" t="s">
        <v>0</v>
      </c>
      <c r="K280" s="2" t="s">
        <v>531</v>
      </c>
      <c r="L280" s="2" t="s">
        <v>593</v>
      </c>
      <c r="M280" s="75" t="s">
        <v>532</v>
      </c>
      <c r="N280" s="23" t="s">
        <v>532</v>
      </c>
      <c r="O280" s="23" t="s">
        <v>570</v>
      </c>
      <c r="P280" s="23" t="s">
        <v>574</v>
      </c>
      <c r="Q280" s="67" t="s">
        <v>0</v>
      </c>
      <c r="R280" s="110" t="s">
        <v>519</v>
      </c>
      <c r="S280" s="183">
        <v>400</v>
      </c>
      <c r="T280" s="183" t="s">
        <v>0</v>
      </c>
      <c r="U280" s="67" t="s">
        <v>576</v>
      </c>
      <c r="V280" s="360">
        <v>200000</v>
      </c>
      <c r="W280" s="208">
        <v>222476.23574587752</v>
      </c>
      <c r="X280" s="165">
        <v>50</v>
      </c>
      <c r="Y280" s="195">
        <v>2</v>
      </c>
      <c r="Z280" s="208">
        <v>0.15128384030719672</v>
      </c>
      <c r="AA280" s="264">
        <v>3.7820960076799177</v>
      </c>
      <c r="AB280" s="208">
        <v>1.2156845289488695E-2</v>
      </c>
      <c r="AC280" s="216">
        <v>21.85951</v>
      </c>
      <c r="AD280" s="208">
        <v>0.12830900000000001</v>
      </c>
      <c r="AE280" s="270">
        <v>7.4079000000000006E-2</v>
      </c>
      <c r="AF280" s="208">
        <v>208242.52234553196</v>
      </c>
      <c r="AG280" s="206">
        <v>5206063.058638298</v>
      </c>
      <c r="AH280" s="110"/>
      <c r="AI280" s="393"/>
    </row>
    <row r="281" spans="1:35" ht="16.2" hidden="1" thickBot="1" x14ac:dyDescent="0.35">
      <c r="A281" s="150">
        <v>45282</v>
      </c>
      <c r="B281" s="190">
        <v>280</v>
      </c>
      <c r="C281" s="60" t="s">
        <v>545</v>
      </c>
      <c r="D281" s="7" t="s">
        <v>552</v>
      </c>
      <c r="E281" s="3" t="s">
        <v>588</v>
      </c>
      <c r="F281" s="3" t="s">
        <v>584</v>
      </c>
      <c r="G281" s="46" t="s">
        <v>554</v>
      </c>
      <c r="H281" s="339" t="s">
        <v>278</v>
      </c>
      <c r="I281" s="2" t="s">
        <v>517</v>
      </c>
      <c r="J281" s="6" t="s">
        <v>0</v>
      </c>
      <c r="K281" s="2" t="s">
        <v>531</v>
      </c>
      <c r="L281" s="67" t="s">
        <v>593</v>
      </c>
      <c r="M281" s="111" t="s">
        <v>532</v>
      </c>
      <c r="N281" s="111" t="s">
        <v>532</v>
      </c>
      <c r="O281" s="111" t="s">
        <v>570</v>
      </c>
      <c r="P281" s="111" t="s">
        <v>503</v>
      </c>
      <c r="Q281" s="248" t="s">
        <v>0</v>
      </c>
      <c r="R281" s="111" t="s">
        <v>519</v>
      </c>
      <c r="S281" s="184">
        <v>400</v>
      </c>
      <c r="T281" s="183" t="s">
        <v>0</v>
      </c>
      <c r="U281" s="67" t="s">
        <v>576</v>
      </c>
      <c r="V281" s="363">
        <v>200000</v>
      </c>
      <c r="W281" s="211">
        <v>34768.51608234812</v>
      </c>
      <c r="X281" s="169">
        <v>50</v>
      </c>
      <c r="Y281" s="205">
        <v>2</v>
      </c>
      <c r="Z281" s="211">
        <v>2.3642590935996719E-2</v>
      </c>
      <c r="AA281" s="262">
        <v>0.59106477339991803</v>
      </c>
      <c r="AB281" s="211">
        <v>9.7166920284704817E-4</v>
      </c>
      <c r="AC281" s="236">
        <v>24.868580000000001</v>
      </c>
      <c r="AD281" s="211">
        <v>6.5931000000000003E-2</v>
      </c>
      <c r="AE281" s="285">
        <v>3.8065000000000002E-2</v>
      </c>
      <c r="AF281" s="211">
        <v>32544.075833202904</v>
      </c>
      <c r="AG281" s="248">
        <v>813601.89583007258</v>
      </c>
      <c r="AH281" s="111"/>
      <c r="AI281" s="408"/>
    </row>
    <row r="282" spans="1:35" hidden="1" x14ac:dyDescent="0.3">
      <c r="A282" s="147">
        <v>45295</v>
      </c>
      <c r="B282" s="188">
        <v>281</v>
      </c>
      <c r="C282" s="54" t="s">
        <v>548</v>
      </c>
      <c r="D282" s="30" t="s">
        <v>552</v>
      </c>
      <c r="E282" s="28" t="s">
        <v>588</v>
      </c>
      <c r="F282" s="28" t="s">
        <v>584</v>
      </c>
      <c r="G282" s="28" t="s">
        <v>555</v>
      </c>
      <c r="H282" s="320" t="s">
        <v>279</v>
      </c>
      <c r="I282" s="28" t="s">
        <v>527</v>
      </c>
      <c r="J282" s="59" t="s">
        <v>1</v>
      </c>
      <c r="K282" s="28" t="s">
        <v>532</v>
      </c>
      <c r="L282" s="28" t="s">
        <v>608</v>
      </c>
      <c r="M282" s="75" t="s">
        <v>531</v>
      </c>
      <c r="N282" s="75" t="s">
        <v>532</v>
      </c>
      <c r="O282" s="75" t="s">
        <v>570</v>
      </c>
      <c r="P282" s="75" t="s">
        <v>573</v>
      </c>
      <c r="Q282" s="89" t="s">
        <v>0</v>
      </c>
      <c r="R282" s="117" t="s">
        <v>519</v>
      </c>
      <c r="S282" s="185">
        <v>100</v>
      </c>
      <c r="T282" s="185">
        <v>25</v>
      </c>
      <c r="U282" s="72" t="s">
        <v>576</v>
      </c>
      <c r="V282" s="359">
        <v>200000</v>
      </c>
      <c r="W282" s="209">
        <v>2842.7820448458933</v>
      </c>
      <c r="X282" s="164">
        <v>50</v>
      </c>
      <c r="Y282" s="194">
        <v>2</v>
      </c>
      <c r="Z282" s="209">
        <v>1.9330917904952075E-3</v>
      </c>
      <c r="AA282" s="264">
        <v>4.8327294762380187E-2</v>
      </c>
      <c r="AB282" s="209">
        <v>2.1038698156038241E-4</v>
      </c>
      <c r="AC282" s="232">
        <v>29.104751264308913</v>
      </c>
      <c r="AD282" s="209">
        <v>0.17011991547167107</v>
      </c>
      <c r="AE282" s="279">
        <v>9.8218778992085684E-2</v>
      </c>
      <c r="AF282" s="209">
        <v>2660.9048895159017</v>
      </c>
      <c r="AG282" s="206">
        <v>66522.622237897551</v>
      </c>
      <c r="AH282" s="117" t="s">
        <v>661</v>
      </c>
      <c r="AI282" s="404" t="s">
        <v>637</v>
      </c>
    </row>
    <row r="283" spans="1:35" hidden="1" x14ac:dyDescent="0.3">
      <c r="A283" s="145">
        <v>45295</v>
      </c>
      <c r="B283" s="189">
        <v>282</v>
      </c>
      <c r="C283" s="56" t="s">
        <v>548</v>
      </c>
      <c r="D283" s="10" t="s">
        <v>552</v>
      </c>
      <c r="E283" s="2" t="s">
        <v>588</v>
      </c>
      <c r="F283" s="2" t="s">
        <v>584</v>
      </c>
      <c r="G283" s="2" t="s">
        <v>555</v>
      </c>
      <c r="H283" s="14" t="s">
        <v>280</v>
      </c>
      <c r="I283" s="2" t="s">
        <v>527</v>
      </c>
      <c r="J283" s="58" t="s">
        <v>1</v>
      </c>
      <c r="K283" s="2" t="s">
        <v>532</v>
      </c>
      <c r="L283" s="42" t="s">
        <v>608</v>
      </c>
      <c r="M283" s="42" t="s">
        <v>531</v>
      </c>
      <c r="N283" s="2" t="s">
        <v>532</v>
      </c>
      <c r="O283" s="2" t="s">
        <v>570</v>
      </c>
      <c r="P283" s="2" t="s">
        <v>574</v>
      </c>
      <c r="Q283" s="67" t="s">
        <v>0</v>
      </c>
      <c r="R283" s="110" t="s">
        <v>519</v>
      </c>
      <c r="S283" s="166">
        <v>100</v>
      </c>
      <c r="T283" s="166">
        <v>25</v>
      </c>
      <c r="U283" s="67" t="s">
        <v>576</v>
      </c>
      <c r="V283" s="360">
        <v>200000</v>
      </c>
      <c r="W283" s="208">
        <v>2120.9607263672647</v>
      </c>
      <c r="X283" s="165">
        <v>50</v>
      </c>
      <c r="Y283" s="195">
        <v>2</v>
      </c>
      <c r="Z283" s="208">
        <v>1.44225329392974E-3</v>
      </c>
      <c r="AA283" s="264">
        <v>3.60563323482435E-2</v>
      </c>
      <c r="AB283" s="208">
        <v>4.9514397236472408E-4</v>
      </c>
      <c r="AC283" s="216">
        <v>29.631633147706889</v>
      </c>
      <c r="AD283" s="208">
        <v>0.57579148503639099</v>
      </c>
      <c r="AE283" s="270">
        <v>0.33243336888285474</v>
      </c>
      <c r="AF283" s="208">
        <v>1985.264673207754</v>
      </c>
      <c r="AG283" s="206">
        <v>49631.616830193852</v>
      </c>
      <c r="AH283" s="110" t="s">
        <v>661</v>
      </c>
      <c r="AI283" s="393" t="s">
        <v>637</v>
      </c>
    </row>
    <row r="284" spans="1:35" hidden="1" x14ac:dyDescent="0.3">
      <c r="A284" s="145">
        <v>45295</v>
      </c>
      <c r="B284" s="189">
        <v>283</v>
      </c>
      <c r="C284" s="56" t="s">
        <v>548</v>
      </c>
      <c r="D284" s="10" t="s">
        <v>552</v>
      </c>
      <c r="E284" s="2" t="s">
        <v>588</v>
      </c>
      <c r="F284" s="2" t="s">
        <v>584</v>
      </c>
      <c r="G284" s="2" t="s">
        <v>555</v>
      </c>
      <c r="H284" s="14" t="s">
        <v>281</v>
      </c>
      <c r="I284" s="2" t="s">
        <v>527</v>
      </c>
      <c r="J284" s="58" t="s">
        <v>1</v>
      </c>
      <c r="K284" s="2" t="s">
        <v>532</v>
      </c>
      <c r="L284" s="42" t="s">
        <v>608</v>
      </c>
      <c r="M284" s="42" t="s">
        <v>531</v>
      </c>
      <c r="N284" s="2" t="s">
        <v>532</v>
      </c>
      <c r="O284" s="2" t="s">
        <v>570</v>
      </c>
      <c r="P284" s="2" t="s">
        <v>503</v>
      </c>
      <c r="Q284" s="67" t="s">
        <v>0</v>
      </c>
      <c r="R284" s="110" t="s">
        <v>519</v>
      </c>
      <c r="S284" s="166">
        <v>100</v>
      </c>
      <c r="T284" s="166">
        <v>25</v>
      </c>
      <c r="U284" s="67" t="s">
        <v>576</v>
      </c>
      <c r="V284" s="360">
        <v>200000</v>
      </c>
      <c r="W284" s="208">
        <v>8198.0845842436574</v>
      </c>
      <c r="X284" s="165">
        <v>50</v>
      </c>
      <c r="Y284" s="195">
        <v>2</v>
      </c>
      <c r="Z284" s="208">
        <v>5.5746975172856874E-3</v>
      </c>
      <c r="AA284" s="264">
        <v>0.13936743793214218</v>
      </c>
      <c r="AB284" s="208">
        <v>8.2992042769062309E-4</v>
      </c>
      <c r="AC284" s="216">
        <v>27.426387858502611</v>
      </c>
      <c r="AD284" s="208">
        <v>0.2485908505077371</v>
      </c>
      <c r="AE284" s="270">
        <v>0.14352399445872005</v>
      </c>
      <c r="AF284" s="208">
        <v>7673.5827829042864</v>
      </c>
      <c r="AG284" s="206">
        <v>191839.56957260714</v>
      </c>
      <c r="AH284" s="110" t="s">
        <v>661</v>
      </c>
      <c r="AI284" s="393" t="s">
        <v>637</v>
      </c>
    </row>
    <row r="285" spans="1:35" hidden="1" x14ac:dyDescent="0.3">
      <c r="A285" s="145">
        <v>45295</v>
      </c>
      <c r="B285" s="189">
        <v>284</v>
      </c>
      <c r="C285" s="56" t="s">
        <v>548</v>
      </c>
      <c r="D285" s="10" t="s">
        <v>552</v>
      </c>
      <c r="E285" s="2" t="s">
        <v>588</v>
      </c>
      <c r="F285" s="2" t="s">
        <v>584</v>
      </c>
      <c r="G285" s="2" t="s">
        <v>555</v>
      </c>
      <c r="H285" s="14" t="s">
        <v>282</v>
      </c>
      <c r="I285" s="2" t="s">
        <v>527</v>
      </c>
      <c r="J285" s="58" t="s">
        <v>1</v>
      </c>
      <c r="K285" s="2" t="s">
        <v>532</v>
      </c>
      <c r="L285" s="42" t="s">
        <v>608</v>
      </c>
      <c r="M285" s="42" t="s">
        <v>531</v>
      </c>
      <c r="N285" s="2" t="s">
        <v>532</v>
      </c>
      <c r="O285" s="2" t="s">
        <v>570</v>
      </c>
      <c r="P285" s="2" t="s">
        <v>575</v>
      </c>
      <c r="Q285" s="67" t="s">
        <v>0</v>
      </c>
      <c r="R285" s="110" t="s">
        <v>519</v>
      </c>
      <c r="S285" s="166">
        <v>100</v>
      </c>
      <c r="T285" s="166">
        <v>25</v>
      </c>
      <c r="U285" s="67" t="s">
        <v>576</v>
      </c>
      <c r="V285" s="360">
        <v>200000</v>
      </c>
      <c r="W285" s="208">
        <v>4340.5499865184402</v>
      </c>
      <c r="X285" s="165">
        <v>50</v>
      </c>
      <c r="Y285" s="195">
        <v>2</v>
      </c>
      <c r="Z285" s="208">
        <v>2.9515739908325396E-3</v>
      </c>
      <c r="AA285" s="264">
        <v>7.3789349770813487E-2</v>
      </c>
      <c r="AB285" s="208">
        <v>7.5915567649699687E-5</v>
      </c>
      <c r="AC285" s="201">
        <v>28.425738764140835</v>
      </c>
      <c r="AD285" s="201">
        <v>4.0965604032223685E-2</v>
      </c>
      <c r="AE285" s="265">
        <v>2.3651502515519965E-2</v>
      </c>
      <c r="AF285" s="208">
        <v>4062.847766769687</v>
      </c>
      <c r="AG285" s="206">
        <v>101571.19416924217</v>
      </c>
      <c r="AH285" s="110" t="s">
        <v>661</v>
      </c>
      <c r="AI285" s="393" t="s">
        <v>637</v>
      </c>
    </row>
    <row r="286" spans="1:35" hidden="1" x14ac:dyDescent="0.3">
      <c r="A286" s="145">
        <v>45295</v>
      </c>
      <c r="B286" s="189">
        <v>285</v>
      </c>
      <c r="C286" s="56" t="s">
        <v>548</v>
      </c>
      <c r="D286" s="10" t="s">
        <v>552</v>
      </c>
      <c r="E286" s="2" t="s">
        <v>588</v>
      </c>
      <c r="F286" s="2" t="s">
        <v>584</v>
      </c>
      <c r="G286" s="2" t="s">
        <v>555</v>
      </c>
      <c r="H286" s="14" t="s">
        <v>283</v>
      </c>
      <c r="I286" s="2" t="s">
        <v>527</v>
      </c>
      <c r="J286" s="57" t="s">
        <v>2</v>
      </c>
      <c r="K286" s="2" t="s">
        <v>532</v>
      </c>
      <c r="L286" s="42" t="s">
        <v>608</v>
      </c>
      <c r="M286" s="42" t="s">
        <v>531</v>
      </c>
      <c r="N286" s="2" t="s">
        <v>532</v>
      </c>
      <c r="O286" s="2" t="s">
        <v>570</v>
      </c>
      <c r="P286" s="2" t="s">
        <v>573</v>
      </c>
      <c r="Q286" s="67" t="s">
        <v>0</v>
      </c>
      <c r="R286" s="110" t="s">
        <v>519</v>
      </c>
      <c r="S286" s="166">
        <v>100</v>
      </c>
      <c r="T286" s="166">
        <v>25</v>
      </c>
      <c r="U286" s="67" t="s">
        <v>576</v>
      </c>
      <c r="V286" s="360">
        <v>200000</v>
      </c>
      <c r="W286" s="208">
        <v>112597.34137930653</v>
      </c>
      <c r="X286" s="165">
        <v>50</v>
      </c>
      <c r="Y286" s="195">
        <v>2</v>
      </c>
      <c r="Z286" s="208">
        <v>7.6566192137928438E-2</v>
      </c>
      <c r="AA286" s="264">
        <v>1.914154803448211</v>
      </c>
      <c r="AB286" s="208">
        <v>9.1757219756132269E-3</v>
      </c>
      <c r="AC286" s="201">
        <v>23.25367384024382</v>
      </c>
      <c r="AD286" s="201">
        <v>0.18701456616320275</v>
      </c>
      <c r="AE286" s="265">
        <v>0.10797291011670619</v>
      </c>
      <c r="AF286" s="208">
        <v>105393.52349079923</v>
      </c>
      <c r="AG286" s="206">
        <v>2634838.0872699809</v>
      </c>
      <c r="AH286" s="110" t="s">
        <v>661</v>
      </c>
      <c r="AI286" s="393" t="s">
        <v>638</v>
      </c>
    </row>
    <row r="287" spans="1:35" hidden="1" x14ac:dyDescent="0.3">
      <c r="A287" s="145">
        <v>45295</v>
      </c>
      <c r="B287" s="189">
        <v>286</v>
      </c>
      <c r="C287" s="56" t="s">
        <v>548</v>
      </c>
      <c r="D287" s="10" t="s">
        <v>552</v>
      </c>
      <c r="E287" s="2" t="s">
        <v>588</v>
      </c>
      <c r="F287" s="2" t="s">
        <v>584</v>
      </c>
      <c r="G287" s="2" t="s">
        <v>555</v>
      </c>
      <c r="H287" s="14" t="s">
        <v>284</v>
      </c>
      <c r="I287" s="2" t="s">
        <v>527</v>
      </c>
      <c r="J287" s="57" t="s">
        <v>2</v>
      </c>
      <c r="K287" s="2" t="s">
        <v>532</v>
      </c>
      <c r="L287" s="42" t="s">
        <v>608</v>
      </c>
      <c r="M287" s="42" t="s">
        <v>531</v>
      </c>
      <c r="N287" s="2" t="s">
        <v>532</v>
      </c>
      <c r="O287" s="2" t="s">
        <v>570</v>
      </c>
      <c r="P287" s="2" t="s">
        <v>574</v>
      </c>
      <c r="Q287" s="67" t="s">
        <v>0</v>
      </c>
      <c r="R287" s="110" t="s">
        <v>519</v>
      </c>
      <c r="S287" s="166">
        <v>100</v>
      </c>
      <c r="T287" s="166">
        <v>25</v>
      </c>
      <c r="U287" s="67" t="s">
        <v>576</v>
      </c>
      <c r="V287" s="360">
        <v>200000</v>
      </c>
      <c r="W287" s="208">
        <v>11324.042360114414</v>
      </c>
      <c r="X287" s="165">
        <v>50</v>
      </c>
      <c r="Y287" s="195">
        <v>2</v>
      </c>
      <c r="Z287" s="208">
        <v>7.7003488048778016E-3</v>
      </c>
      <c r="AA287" s="264">
        <v>0.19250872012194503</v>
      </c>
      <c r="AB287" s="208">
        <v>6.6597449267187785E-4</v>
      </c>
      <c r="AC287" s="201">
        <v>26.90384123075324</v>
      </c>
      <c r="AD287" s="201">
        <v>0.13455714089506829</v>
      </c>
      <c r="AE287" s="265">
        <v>7.7686601517154077E-2</v>
      </c>
      <c r="AF287" s="208">
        <v>10599.546222597271</v>
      </c>
      <c r="AG287" s="206">
        <v>264988.6555649318</v>
      </c>
      <c r="AH287" s="110" t="s">
        <v>661</v>
      </c>
      <c r="AI287" s="393" t="s">
        <v>638</v>
      </c>
    </row>
    <row r="288" spans="1:35" hidden="1" x14ac:dyDescent="0.3">
      <c r="A288" s="145">
        <v>45295</v>
      </c>
      <c r="B288" s="188">
        <v>287</v>
      </c>
      <c r="C288" s="56" t="s">
        <v>548</v>
      </c>
      <c r="D288" s="10" t="s">
        <v>552</v>
      </c>
      <c r="E288" s="2" t="s">
        <v>588</v>
      </c>
      <c r="F288" s="2" t="s">
        <v>584</v>
      </c>
      <c r="G288" s="2" t="s">
        <v>555</v>
      </c>
      <c r="H288" s="14" t="s">
        <v>285</v>
      </c>
      <c r="I288" s="2" t="s">
        <v>527</v>
      </c>
      <c r="J288" s="57" t="s">
        <v>2</v>
      </c>
      <c r="K288" s="2" t="s">
        <v>532</v>
      </c>
      <c r="L288" s="42" t="s">
        <v>608</v>
      </c>
      <c r="M288" s="42" t="s">
        <v>531</v>
      </c>
      <c r="N288" s="2" t="s">
        <v>532</v>
      </c>
      <c r="O288" s="2" t="s">
        <v>570</v>
      </c>
      <c r="P288" s="2" t="s">
        <v>503</v>
      </c>
      <c r="Q288" s="67" t="s">
        <v>0</v>
      </c>
      <c r="R288" s="110" t="s">
        <v>519</v>
      </c>
      <c r="S288" s="166">
        <v>100</v>
      </c>
      <c r="T288" s="166">
        <v>25</v>
      </c>
      <c r="U288" s="67" t="s">
        <v>576</v>
      </c>
      <c r="V288" s="360">
        <v>200000</v>
      </c>
      <c r="W288" s="208">
        <v>98492.666065809506</v>
      </c>
      <c r="X288" s="165">
        <v>50</v>
      </c>
      <c r="Y288" s="195">
        <v>2</v>
      </c>
      <c r="Z288" s="208">
        <v>6.6975012924750471E-2</v>
      </c>
      <c r="AA288" s="264">
        <v>1.6743753231187617</v>
      </c>
      <c r="AB288" s="208">
        <v>3.5161827975347885E-2</v>
      </c>
      <c r="AC288" s="201">
        <v>23.591192884421119</v>
      </c>
      <c r="AD288" s="201">
        <v>0.7685695684563435</v>
      </c>
      <c r="AE288" s="265">
        <v>0.44373384723922443</v>
      </c>
      <c r="AF288" s="208">
        <v>92191.245259598072</v>
      </c>
      <c r="AG288" s="206">
        <v>2304781.1314899521</v>
      </c>
      <c r="AH288" s="110" t="s">
        <v>661</v>
      </c>
      <c r="AI288" s="393" t="s">
        <v>638</v>
      </c>
    </row>
    <row r="289" spans="1:35" hidden="1" x14ac:dyDescent="0.3">
      <c r="A289" s="145">
        <v>45295</v>
      </c>
      <c r="B289" s="189">
        <v>288</v>
      </c>
      <c r="C289" s="56" t="s">
        <v>548</v>
      </c>
      <c r="D289" s="10" t="s">
        <v>552</v>
      </c>
      <c r="E289" s="2" t="s">
        <v>588</v>
      </c>
      <c r="F289" s="2" t="s">
        <v>584</v>
      </c>
      <c r="G289" s="2" t="s">
        <v>555</v>
      </c>
      <c r="H289" s="14" t="s">
        <v>286</v>
      </c>
      <c r="I289" s="2" t="s">
        <v>527</v>
      </c>
      <c r="J289" s="57" t="s">
        <v>2</v>
      </c>
      <c r="K289" s="2" t="s">
        <v>532</v>
      </c>
      <c r="L289" s="42" t="s">
        <v>608</v>
      </c>
      <c r="M289" s="42" t="s">
        <v>531</v>
      </c>
      <c r="N289" s="2" t="s">
        <v>532</v>
      </c>
      <c r="O289" s="2" t="s">
        <v>570</v>
      </c>
      <c r="P289" s="2" t="s">
        <v>575</v>
      </c>
      <c r="Q289" s="67" t="s">
        <v>0</v>
      </c>
      <c r="R289" s="110" t="s">
        <v>519</v>
      </c>
      <c r="S289" s="166">
        <v>100</v>
      </c>
      <c r="T289" s="166">
        <v>25</v>
      </c>
      <c r="U289" s="67" t="s">
        <v>576</v>
      </c>
      <c r="V289" s="360">
        <v>200000</v>
      </c>
      <c r="W289" s="208">
        <v>157860.23074308518</v>
      </c>
      <c r="X289" s="165">
        <v>50</v>
      </c>
      <c r="Y289" s="195">
        <v>2</v>
      </c>
      <c r="Z289" s="208">
        <v>0.10734495690529793</v>
      </c>
      <c r="AA289" s="264">
        <v>2.6836239226324481</v>
      </c>
      <c r="AB289" s="208">
        <v>2.2419693288674405E-2</v>
      </c>
      <c r="AC289" s="201">
        <v>22.734007263622306</v>
      </c>
      <c r="AD289" s="201">
        <v>0.35454255041525623</v>
      </c>
      <c r="AE289" s="265">
        <v>0.20469523692142466</v>
      </c>
      <c r="AF289" s="208">
        <v>147760.55751652067</v>
      </c>
      <c r="AG289" s="206">
        <v>3694013.9379130164</v>
      </c>
      <c r="AH289" s="110" t="s">
        <v>661</v>
      </c>
      <c r="AI289" s="393" t="s">
        <v>638</v>
      </c>
    </row>
    <row r="290" spans="1:35" hidden="1" x14ac:dyDescent="0.3">
      <c r="A290" s="145">
        <v>45295</v>
      </c>
      <c r="B290" s="189">
        <v>289</v>
      </c>
      <c r="C290" s="56" t="s">
        <v>548</v>
      </c>
      <c r="D290" s="10" t="s">
        <v>552</v>
      </c>
      <c r="E290" s="2" t="s">
        <v>588</v>
      </c>
      <c r="F290" s="2" t="s">
        <v>584</v>
      </c>
      <c r="G290" s="2" t="s">
        <v>555</v>
      </c>
      <c r="H290" s="14" t="s">
        <v>287</v>
      </c>
      <c r="I290" s="2" t="s">
        <v>527</v>
      </c>
      <c r="J290" s="15" t="s">
        <v>550</v>
      </c>
      <c r="K290" s="2" t="s">
        <v>532</v>
      </c>
      <c r="L290" s="42" t="s">
        <v>608</v>
      </c>
      <c r="M290" s="42" t="s">
        <v>531</v>
      </c>
      <c r="N290" s="2" t="s">
        <v>532</v>
      </c>
      <c r="O290" s="2" t="s">
        <v>570</v>
      </c>
      <c r="P290" s="2" t="s">
        <v>573</v>
      </c>
      <c r="Q290" s="67" t="s">
        <v>0</v>
      </c>
      <c r="R290" s="110" t="s">
        <v>519</v>
      </c>
      <c r="S290" s="166">
        <v>100</v>
      </c>
      <c r="T290" s="166">
        <v>25</v>
      </c>
      <c r="U290" s="67" t="s">
        <v>576</v>
      </c>
      <c r="V290" s="360">
        <v>200000</v>
      </c>
      <c r="W290" s="208">
        <v>46059.131953211414</v>
      </c>
      <c r="X290" s="165">
        <v>50</v>
      </c>
      <c r="Y290" s="195">
        <v>2</v>
      </c>
      <c r="Z290" s="208">
        <v>3.1320209728183758E-2</v>
      </c>
      <c r="AA290" s="264">
        <v>0.78300524320459397</v>
      </c>
      <c r="AB290" s="208">
        <v>4.6479280538714094E-4</v>
      </c>
      <c r="AC290" s="201">
        <v>24.668310755380833</v>
      </c>
      <c r="AD290" s="201">
        <v>2.3690052252791374E-2</v>
      </c>
      <c r="AE290" s="265">
        <v>1.3677458045265401E-2</v>
      </c>
      <c r="AF290" s="208">
        <v>43112.334145828703</v>
      </c>
      <c r="AG290" s="206">
        <v>1077808.3536457175</v>
      </c>
      <c r="AH290" s="110" t="s">
        <v>644</v>
      </c>
      <c r="AI290" s="393" t="s">
        <v>635</v>
      </c>
    </row>
    <row r="291" spans="1:35" hidden="1" x14ac:dyDescent="0.3">
      <c r="A291" s="145">
        <v>45295</v>
      </c>
      <c r="B291" s="189">
        <v>290</v>
      </c>
      <c r="C291" s="56" t="s">
        <v>548</v>
      </c>
      <c r="D291" s="10" t="s">
        <v>552</v>
      </c>
      <c r="E291" s="2" t="s">
        <v>588</v>
      </c>
      <c r="F291" s="2" t="s">
        <v>584</v>
      </c>
      <c r="G291" s="2" t="s">
        <v>555</v>
      </c>
      <c r="H291" s="14" t="s">
        <v>288</v>
      </c>
      <c r="I291" s="2" t="s">
        <v>527</v>
      </c>
      <c r="J291" s="15" t="s">
        <v>550</v>
      </c>
      <c r="K291" s="2" t="s">
        <v>532</v>
      </c>
      <c r="L291" s="42" t="s">
        <v>608</v>
      </c>
      <c r="M291" s="42" t="s">
        <v>531</v>
      </c>
      <c r="N291" s="2" t="s">
        <v>532</v>
      </c>
      <c r="O291" s="2" t="s">
        <v>570</v>
      </c>
      <c r="P291" s="2" t="s">
        <v>574</v>
      </c>
      <c r="Q291" s="67" t="s">
        <v>0</v>
      </c>
      <c r="R291" s="110" t="s">
        <v>519</v>
      </c>
      <c r="S291" s="166">
        <v>100</v>
      </c>
      <c r="T291" s="166">
        <v>25</v>
      </c>
      <c r="U291" s="67" t="s">
        <v>576</v>
      </c>
      <c r="V291" s="360">
        <v>200000</v>
      </c>
      <c r="W291" s="208">
        <v>77496.34344387654</v>
      </c>
      <c r="X291" s="165">
        <v>50</v>
      </c>
      <c r="Y291" s="195">
        <v>2</v>
      </c>
      <c r="Z291" s="208">
        <v>5.2697513541836043E-2</v>
      </c>
      <c r="AA291" s="264">
        <v>1.3174378385459011</v>
      </c>
      <c r="AB291" s="208">
        <v>4.5219613388068755E-3</v>
      </c>
      <c r="AC291" s="201">
        <v>23.844482475292864</v>
      </c>
      <c r="AD291" s="201">
        <v>0.13783236824466094</v>
      </c>
      <c r="AE291" s="265">
        <v>7.9577554909098625E-2</v>
      </c>
      <c r="AF291" s="208">
        <v>72538.237520982133</v>
      </c>
      <c r="AG291" s="206">
        <v>1813455.938024553</v>
      </c>
      <c r="AH291" s="110" t="s">
        <v>644</v>
      </c>
      <c r="AI291" s="393" t="s">
        <v>635</v>
      </c>
    </row>
    <row r="292" spans="1:35" hidden="1" x14ac:dyDescent="0.3">
      <c r="A292" s="145">
        <v>45295</v>
      </c>
      <c r="B292" s="189">
        <v>291</v>
      </c>
      <c r="C292" s="56" t="s">
        <v>548</v>
      </c>
      <c r="D292" s="10" t="s">
        <v>552</v>
      </c>
      <c r="E292" s="2" t="s">
        <v>588</v>
      </c>
      <c r="F292" s="2" t="s">
        <v>584</v>
      </c>
      <c r="G292" s="2" t="s">
        <v>555</v>
      </c>
      <c r="H292" s="14" t="s">
        <v>289</v>
      </c>
      <c r="I292" s="2" t="s">
        <v>527</v>
      </c>
      <c r="J292" s="15" t="s">
        <v>550</v>
      </c>
      <c r="K292" s="2" t="s">
        <v>532</v>
      </c>
      <c r="L292" s="42" t="s">
        <v>608</v>
      </c>
      <c r="M292" s="42" t="s">
        <v>531</v>
      </c>
      <c r="N292" s="2" t="s">
        <v>532</v>
      </c>
      <c r="O292" s="2" t="s">
        <v>570</v>
      </c>
      <c r="P292" s="2" t="s">
        <v>503</v>
      </c>
      <c r="Q292" s="67" t="s">
        <v>0</v>
      </c>
      <c r="R292" s="110" t="s">
        <v>519</v>
      </c>
      <c r="S292" s="166">
        <v>100</v>
      </c>
      <c r="T292" s="166">
        <v>25</v>
      </c>
      <c r="U292" s="67" t="s">
        <v>576</v>
      </c>
      <c r="V292" s="360">
        <v>200000</v>
      </c>
      <c r="W292" s="208">
        <v>15208.709178202571</v>
      </c>
      <c r="X292" s="165">
        <v>50</v>
      </c>
      <c r="Y292" s="195">
        <v>2</v>
      </c>
      <c r="Z292" s="208">
        <v>1.0341922241177748E-2</v>
      </c>
      <c r="AA292" s="264">
        <v>0.2585480560294437</v>
      </c>
      <c r="AB292" s="208">
        <v>1.5074437040743292E-3</v>
      </c>
      <c r="AC292" s="201">
        <v>26.442673451690208</v>
      </c>
      <c r="AD292" s="201">
        <v>0.24082237023576658</v>
      </c>
      <c r="AE292" s="265">
        <v>0.13903886028250356</v>
      </c>
      <c r="AF292" s="208">
        <v>14235.677578193796</v>
      </c>
      <c r="AG292" s="206">
        <v>355891.93945484486</v>
      </c>
      <c r="AH292" s="110" t="s">
        <v>644</v>
      </c>
      <c r="AI292" s="393" t="s">
        <v>635</v>
      </c>
    </row>
    <row r="293" spans="1:35" hidden="1" x14ac:dyDescent="0.3">
      <c r="A293" s="145">
        <v>45295</v>
      </c>
      <c r="B293" s="189">
        <v>292</v>
      </c>
      <c r="C293" s="56" t="s">
        <v>548</v>
      </c>
      <c r="D293" s="10" t="s">
        <v>552</v>
      </c>
      <c r="E293" s="2" t="s">
        <v>588</v>
      </c>
      <c r="F293" s="2" t="s">
        <v>584</v>
      </c>
      <c r="G293" s="2" t="s">
        <v>555</v>
      </c>
      <c r="H293" s="14" t="s">
        <v>290</v>
      </c>
      <c r="I293" s="2" t="s">
        <v>527</v>
      </c>
      <c r="J293" s="15" t="s">
        <v>550</v>
      </c>
      <c r="K293" s="2" t="s">
        <v>532</v>
      </c>
      <c r="L293" s="42" t="s">
        <v>608</v>
      </c>
      <c r="M293" s="42" t="s">
        <v>531</v>
      </c>
      <c r="N293" s="2" t="s">
        <v>532</v>
      </c>
      <c r="O293" s="2" t="s">
        <v>570</v>
      </c>
      <c r="P293" s="2" t="s">
        <v>575</v>
      </c>
      <c r="Q293" s="67" t="s">
        <v>0</v>
      </c>
      <c r="R293" s="110" t="s">
        <v>519</v>
      </c>
      <c r="S293" s="166">
        <v>100</v>
      </c>
      <c r="T293" s="166">
        <v>25</v>
      </c>
      <c r="U293" s="67" t="s">
        <v>576</v>
      </c>
      <c r="V293" s="360">
        <v>200000</v>
      </c>
      <c r="W293" s="208">
        <v>42250.941888624555</v>
      </c>
      <c r="X293" s="165">
        <v>50</v>
      </c>
      <c r="Y293" s="195">
        <v>2</v>
      </c>
      <c r="Z293" s="208">
        <v>2.87306404842647E-2</v>
      </c>
      <c r="AA293" s="264">
        <v>0.71826601210661745</v>
      </c>
      <c r="AB293" s="208">
        <v>2.9620231823476771E-3</v>
      </c>
      <c r="AC293" s="201">
        <v>24.811074663348322</v>
      </c>
      <c r="AD293" s="201">
        <v>0.163252738852014</v>
      </c>
      <c r="AE293" s="265">
        <v>9.425401272215396E-2</v>
      </c>
      <c r="AF293" s="208">
        <v>39547.786669726171</v>
      </c>
      <c r="AG293" s="206">
        <v>988694.66674315429</v>
      </c>
      <c r="AH293" s="110" t="s">
        <v>644</v>
      </c>
      <c r="AI293" s="393" t="s">
        <v>635</v>
      </c>
    </row>
    <row r="294" spans="1:35" hidden="1" x14ac:dyDescent="0.3">
      <c r="A294" s="145">
        <v>45295</v>
      </c>
      <c r="B294" s="189">
        <v>293</v>
      </c>
      <c r="C294" s="56" t="s">
        <v>548</v>
      </c>
      <c r="D294" s="10" t="s">
        <v>552</v>
      </c>
      <c r="E294" s="2" t="s">
        <v>588</v>
      </c>
      <c r="F294" s="2" t="s">
        <v>584</v>
      </c>
      <c r="G294" s="2" t="s">
        <v>555</v>
      </c>
      <c r="H294" s="14" t="s">
        <v>291</v>
      </c>
      <c r="I294" s="2" t="s">
        <v>527</v>
      </c>
      <c r="J294" s="12" t="s">
        <v>551</v>
      </c>
      <c r="K294" s="2" t="s">
        <v>532</v>
      </c>
      <c r="L294" s="42" t="s">
        <v>608</v>
      </c>
      <c r="M294" s="42" t="s">
        <v>531</v>
      </c>
      <c r="N294" s="2" t="s">
        <v>532</v>
      </c>
      <c r="O294" s="2" t="s">
        <v>570</v>
      </c>
      <c r="P294" s="2" t="s">
        <v>573</v>
      </c>
      <c r="Q294" s="67" t="s">
        <v>0</v>
      </c>
      <c r="R294" s="110" t="s">
        <v>519</v>
      </c>
      <c r="S294" s="166">
        <v>100</v>
      </c>
      <c r="T294" s="166">
        <v>25</v>
      </c>
      <c r="U294" s="67" t="s">
        <v>576</v>
      </c>
      <c r="V294" s="360">
        <v>200000</v>
      </c>
      <c r="W294" s="208">
        <v>53409.646107232984</v>
      </c>
      <c r="X294" s="165">
        <v>50</v>
      </c>
      <c r="Y294" s="195">
        <v>2</v>
      </c>
      <c r="Z294" s="208">
        <v>3.6318559352918431E-2</v>
      </c>
      <c r="AA294" s="264">
        <v>0.90796398382296073</v>
      </c>
      <c r="AB294" s="208">
        <v>4.5147256450086938E-3</v>
      </c>
      <c r="AC294" s="201">
        <v>24.440572979519469</v>
      </c>
      <c r="AD294" s="201">
        <v>0.19256313353351953</v>
      </c>
      <c r="AE294" s="265">
        <v>0.11117637698157536</v>
      </c>
      <c r="AF294" s="208">
        <v>49992.572850147706</v>
      </c>
      <c r="AG294" s="206">
        <v>1249814.3212536927</v>
      </c>
      <c r="AH294" s="110" t="s">
        <v>644</v>
      </c>
      <c r="AI294" s="393" t="s">
        <v>636</v>
      </c>
    </row>
    <row r="295" spans="1:35" hidden="1" x14ac:dyDescent="0.3">
      <c r="A295" s="145">
        <v>45295</v>
      </c>
      <c r="B295" s="189">
        <v>294</v>
      </c>
      <c r="C295" s="56" t="s">
        <v>548</v>
      </c>
      <c r="D295" s="10" t="s">
        <v>552</v>
      </c>
      <c r="E295" s="2" t="s">
        <v>588</v>
      </c>
      <c r="F295" s="2" t="s">
        <v>584</v>
      </c>
      <c r="G295" s="2" t="s">
        <v>555</v>
      </c>
      <c r="H295" s="14" t="s">
        <v>292</v>
      </c>
      <c r="I295" s="2" t="s">
        <v>527</v>
      </c>
      <c r="J295" s="12" t="s">
        <v>551</v>
      </c>
      <c r="K295" s="2" t="s">
        <v>532</v>
      </c>
      <c r="L295" s="42" t="s">
        <v>608</v>
      </c>
      <c r="M295" s="42" t="s">
        <v>531</v>
      </c>
      <c r="N295" s="2" t="s">
        <v>532</v>
      </c>
      <c r="O295" s="2" t="s">
        <v>570</v>
      </c>
      <c r="P295" s="2" t="s">
        <v>574</v>
      </c>
      <c r="Q295" s="67" t="s">
        <v>0</v>
      </c>
      <c r="R295" s="110" t="s">
        <v>519</v>
      </c>
      <c r="S295" s="166">
        <v>100</v>
      </c>
      <c r="T295" s="166">
        <v>25</v>
      </c>
      <c r="U295" s="67" t="s">
        <v>576</v>
      </c>
      <c r="V295" s="360">
        <v>200000</v>
      </c>
      <c r="W295" s="208">
        <v>82242.212154622626</v>
      </c>
      <c r="X295" s="165">
        <v>50</v>
      </c>
      <c r="Y295" s="195">
        <v>2</v>
      </c>
      <c r="Z295" s="208">
        <v>5.5924704265143385E-2</v>
      </c>
      <c r="AA295" s="264">
        <v>1.3981176066285845</v>
      </c>
      <c r="AB295" s="208">
        <v>1.7600986378587644E-3</v>
      </c>
      <c r="AC295" s="201">
        <v>23.746496889482966</v>
      </c>
      <c r="AD295" s="201">
        <v>4.9668772687338304E-2</v>
      </c>
      <c r="AE295" s="265">
        <v>2.8676279281353103E-2</v>
      </c>
      <c r="AF295" s="208">
        <v>76980.472296004911</v>
      </c>
      <c r="AG295" s="206">
        <v>1924511.8074001225</v>
      </c>
      <c r="AH295" s="110" t="s">
        <v>644</v>
      </c>
      <c r="AI295" s="393" t="s">
        <v>636</v>
      </c>
    </row>
    <row r="296" spans="1:35" hidden="1" x14ac:dyDescent="0.3">
      <c r="A296" s="145">
        <v>45295</v>
      </c>
      <c r="B296" s="189">
        <v>295</v>
      </c>
      <c r="C296" s="56" t="s">
        <v>548</v>
      </c>
      <c r="D296" s="10" t="s">
        <v>552</v>
      </c>
      <c r="E296" s="2" t="s">
        <v>588</v>
      </c>
      <c r="F296" s="2" t="s">
        <v>584</v>
      </c>
      <c r="G296" s="2" t="s">
        <v>555</v>
      </c>
      <c r="H296" s="14" t="s">
        <v>293</v>
      </c>
      <c r="I296" s="2" t="s">
        <v>527</v>
      </c>
      <c r="J296" s="12" t="s">
        <v>551</v>
      </c>
      <c r="K296" s="2" t="s">
        <v>532</v>
      </c>
      <c r="L296" s="42" t="s">
        <v>608</v>
      </c>
      <c r="M296" s="42" t="s">
        <v>531</v>
      </c>
      <c r="N296" s="2" t="s">
        <v>532</v>
      </c>
      <c r="O296" s="2" t="s">
        <v>570</v>
      </c>
      <c r="P296" s="2" t="s">
        <v>503</v>
      </c>
      <c r="Q296" s="67" t="s">
        <v>0</v>
      </c>
      <c r="R296" s="110" t="s">
        <v>519</v>
      </c>
      <c r="S296" s="166">
        <v>100</v>
      </c>
      <c r="T296" s="166">
        <v>25</v>
      </c>
      <c r="U296" s="67" t="s">
        <v>576</v>
      </c>
      <c r="V296" s="360">
        <v>200000</v>
      </c>
      <c r="W296" s="208">
        <v>13082.318468135274</v>
      </c>
      <c r="X296" s="165">
        <v>50</v>
      </c>
      <c r="Y296" s="195">
        <v>2</v>
      </c>
      <c r="Z296" s="208">
        <v>8.8959765583319864E-3</v>
      </c>
      <c r="AA296" s="264">
        <v>0.22239941395829965</v>
      </c>
      <c r="AB296" s="208">
        <v>5.826880004917909E-4</v>
      </c>
      <c r="AC296" s="201">
        <v>26.672623443998436</v>
      </c>
      <c r="AD296" s="201">
        <v>0.10263398407663088</v>
      </c>
      <c r="AE296" s="265">
        <v>5.9255758334646608E-2</v>
      </c>
      <c r="AF296" s="208">
        <v>12245.330323926544</v>
      </c>
      <c r="AG296" s="206">
        <v>306133.2580981637</v>
      </c>
      <c r="AH296" s="110" t="s">
        <v>644</v>
      </c>
      <c r="AI296" s="393" t="s">
        <v>636</v>
      </c>
    </row>
    <row r="297" spans="1:35" hidden="1" x14ac:dyDescent="0.3">
      <c r="A297" s="145">
        <v>45295</v>
      </c>
      <c r="B297" s="189">
        <v>296</v>
      </c>
      <c r="C297" s="56" t="s">
        <v>548</v>
      </c>
      <c r="D297" s="10" t="s">
        <v>552</v>
      </c>
      <c r="E297" s="2" t="s">
        <v>588</v>
      </c>
      <c r="F297" s="2" t="s">
        <v>584</v>
      </c>
      <c r="G297" s="2" t="s">
        <v>555</v>
      </c>
      <c r="H297" s="14" t="s">
        <v>294</v>
      </c>
      <c r="I297" s="2" t="s">
        <v>527</v>
      </c>
      <c r="J297" s="12" t="s">
        <v>551</v>
      </c>
      <c r="K297" s="2" t="s">
        <v>532</v>
      </c>
      <c r="L297" s="42" t="s">
        <v>608</v>
      </c>
      <c r="M297" s="42" t="s">
        <v>531</v>
      </c>
      <c r="N297" s="2" t="s">
        <v>532</v>
      </c>
      <c r="O297" s="2" t="s">
        <v>570</v>
      </c>
      <c r="P297" s="2" t="s">
        <v>575</v>
      </c>
      <c r="Q297" s="67" t="s">
        <v>0</v>
      </c>
      <c r="R297" s="110" t="s">
        <v>519</v>
      </c>
      <c r="S297" s="166">
        <v>100</v>
      </c>
      <c r="T297" s="166">
        <v>25</v>
      </c>
      <c r="U297" s="67" t="s">
        <v>576</v>
      </c>
      <c r="V297" s="360">
        <v>200000</v>
      </c>
      <c r="W297" s="208">
        <v>33457.135271256229</v>
      </c>
      <c r="X297" s="165">
        <v>50</v>
      </c>
      <c r="Y297" s="195">
        <v>2</v>
      </c>
      <c r="Z297" s="208">
        <v>2.2750851984454232E-2</v>
      </c>
      <c r="AA297" s="264">
        <v>0.56877129961135586</v>
      </c>
      <c r="AB297" s="208">
        <v>2.9994806914288444E-3</v>
      </c>
      <c r="AC297" s="201">
        <v>25.186092531040913</v>
      </c>
      <c r="AD297" s="201">
        <v>0.21289747243910895</v>
      </c>
      <c r="AE297" s="265">
        <v>0.1229164130225105</v>
      </c>
      <c r="AF297" s="208">
        <v>31316.5953027914</v>
      </c>
      <c r="AG297" s="206">
        <v>782914.882569785</v>
      </c>
      <c r="AH297" s="110" t="s">
        <v>644</v>
      </c>
      <c r="AI297" s="393" t="s">
        <v>636</v>
      </c>
    </row>
    <row r="298" spans="1:35" hidden="1" x14ac:dyDescent="0.3">
      <c r="A298" s="145">
        <v>45295</v>
      </c>
      <c r="B298" s="189">
        <v>297</v>
      </c>
      <c r="C298" s="56" t="s">
        <v>548</v>
      </c>
      <c r="D298" s="10" t="s">
        <v>552</v>
      </c>
      <c r="E298" s="2" t="s">
        <v>588</v>
      </c>
      <c r="F298" s="2" t="s">
        <v>584</v>
      </c>
      <c r="G298" s="2" t="s">
        <v>555</v>
      </c>
      <c r="H298" s="14" t="s">
        <v>295</v>
      </c>
      <c r="I298" s="2" t="s">
        <v>517</v>
      </c>
      <c r="J298" s="9" t="s">
        <v>0</v>
      </c>
      <c r="K298" s="2" t="s">
        <v>531</v>
      </c>
      <c r="L298" s="2" t="s">
        <v>593</v>
      </c>
      <c r="M298" s="2" t="s">
        <v>531</v>
      </c>
      <c r="N298" s="2" t="s">
        <v>532</v>
      </c>
      <c r="O298" s="2" t="s">
        <v>570</v>
      </c>
      <c r="P298" s="2" t="s">
        <v>573</v>
      </c>
      <c r="Q298" s="67" t="s">
        <v>0</v>
      </c>
      <c r="R298" s="110" t="s">
        <v>519</v>
      </c>
      <c r="S298" s="166">
        <v>100</v>
      </c>
      <c r="T298" s="166" t="s">
        <v>0</v>
      </c>
      <c r="U298" s="67" t="s">
        <v>576</v>
      </c>
      <c r="V298" s="360">
        <v>200000</v>
      </c>
      <c r="W298" s="208">
        <v>868237.14609074581</v>
      </c>
      <c r="X298" s="165">
        <v>50</v>
      </c>
      <c r="Y298" s="195">
        <v>2</v>
      </c>
      <c r="Z298" s="208">
        <v>0.59040125934170717</v>
      </c>
      <c r="AA298" s="264">
        <v>14.760031483542679</v>
      </c>
      <c r="AB298" s="208">
        <v>0.23442664909102257</v>
      </c>
      <c r="AC298" s="201">
        <v>20.082240112491935</v>
      </c>
      <c r="AD298" s="201">
        <v>0.64119021982925373</v>
      </c>
      <c r="AE298" s="265">
        <v>0.37019134602017501</v>
      </c>
      <c r="AF298" s="208">
        <v>812688.56734229124</v>
      </c>
      <c r="AG298" s="206">
        <v>20317214.183557279</v>
      </c>
      <c r="AH298" s="110"/>
      <c r="AI298" s="393"/>
    </row>
    <row r="299" spans="1:35" hidden="1" x14ac:dyDescent="0.3">
      <c r="A299" s="145">
        <v>45295</v>
      </c>
      <c r="B299" s="189">
        <v>298</v>
      </c>
      <c r="C299" s="56" t="s">
        <v>548</v>
      </c>
      <c r="D299" s="10" t="s">
        <v>552</v>
      </c>
      <c r="E299" s="2" t="s">
        <v>588</v>
      </c>
      <c r="F299" s="2" t="s">
        <v>584</v>
      </c>
      <c r="G299" s="2" t="s">
        <v>555</v>
      </c>
      <c r="H299" s="14" t="s">
        <v>296</v>
      </c>
      <c r="I299" s="2" t="s">
        <v>517</v>
      </c>
      <c r="J299" s="9" t="s">
        <v>0</v>
      </c>
      <c r="K299" s="2" t="s">
        <v>531</v>
      </c>
      <c r="L299" s="2" t="s">
        <v>593</v>
      </c>
      <c r="M299" s="2" t="s">
        <v>531</v>
      </c>
      <c r="N299" s="2" t="s">
        <v>532</v>
      </c>
      <c r="O299" s="2" t="s">
        <v>570</v>
      </c>
      <c r="P299" s="2" t="s">
        <v>574</v>
      </c>
      <c r="Q299" s="67" t="s">
        <v>0</v>
      </c>
      <c r="R299" s="110" t="s">
        <v>519</v>
      </c>
      <c r="S299" s="166">
        <v>100</v>
      </c>
      <c r="T299" s="166" t="s">
        <v>0</v>
      </c>
      <c r="U299" s="67" t="s">
        <v>576</v>
      </c>
      <c r="V299" s="360">
        <v>200000</v>
      </c>
      <c r="W299" s="208">
        <v>688956.17921536986</v>
      </c>
      <c r="X299" s="165">
        <v>50</v>
      </c>
      <c r="Y299" s="195">
        <v>2</v>
      </c>
      <c r="Z299" s="208">
        <v>0.46849020186645152</v>
      </c>
      <c r="AA299" s="264">
        <v>11.712255046661287</v>
      </c>
      <c r="AB299" s="208">
        <v>0.11290953702519997</v>
      </c>
      <c r="AC299" s="201">
        <v>20.393593963113357</v>
      </c>
      <c r="AD299" s="201">
        <v>0.3634023023417135</v>
      </c>
      <c r="AE299" s="265">
        <v>0.20981041708111808</v>
      </c>
      <c r="AF299" s="208">
        <v>644877.74195005221</v>
      </c>
      <c r="AG299" s="206">
        <v>16121943.548751306</v>
      </c>
      <c r="AH299" s="110"/>
      <c r="AI299" s="393"/>
    </row>
    <row r="300" spans="1:35" hidden="1" x14ac:dyDescent="0.3">
      <c r="A300" s="145">
        <v>45295</v>
      </c>
      <c r="B300" s="189">
        <v>299</v>
      </c>
      <c r="C300" s="56" t="s">
        <v>548</v>
      </c>
      <c r="D300" s="10" t="s">
        <v>552</v>
      </c>
      <c r="E300" s="2" t="s">
        <v>588</v>
      </c>
      <c r="F300" s="2" t="s">
        <v>584</v>
      </c>
      <c r="G300" s="2" t="s">
        <v>555</v>
      </c>
      <c r="H300" s="14" t="s">
        <v>297</v>
      </c>
      <c r="I300" s="2" t="s">
        <v>517</v>
      </c>
      <c r="J300" s="9" t="s">
        <v>0</v>
      </c>
      <c r="K300" s="2" t="s">
        <v>531</v>
      </c>
      <c r="L300" s="2" t="s">
        <v>593</v>
      </c>
      <c r="M300" s="2" t="s">
        <v>531</v>
      </c>
      <c r="N300" s="2" t="s">
        <v>532</v>
      </c>
      <c r="O300" s="2" t="s">
        <v>570</v>
      </c>
      <c r="P300" s="2" t="s">
        <v>503</v>
      </c>
      <c r="Q300" s="67" t="s">
        <v>0</v>
      </c>
      <c r="R300" s="110" t="s">
        <v>519</v>
      </c>
      <c r="S300" s="166">
        <v>100</v>
      </c>
      <c r="T300" s="166" t="s">
        <v>0</v>
      </c>
      <c r="U300" s="67" t="s">
        <v>576</v>
      </c>
      <c r="V300" s="360">
        <v>200000</v>
      </c>
      <c r="W300" s="208">
        <v>337772.76029995689</v>
      </c>
      <c r="X300" s="165">
        <v>50</v>
      </c>
      <c r="Y300" s="195">
        <v>2</v>
      </c>
      <c r="Z300" s="208">
        <v>0.22968547700397068</v>
      </c>
      <c r="AA300" s="264">
        <v>5.7421369250992669</v>
      </c>
      <c r="AB300" s="208">
        <v>2.7035272301652501E-2</v>
      </c>
      <c r="AC300" s="201">
        <v>21.505808803471307</v>
      </c>
      <c r="AD300" s="201">
        <v>0.18184139442899372</v>
      </c>
      <c r="AE300" s="265">
        <v>0.10498617802339645</v>
      </c>
      <c r="AF300" s="208">
        <v>316162.53910741187</v>
      </c>
      <c r="AG300" s="206">
        <v>7904063.477685296</v>
      </c>
      <c r="AH300" s="110"/>
      <c r="AI300" s="393"/>
    </row>
    <row r="301" spans="1:35" hidden="1" x14ac:dyDescent="0.3">
      <c r="A301" s="145">
        <v>45295</v>
      </c>
      <c r="B301" s="188">
        <v>300</v>
      </c>
      <c r="C301" s="56" t="s">
        <v>548</v>
      </c>
      <c r="D301" s="10" t="s">
        <v>552</v>
      </c>
      <c r="E301" s="2" t="s">
        <v>588</v>
      </c>
      <c r="F301" s="2" t="s">
        <v>584</v>
      </c>
      <c r="G301" s="2" t="s">
        <v>555</v>
      </c>
      <c r="H301" s="14" t="s">
        <v>298</v>
      </c>
      <c r="I301" s="2" t="s">
        <v>517</v>
      </c>
      <c r="J301" s="9" t="s">
        <v>0</v>
      </c>
      <c r="K301" s="2" t="s">
        <v>531</v>
      </c>
      <c r="L301" s="2" t="s">
        <v>593</v>
      </c>
      <c r="M301" s="2" t="s">
        <v>531</v>
      </c>
      <c r="N301" s="2" t="s">
        <v>532</v>
      </c>
      <c r="O301" s="2" t="s">
        <v>570</v>
      </c>
      <c r="P301" s="2" t="s">
        <v>575</v>
      </c>
      <c r="Q301" s="67" t="s">
        <v>0</v>
      </c>
      <c r="R301" s="110" t="s">
        <v>519</v>
      </c>
      <c r="S301" s="166">
        <v>100</v>
      </c>
      <c r="T301" s="166" t="s">
        <v>0</v>
      </c>
      <c r="U301" s="67" t="s">
        <v>576</v>
      </c>
      <c r="V301" s="360">
        <v>200000</v>
      </c>
      <c r="W301" s="208">
        <v>705534.22574553813</v>
      </c>
      <c r="X301" s="165">
        <v>50</v>
      </c>
      <c r="Y301" s="195">
        <v>2</v>
      </c>
      <c r="Z301" s="208">
        <v>0.47976327350696596</v>
      </c>
      <c r="AA301" s="264">
        <v>11.994081837674148</v>
      </c>
      <c r="AB301" s="208">
        <v>0.10298304675227629</v>
      </c>
      <c r="AC301" s="217">
        <v>20.3500283682753</v>
      </c>
      <c r="AD301" s="217">
        <v>0.32591384358295244</v>
      </c>
      <c r="AE301" s="202">
        <v>0.18816644532524318</v>
      </c>
      <c r="AF301" s="208">
        <v>660395.14862240863</v>
      </c>
      <c r="AG301" s="206">
        <v>16509878.715560218</v>
      </c>
      <c r="AH301" s="110"/>
      <c r="AI301" s="393"/>
    </row>
    <row r="302" spans="1:35" hidden="1" x14ac:dyDescent="0.3">
      <c r="A302" s="145">
        <v>45295</v>
      </c>
      <c r="B302" s="189">
        <v>301</v>
      </c>
      <c r="C302" s="56" t="s">
        <v>548</v>
      </c>
      <c r="D302" s="10" t="s">
        <v>552</v>
      </c>
      <c r="E302" s="2" t="s">
        <v>588</v>
      </c>
      <c r="F302" s="2" t="s">
        <v>584</v>
      </c>
      <c r="G302" s="2" t="s">
        <v>555</v>
      </c>
      <c r="H302" s="14" t="s">
        <v>299</v>
      </c>
      <c r="I302" s="2" t="s">
        <v>517</v>
      </c>
      <c r="J302" s="9" t="s">
        <v>0</v>
      </c>
      <c r="K302" s="2" t="s">
        <v>531</v>
      </c>
      <c r="L302" s="2" t="s">
        <v>593</v>
      </c>
      <c r="M302" s="2" t="s">
        <v>531</v>
      </c>
      <c r="N302" s="2" t="s">
        <v>532</v>
      </c>
      <c r="O302" s="2" t="s">
        <v>570</v>
      </c>
      <c r="P302" s="2" t="s">
        <v>573</v>
      </c>
      <c r="Q302" s="67" t="s">
        <v>0</v>
      </c>
      <c r="R302" s="110" t="s">
        <v>519</v>
      </c>
      <c r="S302" s="166">
        <v>400</v>
      </c>
      <c r="T302" s="166" t="s">
        <v>0</v>
      </c>
      <c r="U302" s="67" t="s">
        <v>576</v>
      </c>
      <c r="V302" s="360">
        <v>200000</v>
      </c>
      <c r="W302" s="208">
        <v>738533.23027293407</v>
      </c>
      <c r="X302" s="165">
        <v>50</v>
      </c>
      <c r="Y302" s="195">
        <v>2</v>
      </c>
      <c r="Z302" s="208">
        <v>0.50220259658559518</v>
      </c>
      <c r="AA302" s="264">
        <v>12.55506491463988</v>
      </c>
      <c r="AB302" s="208">
        <v>3.4307229146614555E-2</v>
      </c>
      <c r="AC302" s="216">
        <v>20.256830394544465</v>
      </c>
      <c r="AD302" s="208">
        <v>0.1098264699225648</v>
      </c>
      <c r="AE302" s="270">
        <v>6.3408341973939131E-2</v>
      </c>
      <c r="AF302" s="208">
        <v>691282.92373527889</v>
      </c>
      <c r="AG302" s="206">
        <v>17282073.093381971</v>
      </c>
      <c r="AH302" s="110"/>
      <c r="AI302" s="393"/>
    </row>
    <row r="303" spans="1:35" hidden="1" x14ac:dyDescent="0.3">
      <c r="A303" s="145">
        <v>45295</v>
      </c>
      <c r="B303" s="189">
        <v>302</v>
      </c>
      <c r="C303" s="56" t="s">
        <v>548</v>
      </c>
      <c r="D303" s="10" t="s">
        <v>552</v>
      </c>
      <c r="E303" s="2" t="s">
        <v>588</v>
      </c>
      <c r="F303" s="2" t="s">
        <v>584</v>
      </c>
      <c r="G303" s="2" t="s">
        <v>555</v>
      </c>
      <c r="H303" s="14" t="s">
        <v>300</v>
      </c>
      <c r="I303" s="2" t="s">
        <v>517</v>
      </c>
      <c r="J303" s="9" t="s">
        <v>0</v>
      </c>
      <c r="K303" s="2" t="s">
        <v>531</v>
      </c>
      <c r="L303" s="2" t="s">
        <v>593</v>
      </c>
      <c r="M303" s="2" t="s">
        <v>531</v>
      </c>
      <c r="N303" s="2" t="s">
        <v>532</v>
      </c>
      <c r="O303" s="2" t="s">
        <v>570</v>
      </c>
      <c r="P303" s="2" t="s">
        <v>574</v>
      </c>
      <c r="Q303" s="67" t="s">
        <v>0</v>
      </c>
      <c r="R303" s="110" t="s">
        <v>519</v>
      </c>
      <c r="S303" s="166">
        <v>400</v>
      </c>
      <c r="T303" s="166" t="s">
        <v>0</v>
      </c>
      <c r="U303" s="67" t="s">
        <v>576</v>
      </c>
      <c r="V303" s="360">
        <v>200000</v>
      </c>
      <c r="W303" s="208">
        <v>988111.85551523883</v>
      </c>
      <c r="X303" s="165">
        <v>50</v>
      </c>
      <c r="Y303" s="195">
        <v>2</v>
      </c>
      <c r="Z303" s="208">
        <v>0.67191606175036245</v>
      </c>
      <c r="AA303" s="264">
        <v>16.79790154375906</v>
      </c>
      <c r="AB303" s="208">
        <v>6.1211307965348162E-2</v>
      </c>
      <c r="AC303" s="216">
        <v>19.795733244987876</v>
      </c>
      <c r="AD303" s="208">
        <v>0.14790505062374398</v>
      </c>
      <c r="AE303" s="270">
        <v>8.5393020792123825E-2</v>
      </c>
      <c r="AF303" s="208">
        <v>924893.86321266927</v>
      </c>
      <c r="AG303" s="206">
        <v>23122346.58031673</v>
      </c>
      <c r="AH303" s="110"/>
      <c r="AI303" s="393"/>
    </row>
    <row r="304" spans="1:35" hidden="1" x14ac:dyDescent="0.3">
      <c r="A304" s="145">
        <v>45295</v>
      </c>
      <c r="B304" s="189">
        <v>303</v>
      </c>
      <c r="C304" s="56" t="s">
        <v>548</v>
      </c>
      <c r="D304" s="10" t="s">
        <v>552</v>
      </c>
      <c r="E304" s="2" t="s">
        <v>588</v>
      </c>
      <c r="F304" s="2" t="s">
        <v>584</v>
      </c>
      <c r="G304" s="2" t="s">
        <v>555</v>
      </c>
      <c r="H304" s="14" t="s">
        <v>301</v>
      </c>
      <c r="I304" s="2" t="s">
        <v>517</v>
      </c>
      <c r="J304" s="9" t="s">
        <v>0</v>
      </c>
      <c r="K304" s="2" t="s">
        <v>531</v>
      </c>
      <c r="L304" s="2" t="s">
        <v>593</v>
      </c>
      <c r="M304" s="2" t="s">
        <v>531</v>
      </c>
      <c r="N304" s="2" t="s">
        <v>532</v>
      </c>
      <c r="O304" s="2" t="s">
        <v>570</v>
      </c>
      <c r="P304" s="2" t="s">
        <v>503</v>
      </c>
      <c r="Q304" s="67" t="s">
        <v>0</v>
      </c>
      <c r="R304" s="110" t="s">
        <v>519</v>
      </c>
      <c r="S304" s="166">
        <v>400</v>
      </c>
      <c r="T304" s="166" t="s">
        <v>0</v>
      </c>
      <c r="U304" s="67" t="s">
        <v>576</v>
      </c>
      <c r="V304" s="360">
        <v>200000</v>
      </c>
      <c r="W304" s="208">
        <v>922147.26390670007</v>
      </c>
      <c r="X304" s="165">
        <v>50</v>
      </c>
      <c r="Y304" s="195">
        <v>2</v>
      </c>
      <c r="Z304" s="208">
        <v>0.62706013945655603</v>
      </c>
      <c r="AA304" s="264">
        <v>15.676503486413901</v>
      </c>
      <c r="AB304" s="208">
        <v>5.6495357755322079E-2</v>
      </c>
      <c r="AC304" s="216">
        <v>19.905584296864166</v>
      </c>
      <c r="AD304" s="208">
        <v>0.14736970178525124</v>
      </c>
      <c r="AE304" s="270">
        <v>8.508393699610968E-2</v>
      </c>
      <c r="AF304" s="208">
        <v>863149.5924324604</v>
      </c>
      <c r="AG304" s="206">
        <v>21578739.810811505</v>
      </c>
      <c r="AH304" s="110"/>
      <c r="AI304" s="393"/>
    </row>
    <row r="305" spans="1:35" ht="16.2" hidden="1" thickBot="1" x14ac:dyDescent="0.35">
      <c r="A305" s="148">
        <v>45295</v>
      </c>
      <c r="B305" s="190">
        <v>304</v>
      </c>
      <c r="C305" s="55" t="s">
        <v>548</v>
      </c>
      <c r="D305" s="25" t="s">
        <v>552</v>
      </c>
      <c r="E305" s="23" t="s">
        <v>588</v>
      </c>
      <c r="F305" s="23" t="s">
        <v>584</v>
      </c>
      <c r="G305" s="23" t="s">
        <v>555</v>
      </c>
      <c r="H305" s="328" t="s">
        <v>302</v>
      </c>
      <c r="I305" s="23" t="s">
        <v>517</v>
      </c>
      <c r="J305" s="24" t="s">
        <v>0</v>
      </c>
      <c r="K305" s="23" t="s">
        <v>531</v>
      </c>
      <c r="L305" s="2" t="s">
        <v>593</v>
      </c>
      <c r="M305" s="23" t="s">
        <v>531</v>
      </c>
      <c r="N305" s="23" t="s">
        <v>532</v>
      </c>
      <c r="O305" s="23" t="s">
        <v>570</v>
      </c>
      <c r="P305" s="23" t="s">
        <v>575</v>
      </c>
      <c r="Q305" s="118" t="s">
        <v>0</v>
      </c>
      <c r="R305" s="111" t="s">
        <v>519</v>
      </c>
      <c r="S305" s="186">
        <v>400</v>
      </c>
      <c r="T305" s="166" t="s">
        <v>0</v>
      </c>
      <c r="U305" s="368" t="s">
        <v>576</v>
      </c>
      <c r="V305" s="363">
        <v>200000</v>
      </c>
      <c r="W305" s="211">
        <v>622249.30368534639</v>
      </c>
      <c r="X305" s="169">
        <v>50</v>
      </c>
      <c r="Y305" s="205">
        <v>2</v>
      </c>
      <c r="Z305" s="211">
        <v>0.42312952650603558</v>
      </c>
      <c r="AA305" s="262">
        <v>10.578238162650889</v>
      </c>
      <c r="AB305" s="211">
        <v>1.6021054395185762E-2</v>
      </c>
      <c r="AC305" s="236">
        <v>20.527625254738354</v>
      </c>
      <c r="AD305" s="211">
        <v>6.0916116751566718E-2</v>
      </c>
      <c r="AE305" s="285">
        <v>3.5169936404503721E-2</v>
      </c>
      <c r="AF305" s="211">
        <v>582438.67751879001</v>
      </c>
      <c r="AG305" s="248">
        <v>14560966.93796975</v>
      </c>
      <c r="AH305" s="111"/>
      <c r="AI305" s="408"/>
    </row>
    <row r="306" spans="1:35" hidden="1" x14ac:dyDescent="0.3">
      <c r="A306" s="147">
        <v>45300</v>
      </c>
      <c r="B306" s="188">
        <v>305</v>
      </c>
      <c r="C306" s="53" t="s">
        <v>546</v>
      </c>
      <c r="D306" s="30" t="s">
        <v>552</v>
      </c>
      <c r="E306" s="28" t="s">
        <v>588</v>
      </c>
      <c r="F306" s="28" t="s">
        <v>584</v>
      </c>
      <c r="G306" s="43" t="s">
        <v>556</v>
      </c>
      <c r="H306" s="329" t="s">
        <v>303</v>
      </c>
      <c r="I306" s="17" t="s">
        <v>520</v>
      </c>
      <c r="J306" s="52" t="s">
        <v>0</v>
      </c>
      <c r="K306" s="17" t="s">
        <v>531</v>
      </c>
      <c r="L306" s="28" t="s">
        <v>530</v>
      </c>
      <c r="M306" s="17" t="s">
        <v>531</v>
      </c>
      <c r="N306" s="17" t="s">
        <v>532</v>
      </c>
      <c r="O306" s="17" t="s">
        <v>570</v>
      </c>
      <c r="P306" s="18" t="s">
        <v>573</v>
      </c>
      <c r="Q306" s="89" t="s">
        <v>0</v>
      </c>
      <c r="R306" s="117" t="s">
        <v>519</v>
      </c>
      <c r="S306" s="185">
        <v>100</v>
      </c>
      <c r="T306" s="176" t="s">
        <v>0</v>
      </c>
      <c r="U306" s="117" t="s">
        <v>0</v>
      </c>
      <c r="V306" s="164" t="s">
        <v>0</v>
      </c>
      <c r="W306" s="209">
        <v>39.584422043576907</v>
      </c>
      <c r="X306" s="164">
        <v>50</v>
      </c>
      <c r="Y306" s="194">
        <v>2</v>
      </c>
      <c r="Z306" s="209">
        <v>2.6917406989632296E-5</v>
      </c>
      <c r="AA306" s="264">
        <v>6.7293517474080738E-4</v>
      </c>
      <c r="AB306" s="209">
        <v>2.1035031705504264E-5</v>
      </c>
      <c r="AC306" s="235">
        <v>35.8857</v>
      </c>
      <c r="AD306" s="209">
        <v>1.27983</v>
      </c>
      <c r="AE306" s="279">
        <v>0.73890999999999996</v>
      </c>
      <c r="AF306" s="209">
        <v>37.051866974952972</v>
      </c>
      <c r="AG306" s="206">
        <v>926.29667437382409</v>
      </c>
      <c r="AH306" s="117">
        <v>2</v>
      </c>
      <c r="AI306" s="404" t="s">
        <v>619</v>
      </c>
    </row>
    <row r="307" spans="1:35" hidden="1" x14ac:dyDescent="0.3">
      <c r="A307" s="153">
        <v>45300</v>
      </c>
      <c r="B307" s="189">
        <v>306</v>
      </c>
      <c r="C307" s="50" t="s">
        <v>546</v>
      </c>
      <c r="D307" s="51" t="s">
        <v>552</v>
      </c>
      <c r="E307" s="65" t="s">
        <v>588</v>
      </c>
      <c r="F307" s="65" t="s">
        <v>584</v>
      </c>
      <c r="G307" s="2" t="s">
        <v>556</v>
      </c>
      <c r="H307" s="14" t="s">
        <v>304</v>
      </c>
      <c r="I307" s="2" t="s">
        <v>520</v>
      </c>
      <c r="J307" s="9" t="s">
        <v>0</v>
      </c>
      <c r="K307" s="2" t="s">
        <v>531</v>
      </c>
      <c r="L307" s="2" t="s">
        <v>530</v>
      </c>
      <c r="M307" s="2" t="s">
        <v>531</v>
      </c>
      <c r="N307" s="2" t="s">
        <v>532</v>
      </c>
      <c r="O307" s="2" t="s">
        <v>570</v>
      </c>
      <c r="P307" s="2" t="s">
        <v>574</v>
      </c>
      <c r="Q307" s="67" t="s">
        <v>0</v>
      </c>
      <c r="R307" s="110" t="s">
        <v>519</v>
      </c>
      <c r="S307" s="166">
        <v>100</v>
      </c>
      <c r="T307" s="166" t="s">
        <v>0</v>
      </c>
      <c r="U307" s="89" t="s">
        <v>0</v>
      </c>
      <c r="V307" s="165" t="s">
        <v>0</v>
      </c>
      <c r="W307" s="208">
        <v>70.350255206600451</v>
      </c>
      <c r="X307" s="165">
        <v>50</v>
      </c>
      <c r="Y307" s="195">
        <v>2</v>
      </c>
      <c r="Z307" s="208">
        <v>4.78381735404883E-5</v>
      </c>
      <c r="AA307" s="264">
        <v>1.1959543385122076E-3</v>
      </c>
      <c r="AB307" s="208">
        <v>1.7734677989061435E-5</v>
      </c>
      <c r="AC307" s="216">
        <v>34.655299999999997</v>
      </c>
      <c r="AD307" s="208">
        <v>0.63121000000000005</v>
      </c>
      <c r="AE307" s="270">
        <v>0.36442999999999998</v>
      </c>
      <c r="AF307" s="208">
        <v>65.849345853766451</v>
      </c>
      <c r="AG307" s="206">
        <v>1646.2336463441613</v>
      </c>
      <c r="AH307" s="110">
        <v>2</v>
      </c>
      <c r="AI307" s="393" t="s">
        <v>619</v>
      </c>
    </row>
    <row r="308" spans="1:35" hidden="1" x14ac:dyDescent="0.3">
      <c r="A308" s="153">
        <v>45300</v>
      </c>
      <c r="B308" s="189">
        <v>307</v>
      </c>
      <c r="C308" s="50" t="s">
        <v>546</v>
      </c>
      <c r="D308" s="49" t="s">
        <v>596</v>
      </c>
      <c r="E308" s="65" t="s">
        <v>589</v>
      </c>
      <c r="F308" s="65" t="s">
        <v>585</v>
      </c>
      <c r="G308" s="2" t="s">
        <v>556</v>
      </c>
      <c r="H308" s="14" t="s">
        <v>305</v>
      </c>
      <c r="I308" s="2" t="s">
        <v>520</v>
      </c>
      <c r="J308" s="9" t="s">
        <v>0</v>
      </c>
      <c r="K308" s="2" t="s">
        <v>531</v>
      </c>
      <c r="L308" s="2" t="s">
        <v>530</v>
      </c>
      <c r="M308" s="2" t="s">
        <v>531</v>
      </c>
      <c r="N308" s="2" t="s">
        <v>532</v>
      </c>
      <c r="O308" s="2" t="s">
        <v>570</v>
      </c>
      <c r="P308" s="2" t="s">
        <v>573</v>
      </c>
      <c r="Q308" s="67" t="s">
        <v>0</v>
      </c>
      <c r="R308" s="110" t="s">
        <v>519</v>
      </c>
      <c r="S308" s="166">
        <v>100</v>
      </c>
      <c r="T308" s="166" t="s">
        <v>0</v>
      </c>
      <c r="U308" s="67" t="s">
        <v>0</v>
      </c>
      <c r="V308" s="165" t="s">
        <v>0</v>
      </c>
      <c r="W308" s="208">
        <v>38.085561678027958</v>
      </c>
      <c r="X308" s="165">
        <v>50</v>
      </c>
      <c r="Y308" s="195">
        <v>2</v>
      </c>
      <c r="Z308" s="208">
        <v>2.5898181941059012E-5</v>
      </c>
      <c r="AA308" s="264">
        <v>6.4745454852647532E-4</v>
      </c>
      <c r="AB308" s="208">
        <v>7.0500446881473674E-6</v>
      </c>
      <c r="AC308" s="216">
        <v>35.656100000000002</v>
      </c>
      <c r="AD308" s="208">
        <v>0.43496000000000001</v>
      </c>
      <c r="AE308" s="270">
        <v>0.25113000000000002</v>
      </c>
      <c r="AF308" s="208">
        <v>35.648901565549949</v>
      </c>
      <c r="AG308" s="206">
        <v>891.22253913874874</v>
      </c>
      <c r="AH308" s="110">
        <v>2</v>
      </c>
      <c r="AI308" s="393" t="s">
        <v>619</v>
      </c>
    </row>
    <row r="309" spans="1:35" hidden="1" x14ac:dyDescent="0.3">
      <c r="A309" s="153">
        <v>45300</v>
      </c>
      <c r="B309" s="189">
        <v>308</v>
      </c>
      <c r="C309" s="50" t="s">
        <v>546</v>
      </c>
      <c r="D309" s="49" t="s">
        <v>596</v>
      </c>
      <c r="E309" s="65" t="s">
        <v>589</v>
      </c>
      <c r="F309" s="65" t="s">
        <v>585</v>
      </c>
      <c r="G309" s="2" t="s">
        <v>556</v>
      </c>
      <c r="H309" s="14" t="s">
        <v>306</v>
      </c>
      <c r="I309" s="2" t="s">
        <v>520</v>
      </c>
      <c r="J309" s="9" t="s">
        <v>0</v>
      </c>
      <c r="K309" s="2" t="s">
        <v>531</v>
      </c>
      <c r="L309" s="2" t="s">
        <v>530</v>
      </c>
      <c r="M309" s="2" t="s">
        <v>531</v>
      </c>
      <c r="N309" s="2" t="s">
        <v>532</v>
      </c>
      <c r="O309" s="2" t="s">
        <v>570</v>
      </c>
      <c r="P309" s="2" t="s">
        <v>574</v>
      </c>
      <c r="Q309" s="67" t="s">
        <v>0</v>
      </c>
      <c r="R309" s="110" t="s">
        <v>519</v>
      </c>
      <c r="S309" s="166">
        <v>100</v>
      </c>
      <c r="T309" s="166" t="s">
        <v>0</v>
      </c>
      <c r="U309" s="67" t="s">
        <v>0</v>
      </c>
      <c r="V309" s="165" t="s">
        <v>0</v>
      </c>
      <c r="W309" s="208">
        <v>31.07834033456561</v>
      </c>
      <c r="X309" s="165">
        <v>50</v>
      </c>
      <c r="Y309" s="195">
        <v>2</v>
      </c>
      <c r="Z309" s="208">
        <v>2.1133271427504613E-5</v>
      </c>
      <c r="AA309" s="264">
        <v>5.2833178568761538E-4</v>
      </c>
      <c r="AB309" s="208">
        <v>3.1702794642665854E-6</v>
      </c>
      <c r="AC309" s="216">
        <v>35.975099999999998</v>
      </c>
      <c r="AD309" s="208">
        <v>0.26114999999999999</v>
      </c>
      <c r="AE309" s="270">
        <v>0.15078</v>
      </c>
      <c r="AF309" s="208">
        <v>29.089992285626618</v>
      </c>
      <c r="AG309" s="206">
        <v>727.24980714066555</v>
      </c>
      <c r="AH309" s="110">
        <v>2</v>
      </c>
      <c r="AI309" s="393" t="s">
        <v>619</v>
      </c>
    </row>
    <row r="310" spans="1:35" hidden="1" x14ac:dyDescent="0.3">
      <c r="A310" s="153">
        <v>45300</v>
      </c>
      <c r="B310" s="189">
        <v>309</v>
      </c>
      <c r="C310" s="50" t="s">
        <v>546</v>
      </c>
      <c r="D310" s="51" t="s">
        <v>552</v>
      </c>
      <c r="E310" s="65" t="s">
        <v>588</v>
      </c>
      <c r="F310" s="65" t="s">
        <v>584</v>
      </c>
      <c r="G310" s="2" t="s">
        <v>556</v>
      </c>
      <c r="H310" s="14" t="s">
        <v>307</v>
      </c>
      <c r="I310" s="2" t="s">
        <v>520</v>
      </c>
      <c r="J310" s="9" t="s">
        <v>0</v>
      </c>
      <c r="K310" s="2" t="s">
        <v>531</v>
      </c>
      <c r="L310" s="2" t="s">
        <v>530</v>
      </c>
      <c r="M310" s="2" t="s">
        <v>531</v>
      </c>
      <c r="N310" s="2" t="s">
        <v>532</v>
      </c>
      <c r="O310" s="2" t="s">
        <v>570</v>
      </c>
      <c r="P310" s="2" t="s">
        <v>573</v>
      </c>
      <c r="Q310" s="67" t="s">
        <v>0</v>
      </c>
      <c r="R310" s="110" t="s">
        <v>519</v>
      </c>
      <c r="S310" s="166">
        <v>400</v>
      </c>
      <c r="T310" s="166" t="s">
        <v>0</v>
      </c>
      <c r="U310" s="67" t="s">
        <v>0</v>
      </c>
      <c r="V310" s="165" t="s">
        <v>0</v>
      </c>
      <c r="W310" s="208">
        <v>17.913401000335789</v>
      </c>
      <c r="X310" s="165">
        <v>50</v>
      </c>
      <c r="Y310" s="195">
        <v>2</v>
      </c>
      <c r="Z310" s="208">
        <v>1.2181112680228335E-5</v>
      </c>
      <c r="AA310" s="264">
        <v>3.0452781700570839E-4</v>
      </c>
      <c r="AB310" s="208">
        <v>6.9317305912669828E-6</v>
      </c>
      <c r="AC310" s="201">
        <v>37.066600000000001</v>
      </c>
      <c r="AD310" s="201">
        <v>0.91122999999999998</v>
      </c>
      <c r="AE310" s="265">
        <v>0.52610000000000001</v>
      </c>
      <c r="AF310" s="208">
        <v>16.767327061205108</v>
      </c>
      <c r="AG310" s="206">
        <v>419.18317653012775</v>
      </c>
      <c r="AH310" s="110">
        <v>2</v>
      </c>
      <c r="AI310" s="393" t="s">
        <v>619</v>
      </c>
    </row>
    <row r="311" spans="1:35" hidden="1" x14ac:dyDescent="0.3">
      <c r="A311" s="153">
        <v>45300</v>
      </c>
      <c r="B311" s="189">
        <v>310</v>
      </c>
      <c r="C311" s="50" t="s">
        <v>546</v>
      </c>
      <c r="D311" s="51" t="s">
        <v>552</v>
      </c>
      <c r="E311" s="65" t="s">
        <v>588</v>
      </c>
      <c r="F311" s="65" t="s">
        <v>584</v>
      </c>
      <c r="G311" s="2" t="s">
        <v>556</v>
      </c>
      <c r="H311" s="14" t="s">
        <v>308</v>
      </c>
      <c r="I311" s="2" t="s">
        <v>520</v>
      </c>
      <c r="J311" s="9" t="s">
        <v>0</v>
      </c>
      <c r="K311" s="2" t="s">
        <v>531</v>
      </c>
      <c r="L311" s="2" t="s">
        <v>530</v>
      </c>
      <c r="M311" s="2" t="s">
        <v>531</v>
      </c>
      <c r="N311" s="2" t="s">
        <v>532</v>
      </c>
      <c r="O311" s="2" t="s">
        <v>570</v>
      </c>
      <c r="P311" s="2" t="s">
        <v>574</v>
      </c>
      <c r="Q311" s="67" t="s">
        <v>0</v>
      </c>
      <c r="R311" s="110" t="s">
        <v>519</v>
      </c>
      <c r="S311" s="166">
        <v>400</v>
      </c>
      <c r="T311" s="166" t="s">
        <v>0</v>
      </c>
      <c r="U311" s="67" t="s">
        <v>0</v>
      </c>
      <c r="V311" s="165" t="s">
        <v>0</v>
      </c>
      <c r="W311" s="208">
        <v>20.237677694063567</v>
      </c>
      <c r="X311" s="165">
        <v>50</v>
      </c>
      <c r="Y311" s="195">
        <v>2</v>
      </c>
      <c r="Z311" s="293" t="s">
        <v>0</v>
      </c>
      <c r="AA311" s="294" t="s">
        <v>0</v>
      </c>
      <c r="AB311" s="302" t="s">
        <v>0</v>
      </c>
      <c r="AC311" s="204">
        <v>36.689</v>
      </c>
      <c r="AD311" s="204">
        <v>1.2181500000000001</v>
      </c>
      <c r="AE311" s="291">
        <v>0.86136000000000001</v>
      </c>
      <c r="AF311" s="302" t="s">
        <v>0</v>
      </c>
      <c r="AG311" s="382" t="s">
        <v>0</v>
      </c>
      <c r="AH311" s="400">
        <v>2</v>
      </c>
      <c r="AI311" s="393" t="s">
        <v>619</v>
      </c>
    </row>
    <row r="312" spans="1:35" hidden="1" x14ac:dyDescent="0.3">
      <c r="A312" s="153">
        <v>45300</v>
      </c>
      <c r="B312" s="189">
        <v>311</v>
      </c>
      <c r="C312" s="50" t="s">
        <v>546</v>
      </c>
      <c r="D312" s="49" t="s">
        <v>596</v>
      </c>
      <c r="E312" s="65" t="s">
        <v>589</v>
      </c>
      <c r="F312" s="65" t="s">
        <v>585</v>
      </c>
      <c r="G312" s="2" t="s">
        <v>556</v>
      </c>
      <c r="H312" s="14" t="s">
        <v>309</v>
      </c>
      <c r="I312" s="2" t="s">
        <v>520</v>
      </c>
      <c r="J312" s="9" t="s">
        <v>0</v>
      </c>
      <c r="K312" s="2" t="s">
        <v>531</v>
      </c>
      <c r="L312" s="2" t="s">
        <v>530</v>
      </c>
      <c r="M312" s="2" t="s">
        <v>531</v>
      </c>
      <c r="N312" s="2" t="s">
        <v>532</v>
      </c>
      <c r="O312" s="2" t="s">
        <v>570</v>
      </c>
      <c r="P312" s="2" t="s">
        <v>573</v>
      </c>
      <c r="Q312" s="67" t="s">
        <v>0</v>
      </c>
      <c r="R312" s="110" t="s">
        <v>519</v>
      </c>
      <c r="S312" s="166">
        <v>400</v>
      </c>
      <c r="T312" s="166" t="s">
        <v>0</v>
      </c>
      <c r="U312" s="67" t="s">
        <v>0</v>
      </c>
      <c r="V312" s="165" t="s">
        <v>0</v>
      </c>
      <c r="W312" s="208">
        <v>36.920505638208056</v>
      </c>
      <c r="X312" s="165">
        <v>50</v>
      </c>
      <c r="Y312" s="195">
        <v>2</v>
      </c>
      <c r="Z312" s="208">
        <v>2.5105943833981481E-5</v>
      </c>
      <c r="AA312" s="264">
        <v>6.2764859584953699E-4</v>
      </c>
      <c r="AB312" s="208">
        <v>5.4524338724752691E-6</v>
      </c>
      <c r="AC312" s="201">
        <v>35.6982</v>
      </c>
      <c r="AD312" s="201">
        <v>0.38468999999999998</v>
      </c>
      <c r="AE312" s="265">
        <v>0.22209999999999999</v>
      </c>
      <c r="AF312" s="208">
        <v>34.558384155487701</v>
      </c>
      <c r="AG312" s="206">
        <v>863.95960388719254</v>
      </c>
      <c r="AH312" s="110">
        <v>2</v>
      </c>
      <c r="AI312" s="393" t="s">
        <v>619</v>
      </c>
    </row>
    <row r="313" spans="1:35" hidden="1" x14ac:dyDescent="0.3">
      <c r="A313" s="153">
        <v>45300</v>
      </c>
      <c r="B313" s="189">
        <v>312</v>
      </c>
      <c r="C313" s="50" t="s">
        <v>546</v>
      </c>
      <c r="D313" s="49" t="s">
        <v>596</v>
      </c>
      <c r="E313" s="65" t="s">
        <v>589</v>
      </c>
      <c r="F313" s="65" t="s">
        <v>585</v>
      </c>
      <c r="G313" s="2" t="s">
        <v>556</v>
      </c>
      <c r="H313" s="14" t="s">
        <v>310</v>
      </c>
      <c r="I313" s="2" t="s">
        <v>520</v>
      </c>
      <c r="J313" s="9" t="s">
        <v>0</v>
      </c>
      <c r="K313" s="2" t="s">
        <v>531</v>
      </c>
      <c r="L313" s="2" t="s">
        <v>530</v>
      </c>
      <c r="M313" s="2" t="s">
        <v>531</v>
      </c>
      <c r="N313" s="2" t="s">
        <v>532</v>
      </c>
      <c r="O313" s="2" t="s">
        <v>570</v>
      </c>
      <c r="P313" s="2" t="s">
        <v>574</v>
      </c>
      <c r="Q313" s="67" t="s">
        <v>0</v>
      </c>
      <c r="R313" s="110" t="s">
        <v>519</v>
      </c>
      <c r="S313" s="166">
        <v>400</v>
      </c>
      <c r="T313" s="166" t="s">
        <v>0</v>
      </c>
      <c r="U313" s="67" t="s">
        <v>0</v>
      </c>
      <c r="V313" s="165" t="s">
        <v>0</v>
      </c>
      <c r="W313" s="208">
        <v>21.323257067759055</v>
      </c>
      <c r="X313" s="165">
        <v>50</v>
      </c>
      <c r="Y313" s="195">
        <v>2</v>
      </c>
      <c r="Z313" s="208">
        <v>1.4499814806076158E-5</v>
      </c>
      <c r="AA313" s="264">
        <v>3.6249537015190392E-4</v>
      </c>
      <c r="AB313" s="208">
        <v>7.0287869952043034E-6</v>
      </c>
      <c r="AC313" s="201">
        <v>36.781199999999998</v>
      </c>
      <c r="AD313" s="201">
        <v>1.02881</v>
      </c>
      <c r="AE313" s="265">
        <v>0.59399000000000002</v>
      </c>
      <c r="AF313" s="208">
        <v>19.959025383207102</v>
      </c>
      <c r="AG313" s="206">
        <v>498.9756345801776</v>
      </c>
      <c r="AH313" s="110">
        <v>2</v>
      </c>
      <c r="AI313" s="393" t="s">
        <v>619</v>
      </c>
    </row>
    <row r="314" spans="1:35" hidden="1" x14ac:dyDescent="0.3">
      <c r="A314" s="153">
        <v>45300</v>
      </c>
      <c r="B314" s="188">
        <v>313</v>
      </c>
      <c r="C314" s="50" t="s">
        <v>546</v>
      </c>
      <c r="D314" s="51" t="s">
        <v>552</v>
      </c>
      <c r="E314" s="65" t="s">
        <v>588</v>
      </c>
      <c r="F314" s="65" t="s">
        <v>584</v>
      </c>
      <c r="G314" s="2" t="s">
        <v>556</v>
      </c>
      <c r="H314" s="14" t="s">
        <v>311</v>
      </c>
      <c r="I314" s="2" t="s">
        <v>517</v>
      </c>
      <c r="J314" s="9" t="s">
        <v>0</v>
      </c>
      <c r="K314" s="2" t="s">
        <v>531</v>
      </c>
      <c r="L314" s="2" t="s">
        <v>593</v>
      </c>
      <c r="M314" s="2" t="s">
        <v>531</v>
      </c>
      <c r="N314" s="2" t="s">
        <v>532</v>
      </c>
      <c r="O314" s="2" t="s">
        <v>570</v>
      </c>
      <c r="P314" s="2" t="s">
        <v>573</v>
      </c>
      <c r="Q314" s="67" t="s">
        <v>0</v>
      </c>
      <c r="R314" s="110" t="s">
        <v>519</v>
      </c>
      <c r="S314" s="166">
        <v>100</v>
      </c>
      <c r="T314" s="166" t="s">
        <v>0</v>
      </c>
      <c r="U314" s="67" t="s">
        <v>576</v>
      </c>
      <c r="V314" s="360">
        <v>200000</v>
      </c>
      <c r="W314" s="208">
        <v>58247.984069413098</v>
      </c>
      <c r="X314" s="165">
        <v>50</v>
      </c>
      <c r="Y314" s="195">
        <v>2</v>
      </c>
      <c r="Z314" s="208">
        <v>3.9608629167200905E-2</v>
      </c>
      <c r="AA314" s="264">
        <v>0.99021572918002265</v>
      </c>
      <c r="AB314" s="208">
        <v>3.5542641693504539E-3</v>
      </c>
      <c r="AC314" s="201">
        <v>23.193300000000001</v>
      </c>
      <c r="AD314" s="201">
        <v>0.15322</v>
      </c>
      <c r="AE314" s="265">
        <v>8.8459999999999997E-2</v>
      </c>
      <c r="AF314" s="208">
        <v>54521.360825306518</v>
      </c>
      <c r="AG314" s="206">
        <v>1363034.020632663</v>
      </c>
      <c r="AH314" s="110" t="s">
        <v>662</v>
      </c>
      <c r="AI314" s="393" t="s">
        <v>621</v>
      </c>
    </row>
    <row r="315" spans="1:35" hidden="1" x14ac:dyDescent="0.3">
      <c r="A315" s="153">
        <v>45300</v>
      </c>
      <c r="B315" s="189">
        <v>314</v>
      </c>
      <c r="C315" s="50" t="s">
        <v>546</v>
      </c>
      <c r="D315" s="51" t="s">
        <v>552</v>
      </c>
      <c r="E315" s="65" t="s">
        <v>588</v>
      </c>
      <c r="F315" s="65" t="s">
        <v>584</v>
      </c>
      <c r="G315" s="2" t="s">
        <v>556</v>
      </c>
      <c r="H315" s="14" t="s">
        <v>312</v>
      </c>
      <c r="I315" s="2" t="s">
        <v>517</v>
      </c>
      <c r="J315" s="9" t="s">
        <v>0</v>
      </c>
      <c r="K315" s="2" t="s">
        <v>531</v>
      </c>
      <c r="L315" s="2" t="s">
        <v>593</v>
      </c>
      <c r="M315" s="2" t="s">
        <v>531</v>
      </c>
      <c r="N315" s="2" t="s">
        <v>532</v>
      </c>
      <c r="O315" s="2" t="s">
        <v>570</v>
      </c>
      <c r="P315" s="2" t="s">
        <v>574</v>
      </c>
      <c r="Q315" s="67" t="s">
        <v>0</v>
      </c>
      <c r="R315" s="110" t="s">
        <v>519</v>
      </c>
      <c r="S315" s="166">
        <v>100</v>
      </c>
      <c r="T315" s="166" t="s">
        <v>0</v>
      </c>
      <c r="U315" s="67" t="s">
        <v>576</v>
      </c>
      <c r="V315" s="360">
        <v>200000</v>
      </c>
      <c r="W315" s="208">
        <v>197109.95004523371</v>
      </c>
      <c r="X315" s="165">
        <v>50</v>
      </c>
      <c r="Y315" s="195">
        <v>2</v>
      </c>
      <c r="Z315" s="208">
        <v>0.13403476603075892</v>
      </c>
      <c r="AA315" s="264">
        <v>3.3508691507689732</v>
      </c>
      <c r="AB315" s="208">
        <v>1.381865180304462E-2</v>
      </c>
      <c r="AC315" s="201">
        <v>21.128299999999999</v>
      </c>
      <c r="AD315" s="201">
        <v>0.17015</v>
      </c>
      <c r="AE315" s="265">
        <v>9.8239999999999994E-2</v>
      </c>
      <c r="AF315" s="208">
        <v>184499.13555579324</v>
      </c>
      <c r="AG315" s="206">
        <v>4612478.3888948308</v>
      </c>
      <c r="AH315" s="110" t="s">
        <v>662</v>
      </c>
      <c r="AI315" s="393" t="s">
        <v>621</v>
      </c>
    </row>
    <row r="316" spans="1:35" hidden="1" x14ac:dyDescent="0.3">
      <c r="A316" s="153">
        <v>45300</v>
      </c>
      <c r="B316" s="189">
        <v>315</v>
      </c>
      <c r="C316" s="50" t="s">
        <v>546</v>
      </c>
      <c r="D316" s="51" t="s">
        <v>552</v>
      </c>
      <c r="E316" s="65" t="s">
        <v>588</v>
      </c>
      <c r="F316" s="65" t="s">
        <v>584</v>
      </c>
      <c r="G316" s="2" t="s">
        <v>556</v>
      </c>
      <c r="H316" s="14" t="s">
        <v>313</v>
      </c>
      <c r="I316" s="2" t="s">
        <v>517</v>
      </c>
      <c r="J316" s="9" t="s">
        <v>0</v>
      </c>
      <c r="K316" s="2" t="s">
        <v>531</v>
      </c>
      <c r="L316" s="2" t="s">
        <v>593</v>
      </c>
      <c r="M316" s="2" t="s">
        <v>531</v>
      </c>
      <c r="N316" s="2" t="s">
        <v>532</v>
      </c>
      <c r="O316" s="2" t="s">
        <v>570</v>
      </c>
      <c r="P316" s="2" t="s">
        <v>503</v>
      </c>
      <c r="Q316" s="67" t="s">
        <v>0</v>
      </c>
      <c r="R316" s="110" t="s">
        <v>519</v>
      </c>
      <c r="S316" s="166">
        <v>100</v>
      </c>
      <c r="T316" s="166" t="s">
        <v>0</v>
      </c>
      <c r="U316" s="67" t="s">
        <v>576</v>
      </c>
      <c r="V316" s="360">
        <v>200000</v>
      </c>
      <c r="W316" s="208" t="s">
        <v>0</v>
      </c>
      <c r="X316" s="165">
        <v>50</v>
      </c>
      <c r="Y316" s="195">
        <v>2</v>
      </c>
      <c r="Z316" s="302" t="s">
        <v>0</v>
      </c>
      <c r="AA316" s="303" t="s">
        <v>0</v>
      </c>
      <c r="AB316" s="302" t="s">
        <v>0</v>
      </c>
      <c r="AC316" s="204">
        <v>36.930199999999999</v>
      </c>
      <c r="AD316" s="306" t="s">
        <v>0</v>
      </c>
      <c r="AE316" s="307" t="s">
        <v>0</v>
      </c>
      <c r="AF316" s="302" t="s">
        <v>0</v>
      </c>
      <c r="AG316" s="382" t="s">
        <v>0</v>
      </c>
      <c r="AH316" s="110" t="s">
        <v>662</v>
      </c>
      <c r="AI316" s="393" t="s">
        <v>621</v>
      </c>
    </row>
    <row r="317" spans="1:35" hidden="1" x14ac:dyDescent="0.3">
      <c r="A317" s="153">
        <v>45300</v>
      </c>
      <c r="B317" s="189">
        <v>316</v>
      </c>
      <c r="C317" s="50" t="s">
        <v>546</v>
      </c>
      <c r="D317" s="51" t="s">
        <v>552</v>
      </c>
      <c r="E317" s="65" t="s">
        <v>588</v>
      </c>
      <c r="F317" s="65" t="s">
        <v>584</v>
      </c>
      <c r="G317" s="2" t="s">
        <v>556</v>
      </c>
      <c r="H317" s="14" t="s">
        <v>314</v>
      </c>
      <c r="I317" s="2" t="s">
        <v>517</v>
      </c>
      <c r="J317" s="9" t="s">
        <v>0</v>
      </c>
      <c r="K317" s="2" t="s">
        <v>531</v>
      </c>
      <c r="L317" s="2" t="s">
        <v>593</v>
      </c>
      <c r="M317" s="2" t="s">
        <v>531</v>
      </c>
      <c r="N317" s="2" t="s">
        <v>532</v>
      </c>
      <c r="O317" s="2" t="s">
        <v>570</v>
      </c>
      <c r="P317" s="2" t="s">
        <v>575</v>
      </c>
      <c r="Q317" s="67" t="s">
        <v>0</v>
      </c>
      <c r="R317" s="110" t="s">
        <v>519</v>
      </c>
      <c r="S317" s="166">
        <v>100</v>
      </c>
      <c r="T317" s="166" t="s">
        <v>0</v>
      </c>
      <c r="U317" s="67" t="s">
        <v>576</v>
      </c>
      <c r="V317" s="360">
        <v>200000</v>
      </c>
      <c r="W317" s="208">
        <v>320073.10737623874</v>
      </c>
      <c r="X317" s="165">
        <v>50</v>
      </c>
      <c r="Y317" s="195">
        <v>2</v>
      </c>
      <c r="Z317" s="208">
        <v>0.21764971301584232</v>
      </c>
      <c r="AA317" s="264">
        <v>5.4412428253960581</v>
      </c>
      <c r="AB317" s="208">
        <v>2.1143436379805175E-2</v>
      </c>
      <c r="AC317" s="201">
        <v>20.306000000000001</v>
      </c>
      <c r="AD317" s="201">
        <v>0.16175999999999999</v>
      </c>
      <c r="AE317" s="265">
        <v>9.3390000000000001E-2</v>
      </c>
      <c r="AF317" s="208">
        <v>299595.28482464136</v>
      </c>
      <c r="AG317" s="206">
        <v>7489882.1206160355</v>
      </c>
      <c r="AH317" s="110" t="s">
        <v>662</v>
      </c>
      <c r="AI317" s="393" t="s">
        <v>621</v>
      </c>
    </row>
    <row r="318" spans="1:35" hidden="1" x14ac:dyDescent="0.3">
      <c r="A318" s="153">
        <v>45300</v>
      </c>
      <c r="B318" s="189">
        <v>317</v>
      </c>
      <c r="C318" s="50" t="s">
        <v>546</v>
      </c>
      <c r="D318" s="49" t="s">
        <v>596</v>
      </c>
      <c r="E318" s="65" t="s">
        <v>589</v>
      </c>
      <c r="F318" s="65" t="s">
        <v>585</v>
      </c>
      <c r="G318" s="2" t="s">
        <v>556</v>
      </c>
      <c r="H318" s="14" t="s">
        <v>315</v>
      </c>
      <c r="I318" s="2" t="s">
        <v>517</v>
      </c>
      <c r="J318" s="9" t="s">
        <v>0</v>
      </c>
      <c r="K318" s="2" t="s">
        <v>531</v>
      </c>
      <c r="L318" s="2" t="s">
        <v>593</v>
      </c>
      <c r="M318" s="2" t="s">
        <v>531</v>
      </c>
      <c r="N318" s="2" t="s">
        <v>532</v>
      </c>
      <c r="O318" s="2" t="s">
        <v>570</v>
      </c>
      <c r="P318" s="2" t="s">
        <v>573</v>
      </c>
      <c r="Q318" s="67" t="s">
        <v>0</v>
      </c>
      <c r="R318" s="110" t="s">
        <v>519</v>
      </c>
      <c r="S318" s="166">
        <v>100</v>
      </c>
      <c r="T318" s="166" t="s">
        <v>0</v>
      </c>
      <c r="U318" s="67" t="s">
        <v>576</v>
      </c>
      <c r="V318" s="360">
        <v>200000</v>
      </c>
      <c r="W318" s="208">
        <v>1004842.7013444382</v>
      </c>
      <c r="X318" s="165">
        <v>50</v>
      </c>
      <c r="Y318" s="195">
        <v>2</v>
      </c>
      <c r="Z318" s="208">
        <v>0.68329303691421794</v>
      </c>
      <c r="AA318" s="264">
        <v>17.08232592285545</v>
      </c>
      <c r="AB318" s="208">
        <v>1.3011390650852149E-2</v>
      </c>
      <c r="AC318" s="201">
        <v>18.361899999999999</v>
      </c>
      <c r="AD318" s="201">
        <v>3.245E-2</v>
      </c>
      <c r="AE318" s="265">
        <v>1.874E-2</v>
      </c>
      <c r="AF318" s="208">
        <v>940554.29330204893</v>
      </c>
      <c r="AG318" s="206">
        <v>23513857.332551222</v>
      </c>
      <c r="AH318" s="110" t="s">
        <v>662</v>
      </c>
      <c r="AI318" s="393" t="s">
        <v>622</v>
      </c>
    </row>
    <row r="319" spans="1:35" hidden="1" x14ac:dyDescent="0.3">
      <c r="A319" s="153">
        <v>45300</v>
      </c>
      <c r="B319" s="189">
        <v>318</v>
      </c>
      <c r="C319" s="50" t="s">
        <v>546</v>
      </c>
      <c r="D319" s="49" t="s">
        <v>596</v>
      </c>
      <c r="E319" s="65" t="s">
        <v>589</v>
      </c>
      <c r="F319" s="65" t="s">
        <v>585</v>
      </c>
      <c r="G319" s="2" t="s">
        <v>556</v>
      </c>
      <c r="H319" s="14" t="s">
        <v>316</v>
      </c>
      <c r="I319" s="2" t="s">
        <v>517</v>
      </c>
      <c r="J319" s="9" t="s">
        <v>0</v>
      </c>
      <c r="K319" s="2" t="s">
        <v>531</v>
      </c>
      <c r="L319" s="2" t="s">
        <v>593</v>
      </c>
      <c r="M319" s="2" t="s">
        <v>531</v>
      </c>
      <c r="N319" s="2" t="s">
        <v>532</v>
      </c>
      <c r="O319" s="2" t="s">
        <v>570</v>
      </c>
      <c r="P319" s="2" t="s">
        <v>574</v>
      </c>
      <c r="Q319" s="67" t="s">
        <v>0</v>
      </c>
      <c r="R319" s="110" t="s">
        <v>519</v>
      </c>
      <c r="S319" s="166">
        <v>100</v>
      </c>
      <c r="T319" s="166" t="s">
        <v>0</v>
      </c>
      <c r="U319" s="67" t="s">
        <v>576</v>
      </c>
      <c r="V319" s="360">
        <v>200000</v>
      </c>
      <c r="W319" s="208">
        <v>827703.20169062796</v>
      </c>
      <c r="X319" s="165">
        <v>50</v>
      </c>
      <c r="Y319" s="195">
        <v>2</v>
      </c>
      <c r="Z319" s="208">
        <v>0.56283817714962703</v>
      </c>
      <c r="AA319" s="264">
        <v>14.070954428740675</v>
      </c>
      <c r="AB319" s="208">
        <v>2.8674230559213774E-2</v>
      </c>
      <c r="AC319" s="201">
        <v>18.6919</v>
      </c>
      <c r="AD319" s="201">
        <v>8.5809999999999997E-2</v>
      </c>
      <c r="AE319" s="265">
        <v>4.9540000000000001E-2</v>
      </c>
      <c r="AF319" s="208">
        <v>774747.92710179533</v>
      </c>
      <c r="AG319" s="206">
        <v>19368698.177544884</v>
      </c>
      <c r="AH319" s="110" t="s">
        <v>662</v>
      </c>
      <c r="AI319" s="393" t="s">
        <v>622</v>
      </c>
    </row>
    <row r="320" spans="1:35" hidden="1" x14ac:dyDescent="0.3">
      <c r="A320" s="153">
        <v>45300</v>
      </c>
      <c r="B320" s="189">
        <v>319</v>
      </c>
      <c r="C320" s="50" t="s">
        <v>546</v>
      </c>
      <c r="D320" s="49" t="s">
        <v>596</v>
      </c>
      <c r="E320" s="65" t="s">
        <v>589</v>
      </c>
      <c r="F320" s="65" t="s">
        <v>585</v>
      </c>
      <c r="G320" s="2" t="s">
        <v>556</v>
      </c>
      <c r="H320" s="14" t="s">
        <v>317</v>
      </c>
      <c r="I320" s="2" t="s">
        <v>517</v>
      </c>
      <c r="J320" s="9" t="s">
        <v>0</v>
      </c>
      <c r="K320" s="2" t="s">
        <v>531</v>
      </c>
      <c r="L320" s="2" t="s">
        <v>593</v>
      </c>
      <c r="M320" s="2" t="s">
        <v>531</v>
      </c>
      <c r="N320" s="2" t="s">
        <v>532</v>
      </c>
      <c r="O320" s="2" t="s">
        <v>570</v>
      </c>
      <c r="P320" s="2" t="s">
        <v>503</v>
      </c>
      <c r="Q320" s="67" t="s">
        <v>0</v>
      </c>
      <c r="R320" s="110" t="s">
        <v>519</v>
      </c>
      <c r="S320" s="166">
        <v>100</v>
      </c>
      <c r="T320" s="166" t="s">
        <v>0</v>
      </c>
      <c r="U320" s="67" t="s">
        <v>576</v>
      </c>
      <c r="V320" s="360">
        <v>200000</v>
      </c>
      <c r="W320" s="208">
        <v>749910.20769575436</v>
      </c>
      <c r="X320" s="165">
        <v>50</v>
      </c>
      <c r="Y320" s="195">
        <v>2</v>
      </c>
      <c r="Z320" s="208">
        <v>0.50993894123311301</v>
      </c>
      <c r="AA320" s="264">
        <v>12.748473530827825</v>
      </c>
      <c r="AB320" s="208">
        <v>1.2674287996730064E-2</v>
      </c>
      <c r="AC320" s="201">
        <v>18.858000000000001</v>
      </c>
      <c r="AD320" s="201">
        <v>4.2040000000000001E-2</v>
      </c>
      <c r="AE320" s="265">
        <v>2.427E-2</v>
      </c>
      <c r="AF320" s="208">
        <v>701932.01831049658</v>
      </c>
      <c r="AG320" s="206">
        <v>17548300.457762413</v>
      </c>
      <c r="AH320" s="110" t="s">
        <v>662</v>
      </c>
      <c r="AI320" s="393" t="s">
        <v>622</v>
      </c>
    </row>
    <row r="321" spans="1:35" hidden="1" x14ac:dyDescent="0.3">
      <c r="A321" s="153">
        <v>45300</v>
      </c>
      <c r="B321" s="189">
        <v>320</v>
      </c>
      <c r="C321" s="50" t="s">
        <v>546</v>
      </c>
      <c r="D321" s="49" t="s">
        <v>596</v>
      </c>
      <c r="E321" s="65" t="s">
        <v>589</v>
      </c>
      <c r="F321" s="65" t="s">
        <v>585</v>
      </c>
      <c r="G321" s="2" t="s">
        <v>556</v>
      </c>
      <c r="H321" s="14" t="s">
        <v>318</v>
      </c>
      <c r="I321" s="2" t="s">
        <v>517</v>
      </c>
      <c r="J321" s="9" t="s">
        <v>0</v>
      </c>
      <c r="K321" s="2" t="s">
        <v>531</v>
      </c>
      <c r="L321" s="2" t="s">
        <v>593</v>
      </c>
      <c r="M321" s="2" t="s">
        <v>531</v>
      </c>
      <c r="N321" s="2" t="s">
        <v>532</v>
      </c>
      <c r="O321" s="2" t="s">
        <v>570</v>
      </c>
      <c r="P321" s="2" t="s">
        <v>575</v>
      </c>
      <c r="Q321" s="67" t="s">
        <v>0</v>
      </c>
      <c r="R321" s="110" t="s">
        <v>519</v>
      </c>
      <c r="S321" s="166">
        <v>100</v>
      </c>
      <c r="T321" s="166" t="s">
        <v>0</v>
      </c>
      <c r="U321" s="67" t="s">
        <v>576</v>
      </c>
      <c r="V321" s="360">
        <v>200000</v>
      </c>
      <c r="W321" s="208">
        <v>924121.30069524643</v>
      </c>
      <c r="X321" s="165">
        <v>50</v>
      </c>
      <c r="Y321" s="195">
        <v>2</v>
      </c>
      <c r="Z321" s="208">
        <v>0.62840248447276759</v>
      </c>
      <c r="AA321" s="264">
        <v>15.710062111819189</v>
      </c>
      <c r="AB321" s="208">
        <v>9.9019327695034857E-3</v>
      </c>
      <c r="AC321" s="201">
        <v>18.503799999999998</v>
      </c>
      <c r="AD321" s="201">
        <v>2.6630000000000001E-2</v>
      </c>
      <c r="AE321" s="265">
        <v>1.537E-2</v>
      </c>
      <c r="AF321" s="208">
        <v>864997.33315259428</v>
      </c>
      <c r="AG321" s="206">
        <v>21624933.328814853</v>
      </c>
      <c r="AH321" s="110" t="s">
        <v>662</v>
      </c>
      <c r="AI321" s="393" t="s">
        <v>622</v>
      </c>
    </row>
    <row r="322" spans="1:35" hidden="1" x14ac:dyDescent="0.3">
      <c r="A322" s="153">
        <v>45300</v>
      </c>
      <c r="B322" s="189">
        <v>321</v>
      </c>
      <c r="C322" s="50" t="s">
        <v>546</v>
      </c>
      <c r="D322" s="51" t="s">
        <v>552</v>
      </c>
      <c r="E322" s="65" t="s">
        <v>588</v>
      </c>
      <c r="F322" s="65" t="s">
        <v>584</v>
      </c>
      <c r="G322" s="2" t="s">
        <v>556</v>
      </c>
      <c r="H322" s="14" t="s">
        <v>319</v>
      </c>
      <c r="I322" s="2" t="s">
        <v>517</v>
      </c>
      <c r="J322" s="9" t="s">
        <v>0</v>
      </c>
      <c r="K322" s="2" t="s">
        <v>531</v>
      </c>
      <c r="L322" s="2" t="s">
        <v>593</v>
      </c>
      <c r="M322" s="2" t="s">
        <v>531</v>
      </c>
      <c r="N322" s="2" t="s">
        <v>532</v>
      </c>
      <c r="O322" s="2" t="s">
        <v>570</v>
      </c>
      <c r="P322" s="2" t="s">
        <v>573</v>
      </c>
      <c r="Q322" s="67" t="s">
        <v>0</v>
      </c>
      <c r="R322" s="110" t="s">
        <v>519</v>
      </c>
      <c r="S322" s="166">
        <v>400</v>
      </c>
      <c r="T322" s="166" t="s">
        <v>0</v>
      </c>
      <c r="U322" s="67" t="s">
        <v>576</v>
      </c>
      <c r="V322" s="360">
        <v>200000</v>
      </c>
      <c r="W322" s="208">
        <v>333276.47224274732</v>
      </c>
      <c r="X322" s="165">
        <v>50</v>
      </c>
      <c r="Y322" s="195">
        <v>2</v>
      </c>
      <c r="Z322" s="208">
        <v>0.22662800112506817</v>
      </c>
      <c r="AA322" s="264">
        <v>5.6657000281267047</v>
      </c>
      <c r="AB322" s="208">
        <v>1.6156369061990555E-2</v>
      </c>
      <c r="AC322" s="201">
        <v>20.235099999999999</v>
      </c>
      <c r="AD322" s="201">
        <v>0.11877</v>
      </c>
      <c r="AE322" s="265">
        <v>6.8570000000000006E-2</v>
      </c>
      <c r="AF322" s="208">
        <v>311953.91717039328</v>
      </c>
      <c r="AG322" s="206">
        <v>7798847.9292598329</v>
      </c>
      <c r="AH322" s="110" t="s">
        <v>662</v>
      </c>
      <c r="AI322" s="393" t="s">
        <v>621</v>
      </c>
    </row>
    <row r="323" spans="1:35" hidden="1" x14ac:dyDescent="0.3">
      <c r="A323" s="153">
        <v>45300</v>
      </c>
      <c r="B323" s="189">
        <v>322</v>
      </c>
      <c r="C323" s="50" t="s">
        <v>546</v>
      </c>
      <c r="D323" s="51" t="s">
        <v>552</v>
      </c>
      <c r="E323" s="65" t="s">
        <v>588</v>
      </c>
      <c r="F323" s="65" t="s">
        <v>584</v>
      </c>
      <c r="G323" s="2" t="s">
        <v>556</v>
      </c>
      <c r="H323" s="14" t="s">
        <v>320</v>
      </c>
      <c r="I323" s="2" t="s">
        <v>517</v>
      </c>
      <c r="J323" s="9" t="s">
        <v>0</v>
      </c>
      <c r="K323" s="2" t="s">
        <v>531</v>
      </c>
      <c r="L323" s="2" t="s">
        <v>593</v>
      </c>
      <c r="M323" s="2" t="s">
        <v>531</v>
      </c>
      <c r="N323" s="2" t="s">
        <v>532</v>
      </c>
      <c r="O323" s="2" t="s">
        <v>570</v>
      </c>
      <c r="P323" s="2" t="s">
        <v>574</v>
      </c>
      <c r="Q323" s="67" t="s">
        <v>0</v>
      </c>
      <c r="R323" s="110" t="s">
        <v>519</v>
      </c>
      <c r="S323" s="166">
        <v>400</v>
      </c>
      <c r="T323" s="166" t="s">
        <v>0</v>
      </c>
      <c r="U323" s="67" t="s">
        <v>576</v>
      </c>
      <c r="V323" s="360">
        <v>200000</v>
      </c>
      <c r="W323" s="208">
        <v>156440.85408500282</v>
      </c>
      <c r="X323" s="165">
        <v>50</v>
      </c>
      <c r="Y323" s="195">
        <v>2</v>
      </c>
      <c r="Z323" s="208">
        <v>0.10637978077780191</v>
      </c>
      <c r="AA323" s="264">
        <v>2.6594945194450479</v>
      </c>
      <c r="AB323" s="208">
        <v>3.5848404380872455E-3</v>
      </c>
      <c r="AC323" s="201">
        <v>21.514800000000001</v>
      </c>
      <c r="AD323" s="201">
        <v>5.765E-2</v>
      </c>
      <c r="AE323" s="265">
        <v>3.329E-2</v>
      </c>
      <c r="AF323" s="208">
        <v>146431.99055993542</v>
      </c>
      <c r="AG323" s="206">
        <v>3660799.7639983851</v>
      </c>
      <c r="AH323" s="110" t="s">
        <v>662</v>
      </c>
      <c r="AI323" s="393" t="s">
        <v>621</v>
      </c>
    </row>
    <row r="324" spans="1:35" hidden="1" x14ac:dyDescent="0.3">
      <c r="A324" s="153">
        <v>45300</v>
      </c>
      <c r="B324" s="189">
        <v>323</v>
      </c>
      <c r="C324" s="50" t="s">
        <v>546</v>
      </c>
      <c r="D324" s="51" t="s">
        <v>552</v>
      </c>
      <c r="E324" s="65" t="s">
        <v>588</v>
      </c>
      <c r="F324" s="65" t="s">
        <v>584</v>
      </c>
      <c r="G324" s="2" t="s">
        <v>556</v>
      </c>
      <c r="H324" s="14" t="s">
        <v>321</v>
      </c>
      <c r="I324" s="2" t="s">
        <v>517</v>
      </c>
      <c r="J324" s="9" t="s">
        <v>0</v>
      </c>
      <c r="K324" s="2" t="s">
        <v>531</v>
      </c>
      <c r="L324" s="2" t="s">
        <v>593</v>
      </c>
      <c r="M324" s="2" t="s">
        <v>531</v>
      </c>
      <c r="N324" s="2" t="s">
        <v>532</v>
      </c>
      <c r="O324" s="2" t="s">
        <v>570</v>
      </c>
      <c r="P324" s="2" t="s">
        <v>503</v>
      </c>
      <c r="Q324" s="67" t="s">
        <v>0</v>
      </c>
      <c r="R324" s="110" t="s">
        <v>519</v>
      </c>
      <c r="S324" s="166">
        <v>400</v>
      </c>
      <c r="T324" s="166" t="s">
        <v>0</v>
      </c>
      <c r="U324" s="67" t="s">
        <v>576</v>
      </c>
      <c r="V324" s="360">
        <v>200000</v>
      </c>
      <c r="W324" s="208">
        <v>150747.73732005121</v>
      </c>
      <c r="X324" s="165">
        <v>50</v>
      </c>
      <c r="Y324" s="195">
        <v>2</v>
      </c>
      <c r="Z324" s="208">
        <v>0.10250846137763482</v>
      </c>
      <c r="AA324" s="264">
        <v>2.5627115344408704</v>
      </c>
      <c r="AB324" s="208">
        <v>9.4224477608992156E-3</v>
      </c>
      <c r="AC324" s="201">
        <v>21.581700000000001</v>
      </c>
      <c r="AD324" s="201">
        <v>0.15459999999999999</v>
      </c>
      <c r="AE324" s="265">
        <v>8.9260000000000006E-2</v>
      </c>
      <c r="AF324" s="208">
        <v>141103.11131507374</v>
      </c>
      <c r="AG324" s="206">
        <v>3527577.7828768436</v>
      </c>
      <c r="AH324" s="110" t="s">
        <v>662</v>
      </c>
      <c r="AI324" s="393" t="s">
        <v>621</v>
      </c>
    </row>
    <row r="325" spans="1:35" hidden="1" x14ac:dyDescent="0.3">
      <c r="A325" s="153">
        <v>45300</v>
      </c>
      <c r="B325" s="189">
        <v>324</v>
      </c>
      <c r="C325" s="50" t="s">
        <v>546</v>
      </c>
      <c r="D325" s="51" t="s">
        <v>552</v>
      </c>
      <c r="E325" s="65" t="s">
        <v>588</v>
      </c>
      <c r="F325" s="65" t="s">
        <v>584</v>
      </c>
      <c r="G325" s="2" t="s">
        <v>556</v>
      </c>
      <c r="H325" s="14" t="s">
        <v>322</v>
      </c>
      <c r="I325" s="2" t="s">
        <v>517</v>
      </c>
      <c r="J325" s="9" t="s">
        <v>0</v>
      </c>
      <c r="K325" s="2" t="s">
        <v>531</v>
      </c>
      <c r="L325" s="2" t="s">
        <v>593</v>
      </c>
      <c r="M325" s="2" t="s">
        <v>531</v>
      </c>
      <c r="N325" s="2" t="s">
        <v>532</v>
      </c>
      <c r="O325" s="2" t="s">
        <v>570</v>
      </c>
      <c r="P325" s="2" t="s">
        <v>575</v>
      </c>
      <c r="Q325" s="67" t="s">
        <v>0</v>
      </c>
      <c r="R325" s="110" t="s">
        <v>519</v>
      </c>
      <c r="S325" s="166">
        <v>400</v>
      </c>
      <c r="T325" s="166" t="s">
        <v>0</v>
      </c>
      <c r="U325" s="67" t="s">
        <v>576</v>
      </c>
      <c r="V325" s="360">
        <v>200000</v>
      </c>
      <c r="W325" s="208">
        <v>309327.25910830393</v>
      </c>
      <c r="X325" s="165">
        <v>50</v>
      </c>
      <c r="Y325" s="195">
        <v>2</v>
      </c>
      <c r="Z325" s="208">
        <v>0.21034253619364665</v>
      </c>
      <c r="AA325" s="264">
        <v>5.2585634048411665</v>
      </c>
      <c r="AB325" s="208">
        <v>2.9858541972657866E-2</v>
      </c>
      <c r="AC325" s="201">
        <v>20.370699999999999</v>
      </c>
      <c r="AD325" s="201">
        <v>0.24990000000000001</v>
      </c>
      <c r="AE325" s="265">
        <v>0.14427999999999999</v>
      </c>
      <c r="AF325" s="208">
        <v>289536.94065788208</v>
      </c>
      <c r="AG325" s="206">
        <v>7238423.5164470524</v>
      </c>
      <c r="AH325" s="110" t="s">
        <v>662</v>
      </c>
      <c r="AI325" s="393" t="s">
        <v>621</v>
      </c>
    </row>
    <row r="326" spans="1:35" hidden="1" x14ac:dyDescent="0.3">
      <c r="A326" s="153">
        <v>45300</v>
      </c>
      <c r="B326" s="189">
        <v>325</v>
      </c>
      <c r="C326" s="50" t="s">
        <v>546</v>
      </c>
      <c r="D326" s="49" t="s">
        <v>596</v>
      </c>
      <c r="E326" s="65" t="s">
        <v>589</v>
      </c>
      <c r="F326" s="65" t="s">
        <v>585</v>
      </c>
      <c r="G326" s="2" t="s">
        <v>556</v>
      </c>
      <c r="H326" s="14" t="s">
        <v>323</v>
      </c>
      <c r="I326" s="2" t="s">
        <v>517</v>
      </c>
      <c r="J326" s="9" t="s">
        <v>0</v>
      </c>
      <c r="K326" s="2" t="s">
        <v>531</v>
      </c>
      <c r="L326" s="2" t="s">
        <v>593</v>
      </c>
      <c r="M326" s="2" t="s">
        <v>531</v>
      </c>
      <c r="N326" s="2" t="s">
        <v>532</v>
      </c>
      <c r="O326" s="2" t="s">
        <v>570</v>
      </c>
      <c r="P326" s="2" t="s">
        <v>573</v>
      </c>
      <c r="Q326" s="67" t="s">
        <v>0</v>
      </c>
      <c r="R326" s="110" t="s">
        <v>519</v>
      </c>
      <c r="S326" s="166">
        <v>400</v>
      </c>
      <c r="T326" s="166" t="s">
        <v>0</v>
      </c>
      <c r="U326" s="67" t="s">
        <v>576</v>
      </c>
      <c r="V326" s="360">
        <v>200000</v>
      </c>
      <c r="W326" s="208">
        <v>550358.23485896597</v>
      </c>
      <c r="X326" s="165">
        <v>50</v>
      </c>
      <c r="Y326" s="195">
        <v>2</v>
      </c>
      <c r="Z326" s="208">
        <v>0.37424359970409682</v>
      </c>
      <c r="AA326" s="264">
        <v>9.3560899926024206</v>
      </c>
      <c r="AB326" s="208">
        <v>0.14760566922662491</v>
      </c>
      <c r="AC326" s="201">
        <v>19.462</v>
      </c>
      <c r="AD326" s="201">
        <v>0.62016000000000004</v>
      </c>
      <c r="AE326" s="265">
        <v>0.35804999999999998</v>
      </c>
      <c r="AF326" s="208">
        <v>515147.09711097501</v>
      </c>
      <c r="AG326" s="206">
        <v>12878677.427774373</v>
      </c>
      <c r="AH326" s="110" t="s">
        <v>662</v>
      </c>
      <c r="AI326" s="393" t="s">
        <v>622</v>
      </c>
    </row>
    <row r="327" spans="1:35" hidden="1" x14ac:dyDescent="0.3">
      <c r="A327" s="153">
        <v>45300</v>
      </c>
      <c r="B327" s="188">
        <v>326</v>
      </c>
      <c r="C327" s="50" t="s">
        <v>546</v>
      </c>
      <c r="D327" s="49" t="s">
        <v>596</v>
      </c>
      <c r="E327" s="65" t="s">
        <v>589</v>
      </c>
      <c r="F327" s="65" t="s">
        <v>585</v>
      </c>
      <c r="G327" s="2" t="s">
        <v>556</v>
      </c>
      <c r="H327" s="14" t="s">
        <v>324</v>
      </c>
      <c r="I327" s="2" t="s">
        <v>517</v>
      </c>
      <c r="J327" s="9" t="s">
        <v>0</v>
      </c>
      <c r="K327" s="2" t="s">
        <v>531</v>
      </c>
      <c r="L327" s="2" t="s">
        <v>593</v>
      </c>
      <c r="M327" s="2" t="s">
        <v>531</v>
      </c>
      <c r="N327" s="2" t="s">
        <v>532</v>
      </c>
      <c r="O327" s="2" t="s">
        <v>570</v>
      </c>
      <c r="P327" s="2" t="s">
        <v>574</v>
      </c>
      <c r="Q327" s="67" t="s">
        <v>0</v>
      </c>
      <c r="R327" s="110" t="s">
        <v>519</v>
      </c>
      <c r="S327" s="166">
        <v>400</v>
      </c>
      <c r="T327" s="166" t="s">
        <v>0</v>
      </c>
      <c r="U327" s="67" t="s">
        <v>576</v>
      </c>
      <c r="V327" s="360">
        <v>200000</v>
      </c>
      <c r="W327" s="208">
        <v>387667.03301763342</v>
      </c>
      <c r="X327" s="165">
        <v>50</v>
      </c>
      <c r="Y327" s="195">
        <v>2</v>
      </c>
      <c r="Z327" s="208">
        <v>0.26361358245199074</v>
      </c>
      <c r="AA327" s="264">
        <v>6.5903395612997686</v>
      </c>
      <c r="AB327" s="208">
        <v>0.22840582611506044</v>
      </c>
      <c r="AC327" s="201">
        <v>25.250299999999999</v>
      </c>
      <c r="AD327" s="201">
        <v>10.325100000000001</v>
      </c>
      <c r="AE327" s="265">
        <v>5.9611999999999998</v>
      </c>
      <c r="AF327" s="208">
        <v>362864.64716174302</v>
      </c>
      <c r="AG327" s="206">
        <v>9071616.1790435761</v>
      </c>
      <c r="AH327" s="110" t="s">
        <v>662</v>
      </c>
      <c r="AI327" s="393" t="s">
        <v>622</v>
      </c>
    </row>
    <row r="328" spans="1:35" hidden="1" x14ac:dyDescent="0.3">
      <c r="A328" s="153">
        <v>45300</v>
      </c>
      <c r="B328" s="189">
        <v>327</v>
      </c>
      <c r="C328" s="50" t="s">
        <v>546</v>
      </c>
      <c r="D328" s="49" t="s">
        <v>596</v>
      </c>
      <c r="E328" s="65" t="s">
        <v>589</v>
      </c>
      <c r="F328" s="65" t="s">
        <v>585</v>
      </c>
      <c r="G328" s="2" t="s">
        <v>556</v>
      </c>
      <c r="H328" s="14" t="s">
        <v>325</v>
      </c>
      <c r="I328" s="2" t="s">
        <v>517</v>
      </c>
      <c r="J328" s="9" t="s">
        <v>0</v>
      </c>
      <c r="K328" s="2" t="s">
        <v>531</v>
      </c>
      <c r="L328" s="2" t="s">
        <v>593</v>
      </c>
      <c r="M328" s="2" t="s">
        <v>531</v>
      </c>
      <c r="N328" s="2" t="s">
        <v>532</v>
      </c>
      <c r="O328" s="2" t="s">
        <v>570</v>
      </c>
      <c r="P328" s="2" t="s">
        <v>503</v>
      </c>
      <c r="Q328" s="67" t="s">
        <v>0</v>
      </c>
      <c r="R328" s="110" t="s">
        <v>519</v>
      </c>
      <c r="S328" s="166">
        <v>400</v>
      </c>
      <c r="T328" s="166" t="s">
        <v>0</v>
      </c>
      <c r="U328" s="67" t="s">
        <v>576</v>
      </c>
      <c r="V328" s="360">
        <v>200000</v>
      </c>
      <c r="W328" s="208">
        <v>617140.45952311426</v>
      </c>
      <c r="X328" s="165">
        <v>50</v>
      </c>
      <c r="Y328" s="195">
        <v>2</v>
      </c>
      <c r="Z328" s="208">
        <v>0.41965551247571764</v>
      </c>
      <c r="AA328" s="264">
        <v>10.491387811892942</v>
      </c>
      <c r="AB328" s="208">
        <v>1.6421633011862866E-2</v>
      </c>
      <c r="AC328" s="201">
        <v>19.188800000000001</v>
      </c>
      <c r="AD328" s="201">
        <v>6.6879999999999995E-2</v>
      </c>
      <c r="AE328" s="265">
        <v>3.8620000000000002E-2</v>
      </c>
      <c r="AF328" s="208">
        <v>577656.68994583993</v>
      </c>
      <c r="AG328" s="206">
        <v>14441417.248645999</v>
      </c>
      <c r="AH328" s="110" t="s">
        <v>662</v>
      </c>
      <c r="AI328" s="393" t="s">
        <v>622</v>
      </c>
    </row>
    <row r="329" spans="1:35" ht="16.2" hidden="1" thickBot="1" x14ac:dyDescent="0.35">
      <c r="A329" s="239">
        <v>45300</v>
      </c>
      <c r="B329" s="190">
        <v>328</v>
      </c>
      <c r="C329" s="120" t="s">
        <v>546</v>
      </c>
      <c r="D329" s="240" t="s">
        <v>596</v>
      </c>
      <c r="E329" s="207" t="s">
        <v>589</v>
      </c>
      <c r="F329" s="207" t="s">
        <v>585</v>
      </c>
      <c r="G329" s="107" t="s">
        <v>556</v>
      </c>
      <c r="H329" s="340" t="s">
        <v>597</v>
      </c>
      <c r="I329" s="107" t="s">
        <v>517</v>
      </c>
      <c r="J329" s="129" t="s">
        <v>0</v>
      </c>
      <c r="K329" s="107" t="s">
        <v>531</v>
      </c>
      <c r="L329" s="107" t="s">
        <v>593</v>
      </c>
      <c r="M329" s="107" t="s">
        <v>531</v>
      </c>
      <c r="N329" s="107" t="s">
        <v>532</v>
      </c>
      <c r="O329" s="107" t="s">
        <v>570</v>
      </c>
      <c r="P329" s="107" t="s">
        <v>503</v>
      </c>
      <c r="Q329" s="118" t="s">
        <v>0</v>
      </c>
      <c r="R329" s="111" t="s">
        <v>519</v>
      </c>
      <c r="S329" s="224">
        <v>400</v>
      </c>
      <c r="T329" s="224" t="s">
        <v>0</v>
      </c>
      <c r="U329" s="118" t="s">
        <v>576</v>
      </c>
      <c r="V329" s="363">
        <v>200000</v>
      </c>
      <c r="W329" s="211">
        <v>550358.23485896597</v>
      </c>
      <c r="X329" s="169">
        <v>50</v>
      </c>
      <c r="Y329" s="205">
        <v>2</v>
      </c>
      <c r="Z329" s="211">
        <v>0.37424359970409682</v>
      </c>
      <c r="AA329" s="281">
        <v>9.3560899926024206</v>
      </c>
      <c r="AB329" s="203">
        <v>0.14760566922662491</v>
      </c>
      <c r="AC329" s="213">
        <v>18.190999999999999</v>
      </c>
      <c r="AD329" s="213">
        <v>0.12381</v>
      </c>
      <c r="AE329" s="287">
        <v>7.1480000000000002E-2</v>
      </c>
      <c r="AF329" s="211">
        <v>515147.09711097501</v>
      </c>
      <c r="AG329" s="380">
        <v>12878677.427774373</v>
      </c>
      <c r="AH329" s="111" t="s">
        <v>662</v>
      </c>
      <c r="AI329" s="408" t="s">
        <v>622</v>
      </c>
    </row>
    <row r="330" spans="1:35" hidden="1" x14ac:dyDescent="0.3">
      <c r="A330" s="144">
        <v>45302</v>
      </c>
      <c r="B330" s="188">
        <v>329</v>
      </c>
      <c r="C330" s="97" t="s">
        <v>547</v>
      </c>
      <c r="D330" s="76" t="s">
        <v>552</v>
      </c>
      <c r="E330" s="75" t="s">
        <v>588</v>
      </c>
      <c r="F330" s="75" t="s">
        <v>584</v>
      </c>
      <c r="G330" s="75" t="s">
        <v>557</v>
      </c>
      <c r="H330" s="131" t="s">
        <v>326</v>
      </c>
      <c r="I330" s="2" t="s">
        <v>526</v>
      </c>
      <c r="J330" s="45" t="s">
        <v>550</v>
      </c>
      <c r="K330" s="75" t="s">
        <v>531</v>
      </c>
      <c r="L330" s="241" t="s">
        <v>535</v>
      </c>
      <c r="M330" s="241" t="s">
        <v>531</v>
      </c>
      <c r="N330" s="75" t="s">
        <v>532</v>
      </c>
      <c r="O330" s="75" t="s">
        <v>570</v>
      </c>
      <c r="P330" s="75" t="s">
        <v>573</v>
      </c>
      <c r="Q330" s="89" t="s">
        <v>0</v>
      </c>
      <c r="R330" s="117" t="s">
        <v>519</v>
      </c>
      <c r="S330" s="167">
        <v>100</v>
      </c>
      <c r="T330" s="167" t="s">
        <v>0</v>
      </c>
      <c r="U330" s="89" t="s">
        <v>0</v>
      </c>
      <c r="V330" s="164" t="s">
        <v>0</v>
      </c>
      <c r="W330" s="209">
        <v>69.187338296205397</v>
      </c>
      <c r="X330" s="164">
        <v>50</v>
      </c>
      <c r="Y330" s="194">
        <v>2</v>
      </c>
      <c r="Z330" s="305" t="s">
        <v>0</v>
      </c>
      <c r="AA330" s="303" t="s">
        <v>0</v>
      </c>
      <c r="AB330" s="305" t="s">
        <v>0</v>
      </c>
      <c r="AC330" s="204">
        <v>35.720300000000002</v>
      </c>
      <c r="AD330" s="204">
        <v>0.68394999999999995</v>
      </c>
      <c r="AE330" s="291">
        <v>0.48361999999999999</v>
      </c>
      <c r="AF330" s="305" t="s">
        <v>0</v>
      </c>
      <c r="AG330" s="382" t="s">
        <v>0</v>
      </c>
      <c r="AH330" s="411"/>
      <c r="AI330" s="404"/>
    </row>
    <row r="331" spans="1:35" hidden="1" x14ac:dyDescent="0.3">
      <c r="A331" s="145">
        <v>45302</v>
      </c>
      <c r="B331" s="189">
        <v>330</v>
      </c>
      <c r="C331" s="34" t="s">
        <v>547</v>
      </c>
      <c r="D331" s="10" t="s">
        <v>552</v>
      </c>
      <c r="E331" s="2" t="s">
        <v>588</v>
      </c>
      <c r="F331" s="2" t="s">
        <v>584</v>
      </c>
      <c r="G331" s="2" t="s">
        <v>557</v>
      </c>
      <c r="H331" s="14" t="s">
        <v>327</v>
      </c>
      <c r="I331" s="2" t="s">
        <v>524</v>
      </c>
      <c r="J331" s="15" t="s">
        <v>550</v>
      </c>
      <c r="K331" s="2" t="s">
        <v>532</v>
      </c>
      <c r="L331" s="42" t="s">
        <v>608</v>
      </c>
      <c r="M331" s="42" t="s">
        <v>531</v>
      </c>
      <c r="N331" s="2" t="s">
        <v>532</v>
      </c>
      <c r="O331" s="2" t="s">
        <v>570</v>
      </c>
      <c r="P331" s="2" t="s">
        <v>573</v>
      </c>
      <c r="Q331" s="67" t="s">
        <v>0</v>
      </c>
      <c r="R331" s="110" t="s">
        <v>519</v>
      </c>
      <c r="S331" s="166">
        <v>100</v>
      </c>
      <c r="T331" s="166" t="s">
        <v>0</v>
      </c>
      <c r="U331" s="67" t="s">
        <v>576</v>
      </c>
      <c r="V331" s="360">
        <v>100000</v>
      </c>
      <c r="W331" s="208">
        <v>42312.843361459258</v>
      </c>
      <c r="X331" s="165">
        <v>50</v>
      </c>
      <c r="Y331" s="195">
        <v>2</v>
      </c>
      <c r="Z331" s="208">
        <v>2.8772733485792297E-2</v>
      </c>
      <c r="AA331" s="264">
        <v>0.71931833714480742</v>
      </c>
      <c r="AB331" s="208">
        <v>1.3686310927580345E-3</v>
      </c>
      <c r="AC331" s="201">
        <v>24.83479589157615</v>
      </c>
      <c r="AD331" s="201">
        <v>8.1070946924048162E-2</v>
      </c>
      <c r="AE331" s="265">
        <v>4.6806333030057073E-2</v>
      </c>
      <c r="AF331" s="208">
        <v>39605.727774297564</v>
      </c>
      <c r="AG331" s="206">
        <v>990143.19435743906</v>
      </c>
      <c r="AH331" s="110"/>
      <c r="AI331" s="395" t="s">
        <v>633</v>
      </c>
    </row>
    <row r="332" spans="1:35" hidden="1" x14ac:dyDescent="0.3">
      <c r="A332" s="145">
        <v>45302</v>
      </c>
      <c r="B332" s="189">
        <v>331</v>
      </c>
      <c r="C332" s="34" t="s">
        <v>547</v>
      </c>
      <c r="D332" s="10" t="s">
        <v>552</v>
      </c>
      <c r="E332" s="2" t="s">
        <v>588</v>
      </c>
      <c r="F332" s="2" t="s">
        <v>584</v>
      </c>
      <c r="G332" s="2" t="s">
        <v>557</v>
      </c>
      <c r="H332" s="14" t="s">
        <v>328</v>
      </c>
      <c r="I332" s="341" t="s">
        <v>524</v>
      </c>
      <c r="J332" s="15" t="s">
        <v>550</v>
      </c>
      <c r="K332" s="2" t="s">
        <v>532</v>
      </c>
      <c r="L332" s="42" t="s">
        <v>608</v>
      </c>
      <c r="M332" s="42" t="s">
        <v>531</v>
      </c>
      <c r="N332" s="2" t="s">
        <v>532</v>
      </c>
      <c r="O332" s="2" t="s">
        <v>570</v>
      </c>
      <c r="P332" s="2" t="s">
        <v>574</v>
      </c>
      <c r="Q332" s="67" t="s">
        <v>0</v>
      </c>
      <c r="R332" s="110" t="s">
        <v>519</v>
      </c>
      <c r="S332" s="166">
        <v>100</v>
      </c>
      <c r="T332" s="166" t="s">
        <v>0</v>
      </c>
      <c r="U332" s="67" t="s">
        <v>576</v>
      </c>
      <c r="V332" s="360">
        <v>100000</v>
      </c>
      <c r="W332" s="208">
        <v>52596.633460126766</v>
      </c>
      <c r="X332" s="165">
        <v>50</v>
      </c>
      <c r="Y332" s="195">
        <v>2</v>
      </c>
      <c r="Z332" s="208">
        <v>3.5765710752886204E-2</v>
      </c>
      <c r="AA332" s="264">
        <v>0.89414276882215504</v>
      </c>
      <c r="AB332" s="208">
        <v>2.569822341821083E-3</v>
      </c>
      <c r="AC332" s="201">
        <v>24.469501871741702</v>
      </c>
      <c r="AD332" s="201">
        <v>0.11910708600131702</v>
      </c>
      <c r="AE332" s="265">
        <v>6.8766508165252288E-2</v>
      </c>
      <c r="AF332" s="208">
        <v>49231.575596824878</v>
      </c>
      <c r="AG332" s="206">
        <v>1230789.3899206221</v>
      </c>
      <c r="AH332" s="110"/>
      <c r="AI332" s="395" t="s">
        <v>633</v>
      </c>
    </row>
    <row r="333" spans="1:35" hidden="1" x14ac:dyDescent="0.3">
      <c r="A333" s="145">
        <v>45302</v>
      </c>
      <c r="B333" s="189">
        <v>332</v>
      </c>
      <c r="C333" s="34" t="s">
        <v>547</v>
      </c>
      <c r="D333" s="10" t="s">
        <v>552</v>
      </c>
      <c r="E333" s="2" t="s">
        <v>588</v>
      </c>
      <c r="F333" s="2" t="s">
        <v>584</v>
      </c>
      <c r="G333" s="2" t="s">
        <v>557</v>
      </c>
      <c r="H333" s="14" t="s">
        <v>329</v>
      </c>
      <c r="I333" s="2" t="s">
        <v>524</v>
      </c>
      <c r="J333" s="15" t="s">
        <v>550</v>
      </c>
      <c r="K333" s="2" t="s">
        <v>532</v>
      </c>
      <c r="L333" s="42" t="s">
        <v>608</v>
      </c>
      <c r="M333" s="42" t="s">
        <v>531</v>
      </c>
      <c r="N333" s="2" t="s">
        <v>532</v>
      </c>
      <c r="O333" s="2" t="s">
        <v>570</v>
      </c>
      <c r="P333" s="2" t="s">
        <v>503</v>
      </c>
      <c r="Q333" s="67" t="s">
        <v>0</v>
      </c>
      <c r="R333" s="110" t="s">
        <v>519</v>
      </c>
      <c r="S333" s="166">
        <v>100</v>
      </c>
      <c r="T333" s="166" t="s">
        <v>0</v>
      </c>
      <c r="U333" s="67" t="s">
        <v>576</v>
      </c>
      <c r="V333" s="360">
        <v>100000</v>
      </c>
      <c r="W333" s="208">
        <v>18379.190563386044</v>
      </c>
      <c r="X333" s="165">
        <v>50</v>
      </c>
      <c r="Y333" s="195">
        <v>2</v>
      </c>
      <c r="Z333" s="208">
        <v>1.2497849583102509E-2</v>
      </c>
      <c r="AA333" s="264">
        <v>0.31244623957756273</v>
      </c>
      <c r="AB333" s="208">
        <v>8.1729657291389039E-4</v>
      </c>
      <c r="AC333" s="201">
        <v>26.241973660766476</v>
      </c>
      <c r="AD333" s="201">
        <v>0.1113988094241091</v>
      </c>
      <c r="AE333" s="265">
        <v>6.4316132608413207E-2</v>
      </c>
      <c r="AF333" s="208">
        <v>17203.316069948512</v>
      </c>
      <c r="AG333" s="206">
        <v>430082.90174871281</v>
      </c>
      <c r="AH333" s="110"/>
      <c r="AI333" s="395" t="s">
        <v>633</v>
      </c>
    </row>
    <row r="334" spans="1:35" hidden="1" x14ac:dyDescent="0.3">
      <c r="A334" s="145">
        <v>45302</v>
      </c>
      <c r="B334" s="189">
        <v>333</v>
      </c>
      <c r="C334" s="34" t="s">
        <v>547</v>
      </c>
      <c r="D334" s="10" t="s">
        <v>552</v>
      </c>
      <c r="E334" s="2" t="s">
        <v>588</v>
      </c>
      <c r="F334" s="2" t="s">
        <v>584</v>
      </c>
      <c r="G334" s="2" t="s">
        <v>557</v>
      </c>
      <c r="H334" s="14" t="s">
        <v>330</v>
      </c>
      <c r="I334" s="2" t="s">
        <v>524</v>
      </c>
      <c r="J334" s="15" t="s">
        <v>550</v>
      </c>
      <c r="K334" s="2" t="s">
        <v>532</v>
      </c>
      <c r="L334" s="42" t="s">
        <v>608</v>
      </c>
      <c r="M334" s="42" t="s">
        <v>531</v>
      </c>
      <c r="N334" s="2" t="s">
        <v>532</v>
      </c>
      <c r="O334" s="2" t="s">
        <v>570</v>
      </c>
      <c r="P334" s="2" t="s">
        <v>575</v>
      </c>
      <c r="Q334" s="67" t="s">
        <v>0</v>
      </c>
      <c r="R334" s="110" t="s">
        <v>519</v>
      </c>
      <c r="S334" s="166">
        <v>100</v>
      </c>
      <c r="T334" s="166" t="s">
        <v>0</v>
      </c>
      <c r="U334" s="67" t="s">
        <v>576</v>
      </c>
      <c r="V334" s="360">
        <v>100000</v>
      </c>
      <c r="W334" s="208">
        <v>32125.246627545541</v>
      </c>
      <c r="X334" s="165">
        <v>50</v>
      </c>
      <c r="Y334" s="195">
        <v>2</v>
      </c>
      <c r="Z334" s="208">
        <v>2.1845167706730968E-2</v>
      </c>
      <c r="AA334" s="264">
        <v>0.5461291926682742</v>
      </c>
      <c r="AB334" s="208">
        <v>2.1112980987266225E-3</v>
      </c>
      <c r="AC334" s="201">
        <v>25.303060501442133</v>
      </c>
      <c r="AD334" s="201">
        <v>0.15961163563754449</v>
      </c>
      <c r="AE334" s="265">
        <v>9.2151820801132781E-2</v>
      </c>
      <c r="AF334" s="208">
        <v>30069.919001748218</v>
      </c>
      <c r="AG334" s="206">
        <v>751747.97504370543</v>
      </c>
      <c r="AH334" s="110"/>
      <c r="AI334" s="395" t="s">
        <v>633</v>
      </c>
    </row>
    <row r="335" spans="1:35" hidden="1" x14ac:dyDescent="0.3">
      <c r="A335" s="145">
        <v>45302</v>
      </c>
      <c r="B335" s="189">
        <v>334</v>
      </c>
      <c r="C335" s="34" t="s">
        <v>547</v>
      </c>
      <c r="D335" s="10" t="s">
        <v>552</v>
      </c>
      <c r="E335" s="2" t="s">
        <v>588</v>
      </c>
      <c r="F335" s="2" t="s">
        <v>584</v>
      </c>
      <c r="G335" s="2" t="s">
        <v>557</v>
      </c>
      <c r="H335" s="14" t="s">
        <v>331</v>
      </c>
      <c r="I335" s="110" t="s">
        <v>526</v>
      </c>
      <c r="J335" s="12" t="s">
        <v>551</v>
      </c>
      <c r="K335" s="2" t="s">
        <v>531</v>
      </c>
      <c r="L335" s="42" t="s">
        <v>535</v>
      </c>
      <c r="M335" s="42" t="s">
        <v>531</v>
      </c>
      <c r="N335" s="2" t="s">
        <v>532</v>
      </c>
      <c r="O335" s="2" t="s">
        <v>570</v>
      </c>
      <c r="P335" s="2" t="s">
        <v>573</v>
      </c>
      <c r="Q335" s="67" t="s">
        <v>0</v>
      </c>
      <c r="R335" s="110" t="s">
        <v>519</v>
      </c>
      <c r="S335" s="166">
        <v>100</v>
      </c>
      <c r="T335" s="166" t="s">
        <v>0</v>
      </c>
      <c r="U335" s="67" t="s">
        <v>0</v>
      </c>
      <c r="V335" s="165" t="s">
        <v>0</v>
      </c>
      <c r="W335" s="208">
        <v>28.30406999772579</v>
      </c>
      <c r="X335" s="165">
        <v>50</v>
      </c>
      <c r="Y335" s="195">
        <v>2</v>
      </c>
      <c r="Z335" s="208">
        <v>1.9246767598453538E-5</v>
      </c>
      <c r="AA335" s="264">
        <v>4.8116918996133842E-4</v>
      </c>
      <c r="AB335" s="208">
        <v>7.5546141563814602E-6</v>
      </c>
      <c r="AC335" s="201">
        <v>36.500419513181093</v>
      </c>
      <c r="AD335" s="201">
        <v>0.49605719252186881</v>
      </c>
      <c r="AE335" s="265">
        <v>0.28639875363595096</v>
      </c>
      <c r="AF335" s="208">
        <v>26.493215822401069</v>
      </c>
      <c r="AG335" s="206">
        <v>662.33039556002677</v>
      </c>
      <c r="AH335" s="110"/>
      <c r="AI335" s="393"/>
    </row>
    <row r="336" spans="1:35" hidden="1" x14ac:dyDescent="0.3">
      <c r="A336" s="145">
        <v>45302</v>
      </c>
      <c r="B336" s="189">
        <v>335</v>
      </c>
      <c r="C336" s="34" t="s">
        <v>547</v>
      </c>
      <c r="D336" s="10" t="s">
        <v>552</v>
      </c>
      <c r="E336" s="2" t="s">
        <v>588</v>
      </c>
      <c r="F336" s="2" t="s">
        <v>584</v>
      </c>
      <c r="G336" s="2" t="s">
        <v>557</v>
      </c>
      <c r="H336" s="14" t="s">
        <v>332</v>
      </c>
      <c r="I336" s="2" t="s">
        <v>524</v>
      </c>
      <c r="J336" s="12" t="s">
        <v>551</v>
      </c>
      <c r="K336" s="2" t="s">
        <v>532</v>
      </c>
      <c r="L336" s="42" t="s">
        <v>608</v>
      </c>
      <c r="M336" s="42" t="s">
        <v>531</v>
      </c>
      <c r="N336" s="2" t="s">
        <v>532</v>
      </c>
      <c r="O336" s="2" t="s">
        <v>570</v>
      </c>
      <c r="P336" s="2" t="s">
        <v>573</v>
      </c>
      <c r="Q336" s="67" t="s">
        <v>0</v>
      </c>
      <c r="R336" s="110" t="s">
        <v>519</v>
      </c>
      <c r="S336" s="166">
        <v>100</v>
      </c>
      <c r="T336" s="166" t="s">
        <v>0</v>
      </c>
      <c r="U336" s="67" t="s">
        <v>576</v>
      </c>
      <c r="V336" s="360">
        <v>100000</v>
      </c>
      <c r="W336" s="208">
        <v>13722.189730341457</v>
      </c>
      <c r="X336" s="165">
        <v>50</v>
      </c>
      <c r="Y336" s="195">
        <v>2</v>
      </c>
      <c r="Z336" s="208">
        <v>9.3310890166321912E-3</v>
      </c>
      <c r="AA336" s="264">
        <v>0.23327722541580478</v>
      </c>
      <c r="AB336" s="208">
        <v>4.6234379186016494E-4</v>
      </c>
      <c r="AC336" s="201">
        <v>26.733596982313383</v>
      </c>
      <c r="AD336" s="201">
        <v>8.2604852238675336E-2</v>
      </c>
      <c r="AE336" s="265">
        <v>4.7691933676368467E-2</v>
      </c>
      <c r="AF336" s="208">
        <v>12844.26353210271</v>
      </c>
      <c r="AG336" s="206">
        <v>321106.58830256778</v>
      </c>
      <c r="AH336" s="110"/>
      <c r="AI336" s="395" t="s">
        <v>633</v>
      </c>
    </row>
    <row r="337" spans="1:35" hidden="1" x14ac:dyDescent="0.3">
      <c r="A337" s="145">
        <v>45302</v>
      </c>
      <c r="B337" s="189">
        <v>336</v>
      </c>
      <c r="C337" s="34" t="s">
        <v>547</v>
      </c>
      <c r="D337" s="10" t="s">
        <v>552</v>
      </c>
      <c r="E337" s="2" t="s">
        <v>588</v>
      </c>
      <c r="F337" s="2" t="s">
        <v>584</v>
      </c>
      <c r="G337" s="2" t="s">
        <v>557</v>
      </c>
      <c r="H337" s="14" t="s">
        <v>333</v>
      </c>
      <c r="I337" s="2" t="s">
        <v>524</v>
      </c>
      <c r="J337" s="12" t="s">
        <v>551</v>
      </c>
      <c r="K337" s="2" t="s">
        <v>532</v>
      </c>
      <c r="L337" s="42" t="s">
        <v>608</v>
      </c>
      <c r="M337" s="42" t="s">
        <v>531</v>
      </c>
      <c r="N337" s="2" t="s">
        <v>532</v>
      </c>
      <c r="O337" s="2" t="s">
        <v>570</v>
      </c>
      <c r="P337" s="2" t="s">
        <v>574</v>
      </c>
      <c r="Q337" s="67" t="s">
        <v>0</v>
      </c>
      <c r="R337" s="110" t="s">
        <v>519</v>
      </c>
      <c r="S337" s="166">
        <v>100</v>
      </c>
      <c r="T337" s="166" t="s">
        <v>0</v>
      </c>
      <c r="U337" s="67" t="s">
        <v>576</v>
      </c>
      <c r="V337" s="360">
        <v>100000</v>
      </c>
      <c r="W337" s="208">
        <v>1140.7456400528106</v>
      </c>
      <c r="X337" s="165">
        <v>50</v>
      </c>
      <c r="Y337" s="195">
        <v>2</v>
      </c>
      <c r="Z337" s="208">
        <v>7.7570703523591124E-4</v>
      </c>
      <c r="AA337" s="264">
        <v>1.939267588089778E-2</v>
      </c>
      <c r="AB337" s="208">
        <v>2.2957897246661653E-5</v>
      </c>
      <c r="AC337" s="201">
        <v>30.926744940981354</v>
      </c>
      <c r="AD337" s="201">
        <v>5.0211420570994592E-2</v>
      </c>
      <c r="AE337" s="265">
        <v>2.8989577183057242E-2</v>
      </c>
      <c r="AF337" s="208">
        <v>1067.7623551245624</v>
      </c>
      <c r="AG337" s="206">
        <v>26694.058878114061</v>
      </c>
      <c r="AH337" s="110"/>
      <c r="AI337" s="395" t="s">
        <v>633</v>
      </c>
    </row>
    <row r="338" spans="1:35" hidden="1" x14ac:dyDescent="0.3">
      <c r="A338" s="145">
        <v>45302</v>
      </c>
      <c r="B338" s="189">
        <v>337</v>
      </c>
      <c r="C338" s="34" t="s">
        <v>547</v>
      </c>
      <c r="D338" s="10" t="s">
        <v>552</v>
      </c>
      <c r="E338" s="2" t="s">
        <v>588</v>
      </c>
      <c r="F338" s="2" t="s">
        <v>584</v>
      </c>
      <c r="G338" s="2" t="s">
        <v>557</v>
      </c>
      <c r="H338" s="14" t="s">
        <v>334</v>
      </c>
      <c r="I338" s="2" t="s">
        <v>524</v>
      </c>
      <c r="J338" s="12" t="s">
        <v>551</v>
      </c>
      <c r="K338" s="2" t="s">
        <v>532</v>
      </c>
      <c r="L338" s="42" t="s">
        <v>608</v>
      </c>
      <c r="M338" s="42" t="s">
        <v>531</v>
      </c>
      <c r="N338" s="2" t="s">
        <v>532</v>
      </c>
      <c r="O338" s="2" t="s">
        <v>570</v>
      </c>
      <c r="P338" s="2" t="s">
        <v>503</v>
      </c>
      <c r="Q338" s="67" t="s">
        <v>0</v>
      </c>
      <c r="R338" s="110" t="s">
        <v>519</v>
      </c>
      <c r="S338" s="166">
        <v>100</v>
      </c>
      <c r="T338" s="166" t="s">
        <v>0</v>
      </c>
      <c r="U338" s="67" t="s">
        <v>576</v>
      </c>
      <c r="V338" s="360">
        <v>100000</v>
      </c>
      <c r="W338" s="208">
        <v>3603.0810294037192</v>
      </c>
      <c r="X338" s="165">
        <v>50</v>
      </c>
      <c r="Y338" s="195">
        <v>2</v>
      </c>
      <c r="Z338" s="208">
        <v>2.4500950999945289E-3</v>
      </c>
      <c r="AA338" s="264">
        <v>6.1252377499863224E-2</v>
      </c>
      <c r="AB338" s="208">
        <v>1.4918963352074718E-4</v>
      </c>
      <c r="AC338" s="201">
        <v>28.9891310266032</v>
      </c>
      <c r="AD338" s="201">
        <v>0.10449893284081019</v>
      </c>
      <c r="AE338" s="265">
        <v>6.0332487005670392E-2</v>
      </c>
      <c r="AF338" s="208">
        <v>3372.5610255084043</v>
      </c>
      <c r="AG338" s="206">
        <v>84314.025637710103</v>
      </c>
      <c r="AH338" s="110"/>
      <c r="AI338" s="395" t="s">
        <v>633</v>
      </c>
    </row>
    <row r="339" spans="1:35" hidden="1" x14ac:dyDescent="0.3">
      <c r="A339" s="145">
        <v>45302</v>
      </c>
      <c r="B339" s="189">
        <v>338</v>
      </c>
      <c r="C339" s="34" t="s">
        <v>547</v>
      </c>
      <c r="D339" s="10" t="s">
        <v>552</v>
      </c>
      <c r="E339" s="2" t="s">
        <v>588</v>
      </c>
      <c r="F339" s="2" t="s">
        <v>584</v>
      </c>
      <c r="G339" s="2" t="s">
        <v>557</v>
      </c>
      <c r="H339" s="14" t="s">
        <v>335</v>
      </c>
      <c r="I339" s="2" t="s">
        <v>524</v>
      </c>
      <c r="J339" s="12" t="s">
        <v>551</v>
      </c>
      <c r="K339" s="2" t="s">
        <v>532</v>
      </c>
      <c r="L339" s="42" t="s">
        <v>608</v>
      </c>
      <c r="M339" s="42" t="s">
        <v>531</v>
      </c>
      <c r="N339" s="2" t="s">
        <v>532</v>
      </c>
      <c r="O339" s="2" t="s">
        <v>570</v>
      </c>
      <c r="P339" s="2" t="s">
        <v>575</v>
      </c>
      <c r="Q339" s="67" t="s">
        <v>0</v>
      </c>
      <c r="R339" s="110" t="s">
        <v>519</v>
      </c>
      <c r="S339" s="166">
        <v>100</v>
      </c>
      <c r="T339" s="166" t="s">
        <v>0</v>
      </c>
      <c r="U339" s="67" t="s">
        <v>576</v>
      </c>
      <c r="V339" s="360">
        <v>100000</v>
      </c>
      <c r="W339" s="208">
        <v>2151.9729289095203</v>
      </c>
      <c r="X339" s="165">
        <v>50</v>
      </c>
      <c r="Y339" s="195">
        <v>2</v>
      </c>
      <c r="Z339" s="208">
        <v>1.4633415916584739E-3</v>
      </c>
      <c r="AA339" s="264">
        <v>3.6583539791461846E-2</v>
      </c>
      <c r="AB339" s="208">
        <v>1.0656782009357894E-4</v>
      </c>
      <c r="AC339" s="201">
        <v>29.85907524736453</v>
      </c>
      <c r="AD339" s="201">
        <v>0.12430503310402261</v>
      </c>
      <c r="AE339" s="265">
        <v>7.1767544324232796E-2</v>
      </c>
      <c r="AF339" s="208">
        <v>2014.2927591030343</v>
      </c>
      <c r="AG339" s="206">
        <v>50357.318977575844</v>
      </c>
      <c r="AH339" s="110"/>
      <c r="AI339" s="395" t="s">
        <v>633</v>
      </c>
    </row>
    <row r="340" spans="1:35" hidden="1" x14ac:dyDescent="0.3">
      <c r="A340" s="145">
        <v>45302</v>
      </c>
      <c r="B340" s="188">
        <v>339</v>
      </c>
      <c r="C340" s="34" t="s">
        <v>547</v>
      </c>
      <c r="D340" s="10" t="s">
        <v>552</v>
      </c>
      <c r="E340" s="2" t="s">
        <v>588</v>
      </c>
      <c r="F340" s="2" t="s">
        <v>584</v>
      </c>
      <c r="G340" s="2" t="s">
        <v>557</v>
      </c>
      <c r="H340" s="14" t="s">
        <v>336</v>
      </c>
      <c r="I340" s="2" t="s">
        <v>517</v>
      </c>
      <c r="J340" s="9" t="s">
        <v>0</v>
      </c>
      <c r="K340" s="2" t="s">
        <v>531</v>
      </c>
      <c r="L340" s="42" t="s">
        <v>593</v>
      </c>
      <c r="M340" s="42" t="s">
        <v>531</v>
      </c>
      <c r="N340" s="2" t="s">
        <v>532</v>
      </c>
      <c r="O340" s="2" t="s">
        <v>570</v>
      </c>
      <c r="P340" s="2" t="s">
        <v>573</v>
      </c>
      <c r="Q340" s="67" t="s">
        <v>0</v>
      </c>
      <c r="R340" s="110" t="s">
        <v>519</v>
      </c>
      <c r="S340" s="166">
        <v>100</v>
      </c>
      <c r="T340" s="166" t="s">
        <v>0</v>
      </c>
      <c r="U340" s="67" t="s">
        <v>576</v>
      </c>
      <c r="V340" s="360">
        <v>100000</v>
      </c>
      <c r="W340" s="208">
        <v>1194.0333657469744</v>
      </c>
      <c r="X340" s="165">
        <v>50</v>
      </c>
      <c r="Y340" s="195">
        <v>2</v>
      </c>
      <c r="Z340" s="208">
        <v>8.1194268870794252E-4</v>
      </c>
      <c r="AA340" s="264">
        <v>2.0298567217698564E-2</v>
      </c>
      <c r="AB340" s="208">
        <v>3.5384448230041197E-5</v>
      </c>
      <c r="AC340" s="220">
        <v>30.850300000000001</v>
      </c>
      <c r="AD340" s="201">
        <v>7.3649999999999993E-2</v>
      </c>
      <c r="AE340" s="265">
        <v>4.2520000000000002E-2</v>
      </c>
      <c r="AF340" s="208">
        <v>1117.640807856407</v>
      </c>
      <c r="AG340" s="206">
        <v>27941.02019641018</v>
      </c>
      <c r="AH340" s="110"/>
      <c r="AI340" s="393"/>
    </row>
    <row r="341" spans="1:35" hidden="1" x14ac:dyDescent="0.3">
      <c r="A341" s="145">
        <v>45302</v>
      </c>
      <c r="B341" s="189">
        <v>340</v>
      </c>
      <c r="C341" s="34" t="s">
        <v>547</v>
      </c>
      <c r="D341" s="10" t="s">
        <v>552</v>
      </c>
      <c r="E341" s="2" t="s">
        <v>588</v>
      </c>
      <c r="F341" s="2" t="s">
        <v>584</v>
      </c>
      <c r="G341" s="2" t="s">
        <v>557</v>
      </c>
      <c r="H341" s="14" t="s">
        <v>337</v>
      </c>
      <c r="I341" s="2" t="s">
        <v>517</v>
      </c>
      <c r="J341" s="9" t="s">
        <v>0</v>
      </c>
      <c r="K341" s="2" t="s">
        <v>531</v>
      </c>
      <c r="L341" s="42" t="s">
        <v>593</v>
      </c>
      <c r="M341" s="42" t="s">
        <v>532</v>
      </c>
      <c r="N341" s="2" t="s">
        <v>532</v>
      </c>
      <c r="O341" s="2" t="s">
        <v>570</v>
      </c>
      <c r="P341" s="2" t="s">
        <v>573</v>
      </c>
      <c r="Q341" s="67" t="s">
        <v>0</v>
      </c>
      <c r="R341" s="110" t="s">
        <v>519</v>
      </c>
      <c r="S341" s="166">
        <v>100</v>
      </c>
      <c r="T341" s="166" t="s">
        <v>0</v>
      </c>
      <c r="U341" s="67" t="s">
        <v>576</v>
      </c>
      <c r="V341" s="360">
        <v>100000</v>
      </c>
      <c r="W341" s="208">
        <v>6379.7577847810826</v>
      </c>
      <c r="X341" s="165">
        <v>50</v>
      </c>
      <c r="Y341" s="195">
        <v>2</v>
      </c>
      <c r="Z341" s="208">
        <v>4.3382352936511357E-3</v>
      </c>
      <c r="AA341" s="264">
        <v>0.1084558823412784</v>
      </c>
      <c r="AB341" s="208">
        <v>4.8037442188563375E-5</v>
      </c>
      <c r="AC341" s="201">
        <v>28.023700000000002</v>
      </c>
      <c r="AD341" s="201">
        <v>1.8669999999999999E-2</v>
      </c>
      <c r="AE341" s="265">
        <v>1.078E-2</v>
      </c>
      <c r="AF341" s="208">
        <v>5971.5899480332419</v>
      </c>
      <c r="AG341" s="206">
        <v>149289.74870083106</v>
      </c>
      <c r="AH341" s="110"/>
      <c r="AI341" s="393"/>
    </row>
    <row r="342" spans="1:35" hidden="1" x14ac:dyDescent="0.3">
      <c r="A342" s="145">
        <v>45302</v>
      </c>
      <c r="B342" s="189">
        <v>341</v>
      </c>
      <c r="C342" s="34" t="s">
        <v>547</v>
      </c>
      <c r="D342" s="35" t="s">
        <v>596</v>
      </c>
      <c r="E342" s="2" t="s">
        <v>589</v>
      </c>
      <c r="F342" s="2" t="s">
        <v>585</v>
      </c>
      <c r="G342" s="2" t="s">
        <v>557</v>
      </c>
      <c r="H342" s="14" t="s">
        <v>338</v>
      </c>
      <c r="I342" s="2" t="s">
        <v>526</v>
      </c>
      <c r="J342" s="15" t="s">
        <v>550</v>
      </c>
      <c r="K342" s="2" t="s">
        <v>531</v>
      </c>
      <c r="L342" s="42" t="s">
        <v>535</v>
      </c>
      <c r="M342" s="42" t="s">
        <v>531</v>
      </c>
      <c r="N342" s="2" t="s">
        <v>532</v>
      </c>
      <c r="O342" s="2" t="s">
        <v>570</v>
      </c>
      <c r="P342" s="2" t="s">
        <v>573</v>
      </c>
      <c r="Q342" s="67" t="s">
        <v>0</v>
      </c>
      <c r="R342" s="110" t="s">
        <v>519</v>
      </c>
      <c r="S342" s="166">
        <v>100</v>
      </c>
      <c r="T342" s="166" t="s">
        <v>0</v>
      </c>
      <c r="U342" s="67" t="s">
        <v>0</v>
      </c>
      <c r="V342" s="165" t="s">
        <v>0</v>
      </c>
      <c r="W342" s="208">
        <v>42.982059971351482</v>
      </c>
      <c r="X342" s="165">
        <v>50</v>
      </c>
      <c r="Y342" s="195">
        <v>2</v>
      </c>
      <c r="Z342" s="208">
        <v>2.9227800780519009E-5</v>
      </c>
      <c r="AA342" s="264">
        <v>7.3069501951297518E-4</v>
      </c>
      <c r="AB342" s="208">
        <v>7.8485353085385123E-6</v>
      </c>
      <c r="AC342" s="201">
        <v>36.500419513181093</v>
      </c>
      <c r="AD342" s="201">
        <v>0.49605719252186881</v>
      </c>
      <c r="AE342" s="265">
        <v>0.28639875363595096</v>
      </c>
      <c r="AF342" s="208">
        <v>40.232128856517711</v>
      </c>
      <c r="AG342" s="206">
        <v>1005.8032214129425</v>
      </c>
      <c r="AH342" s="110">
        <v>2</v>
      </c>
      <c r="AI342" s="393" t="s">
        <v>610</v>
      </c>
    </row>
    <row r="343" spans="1:35" hidden="1" x14ac:dyDescent="0.3">
      <c r="A343" s="145">
        <v>45302</v>
      </c>
      <c r="B343" s="189">
        <v>342</v>
      </c>
      <c r="C343" s="34" t="s">
        <v>547</v>
      </c>
      <c r="D343" s="35" t="s">
        <v>596</v>
      </c>
      <c r="E343" s="2" t="s">
        <v>589</v>
      </c>
      <c r="F343" s="2" t="s">
        <v>585</v>
      </c>
      <c r="G343" s="2" t="s">
        <v>557</v>
      </c>
      <c r="H343" s="14" t="s">
        <v>339</v>
      </c>
      <c r="I343" s="2" t="s">
        <v>524</v>
      </c>
      <c r="J343" s="15" t="s">
        <v>550</v>
      </c>
      <c r="K343" s="2" t="s">
        <v>532</v>
      </c>
      <c r="L343" s="42" t="s">
        <v>608</v>
      </c>
      <c r="M343" s="42" t="s">
        <v>531</v>
      </c>
      <c r="N343" s="2" t="s">
        <v>532</v>
      </c>
      <c r="O343" s="2" t="s">
        <v>570</v>
      </c>
      <c r="P343" s="2" t="s">
        <v>573</v>
      </c>
      <c r="Q343" s="67" t="s">
        <v>0</v>
      </c>
      <c r="R343" s="110" t="s">
        <v>519</v>
      </c>
      <c r="S343" s="166">
        <v>100</v>
      </c>
      <c r="T343" s="166" t="s">
        <v>0</v>
      </c>
      <c r="U343" s="67" t="s">
        <v>576</v>
      </c>
      <c r="V343" s="360">
        <v>100000</v>
      </c>
      <c r="W343" s="208">
        <v>92057.075070083563</v>
      </c>
      <c r="X343" s="165">
        <v>50</v>
      </c>
      <c r="Y343" s="195">
        <v>2</v>
      </c>
      <c r="Z343" s="208">
        <v>6.2598811047656827E-2</v>
      </c>
      <c r="AA343" s="264">
        <v>1.5649702761914206</v>
      </c>
      <c r="AB343" s="208">
        <v>1.8398726720525371E-3</v>
      </c>
      <c r="AC343" s="201">
        <v>23.52332341205808</v>
      </c>
      <c r="AD343" s="201">
        <v>4.9993206634533112E-2</v>
      </c>
      <c r="AE343" s="265">
        <v>2.8863591308100279E-2</v>
      </c>
      <c r="AF343" s="208">
        <v>86167.394230111211</v>
      </c>
      <c r="AG343" s="206">
        <v>2154184.8557527801</v>
      </c>
      <c r="AH343" s="110"/>
      <c r="AI343" s="395" t="s">
        <v>633</v>
      </c>
    </row>
    <row r="344" spans="1:35" hidden="1" x14ac:dyDescent="0.3">
      <c r="A344" s="145">
        <v>45302</v>
      </c>
      <c r="B344" s="189">
        <v>343</v>
      </c>
      <c r="C344" s="34" t="s">
        <v>547</v>
      </c>
      <c r="D344" s="35" t="s">
        <v>596</v>
      </c>
      <c r="E344" s="2" t="s">
        <v>589</v>
      </c>
      <c r="F344" s="2" t="s">
        <v>585</v>
      </c>
      <c r="G344" s="2" t="s">
        <v>557</v>
      </c>
      <c r="H344" s="14" t="s">
        <v>340</v>
      </c>
      <c r="I344" s="2" t="s">
        <v>524</v>
      </c>
      <c r="J344" s="15" t="s">
        <v>550</v>
      </c>
      <c r="K344" s="2" t="s">
        <v>532</v>
      </c>
      <c r="L344" s="42" t="s">
        <v>608</v>
      </c>
      <c r="M344" s="42" t="s">
        <v>531</v>
      </c>
      <c r="N344" s="2" t="s">
        <v>532</v>
      </c>
      <c r="O344" s="2" t="s">
        <v>570</v>
      </c>
      <c r="P344" s="2" t="s">
        <v>574</v>
      </c>
      <c r="Q344" s="67" t="s">
        <v>0</v>
      </c>
      <c r="R344" s="110" t="s">
        <v>519</v>
      </c>
      <c r="S344" s="166">
        <v>100</v>
      </c>
      <c r="T344" s="166" t="s">
        <v>0</v>
      </c>
      <c r="U344" s="67" t="s">
        <v>576</v>
      </c>
      <c r="V344" s="360">
        <v>100000</v>
      </c>
      <c r="W344" s="208">
        <v>117102.53440824414</v>
      </c>
      <c r="X344" s="165">
        <v>50</v>
      </c>
      <c r="Y344" s="195">
        <v>2</v>
      </c>
      <c r="Z344" s="208">
        <v>7.9629723397606017E-2</v>
      </c>
      <c r="AA344" s="264">
        <v>1.9907430849401504</v>
      </c>
      <c r="AB344" s="208">
        <v>3.2709469465457648E-3</v>
      </c>
      <c r="AC344" s="201">
        <v>23.118027964897038</v>
      </c>
      <c r="AD344" s="201">
        <v>6.948619529454636E-2</v>
      </c>
      <c r="AE344" s="265">
        <v>4.0117873558269249E-2</v>
      </c>
      <c r="AF344" s="208">
        <v>109610.48067210958</v>
      </c>
      <c r="AG344" s="206">
        <v>2740262.0168027403</v>
      </c>
      <c r="AH344" s="110"/>
      <c r="AI344" s="395" t="s">
        <v>633</v>
      </c>
    </row>
    <row r="345" spans="1:35" hidden="1" x14ac:dyDescent="0.3">
      <c r="A345" s="145">
        <v>45302</v>
      </c>
      <c r="B345" s="189">
        <v>344</v>
      </c>
      <c r="C345" s="34" t="s">
        <v>547</v>
      </c>
      <c r="D345" s="35" t="s">
        <v>596</v>
      </c>
      <c r="E345" s="2" t="s">
        <v>589</v>
      </c>
      <c r="F345" s="2" t="s">
        <v>585</v>
      </c>
      <c r="G345" s="2" t="s">
        <v>557</v>
      </c>
      <c r="H345" s="14" t="s">
        <v>341</v>
      </c>
      <c r="I345" s="2" t="s">
        <v>524</v>
      </c>
      <c r="J345" s="15" t="s">
        <v>550</v>
      </c>
      <c r="K345" s="2" t="s">
        <v>532</v>
      </c>
      <c r="L345" s="42" t="s">
        <v>608</v>
      </c>
      <c r="M345" s="42" t="s">
        <v>531</v>
      </c>
      <c r="N345" s="2" t="s">
        <v>532</v>
      </c>
      <c r="O345" s="2" t="s">
        <v>570</v>
      </c>
      <c r="P345" s="2" t="s">
        <v>503</v>
      </c>
      <c r="Q345" s="67" t="s">
        <v>0</v>
      </c>
      <c r="R345" s="110" t="s">
        <v>519</v>
      </c>
      <c r="S345" s="166">
        <v>100</v>
      </c>
      <c r="T345" s="166" t="s">
        <v>0</v>
      </c>
      <c r="U345" s="67" t="s">
        <v>576</v>
      </c>
      <c r="V345" s="360">
        <v>100000</v>
      </c>
      <c r="W345" s="208">
        <v>77932.613961440162</v>
      </c>
      <c r="X345" s="165">
        <v>50</v>
      </c>
      <c r="Y345" s="195">
        <v>2</v>
      </c>
      <c r="Z345" s="208">
        <v>5.2994177493779313E-2</v>
      </c>
      <c r="AA345" s="264">
        <v>1.3248544373444828</v>
      </c>
      <c r="AB345" s="208">
        <v>6.5324892069644816E-4</v>
      </c>
      <c r="AC345" s="201">
        <v>23.803769398726331</v>
      </c>
      <c r="AD345" s="201">
        <v>2.0750272912706393E-2</v>
      </c>
      <c r="AE345" s="265">
        <v>1.1980175651909238E-2</v>
      </c>
      <c r="AF345" s="208">
        <v>72946.596070819403</v>
      </c>
      <c r="AG345" s="206">
        <v>1823664.9017704851</v>
      </c>
      <c r="AH345" s="110"/>
      <c r="AI345" s="395" t="s">
        <v>633</v>
      </c>
    </row>
    <row r="346" spans="1:35" hidden="1" x14ac:dyDescent="0.3">
      <c r="A346" s="145">
        <v>45302</v>
      </c>
      <c r="B346" s="189">
        <v>345</v>
      </c>
      <c r="C346" s="34" t="s">
        <v>547</v>
      </c>
      <c r="D346" s="35" t="s">
        <v>596</v>
      </c>
      <c r="E346" s="2" t="s">
        <v>589</v>
      </c>
      <c r="F346" s="2" t="s">
        <v>585</v>
      </c>
      <c r="G346" s="2" t="s">
        <v>557</v>
      </c>
      <c r="H346" s="14" t="s">
        <v>342</v>
      </c>
      <c r="I346" s="2" t="s">
        <v>524</v>
      </c>
      <c r="J346" s="15" t="s">
        <v>550</v>
      </c>
      <c r="K346" s="2" t="s">
        <v>532</v>
      </c>
      <c r="L346" s="42" t="s">
        <v>608</v>
      </c>
      <c r="M346" s="42" t="s">
        <v>531</v>
      </c>
      <c r="N346" s="2" t="s">
        <v>532</v>
      </c>
      <c r="O346" s="2" t="s">
        <v>570</v>
      </c>
      <c r="P346" s="2" t="s">
        <v>575</v>
      </c>
      <c r="Q346" s="67" t="s">
        <v>0</v>
      </c>
      <c r="R346" s="110" t="s">
        <v>519</v>
      </c>
      <c r="S346" s="166">
        <v>100</v>
      </c>
      <c r="T346" s="166" t="s">
        <v>0</v>
      </c>
      <c r="U346" s="67" t="s">
        <v>576</v>
      </c>
      <c r="V346" s="360">
        <v>100000</v>
      </c>
      <c r="W346" s="208">
        <v>69495.626002947669</v>
      </c>
      <c r="X346" s="165">
        <v>50</v>
      </c>
      <c r="Y346" s="195">
        <v>2</v>
      </c>
      <c r="Z346" s="208">
        <v>4.7257025682004412E-2</v>
      </c>
      <c r="AA346" s="264">
        <v>1.1814256420501104</v>
      </c>
      <c r="AB346" s="208">
        <v>1.5132870645470332E-3</v>
      </c>
      <c r="AC346" s="201">
        <v>23.997455474320105</v>
      </c>
      <c r="AD346" s="201">
        <v>5.3632415697913279E-2</v>
      </c>
      <c r="AE346" s="265">
        <v>3.0964689640480145E-2</v>
      </c>
      <c r="AF346" s="208">
        <v>65049.394612043296</v>
      </c>
      <c r="AG346" s="206">
        <v>1626234.8653010826</v>
      </c>
      <c r="AH346" s="110"/>
      <c r="AI346" s="395" t="s">
        <v>633</v>
      </c>
    </row>
    <row r="347" spans="1:35" hidden="1" x14ac:dyDescent="0.3">
      <c r="A347" s="145">
        <v>45302</v>
      </c>
      <c r="B347" s="189">
        <v>346</v>
      </c>
      <c r="C347" s="34" t="s">
        <v>547</v>
      </c>
      <c r="D347" s="35" t="s">
        <v>596</v>
      </c>
      <c r="E347" s="2" t="s">
        <v>589</v>
      </c>
      <c r="F347" s="2" t="s">
        <v>585</v>
      </c>
      <c r="G347" s="2" t="s">
        <v>557</v>
      </c>
      <c r="H347" s="14" t="s">
        <v>343</v>
      </c>
      <c r="I347" s="110" t="s">
        <v>526</v>
      </c>
      <c r="J347" s="12" t="s">
        <v>551</v>
      </c>
      <c r="K347" s="2" t="s">
        <v>531</v>
      </c>
      <c r="L347" s="42" t="s">
        <v>535</v>
      </c>
      <c r="M347" s="42" t="s">
        <v>531</v>
      </c>
      <c r="N347" s="2" t="s">
        <v>532</v>
      </c>
      <c r="O347" s="2" t="s">
        <v>570</v>
      </c>
      <c r="P347" s="2" t="s">
        <v>573</v>
      </c>
      <c r="Q347" s="67" t="s">
        <v>0</v>
      </c>
      <c r="R347" s="110" t="s">
        <v>519</v>
      </c>
      <c r="S347" s="166">
        <v>100</v>
      </c>
      <c r="T347" s="166" t="s">
        <v>0</v>
      </c>
      <c r="U347" s="67" t="s">
        <v>0</v>
      </c>
      <c r="V347" s="165" t="s">
        <v>0</v>
      </c>
      <c r="W347" s="208">
        <v>47.340942278826297</v>
      </c>
      <c r="X347" s="165">
        <v>50</v>
      </c>
      <c r="Y347" s="195">
        <v>2</v>
      </c>
      <c r="Z347" s="208">
        <v>3.219184074960188E-5</v>
      </c>
      <c r="AA347" s="264">
        <v>8.0479601874004704E-4</v>
      </c>
      <c r="AB347" s="208">
        <v>2.2181825336207919E-5</v>
      </c>
      <c r="AC347" s="201">
        <v>36.5334</v>
      </c>
      <c r="AD347" s="201">
        <v>1.06572</v>
      </c>
      <c r="AE347" s="265">
        <v>0.61529</v>
      </c>
      <c r="AF347" s="208">
        <v>44.312136068401173</v>
      </c>
      <c r="AG347" s="206">
        <v>1107.8034017100294</v>
      </c>
      <c r="AH347" s="110">
        <v>2</v>
      </c>
      <c r="AI347" s="393" t="s">
        <v>611</v>
      </c>
    </row>
    <row r="348" spans="1:35" hidden="1" x14ac:dyDescent="0.3">
      <c r="A348" s="145">
        <v>45302</v>
      </c>
      <c r="B348" s="189">
        <v>347</v>
      </c>
      <c r="C348" s="34" t="s">
        <v>547</v>
      </c>
      <c r="D348" s="35" t="s">
        <v>596</v>
      </c>
      <c r="E348" s="2" t="s">
        <v>589</v>
      </c>
      <c r="F348" s="2" t="s">
        <v>585</v>
      </c>
      <c r="G348" s="2" t="s">
        <v>557</v>
      </c>
      <c r="H348" s="14" t="s">
        <v>344</v>
      </c>
      <c r="I348" s="2" t="s">
        <v>524</v>
      </c>
      <c r="J348" s="12" t="s">
        <v>551</v>
      </c>
      <c r="K348" s="2" t="s">
        <v>532</v>
      </c>
      <c r="L348" s="42" t="s">
        <v>608</v>
      </c>
      <c r="M348" s="42" t="s">
        <v>531</v>
      </c>
      <c r="N348" s="2" t="s">
        <v>532</v>
      </c>
      <c r="O348" s="2" t="s">
        <v>570</v>
      </c>
      <c r="P348" s="2" t="s">
        <v>573</v>
      </c>
      <c r="Q348" s="67" t="s">
        <v>0</v>
      </c>
      <c r="R348" s="110" t="s">
        <v>519</v>
      </c>
      <c r="S348" s="166">
        <v>100</v>
      </c>
      <c r="T348" s="166" t="s">
        <v>0</v>
      </c>
      <c r="U348" s="67" t="s">
        <v>576</v>
      </c>
      <c r="V348" s="360">
        <v>100000</v>
      </c>
      <c r="W348" s="208">
        <v>212431.44114068363</v>
      </c>
      <c r="X348" s="165">
        <v>50</v>
      </c>
      <c r="Y348" s="195">
        <v>2</v>
      </c>
      <c r="Z348" s="208">
        <v>0.14445337997566488</v>
      </c>
      <c r="AA348" s="264">
        <v>3.6113344993916217</v>
      </c>
      <c r="AB348" s="208">
        <v>2.280882089082129E-3</v>
      </c>
      <c r="AC348" s="201">
        <v>22.112997503419489</v>
      </c>
      <c r="AD348" s="201">
        <v>2.665263994537662E-2</v>
      </c>
      <c r="AE348" s="265">
        <v>1.5387908847077365E-2</v>
      </c>
      <c r="AF348" s="208">
        <v>198840.37942444414</v>
      </c>
      <c r="AG348" s="206">
        <v>4971009.4856111035</v>
      </c>
      <c r="AH348" s="110"/>
      <c r="AI348" s="395" t="s">
        <v>633</v>
      </c>
    </row>
    <row r="349" spans="1:35" hidden="1" x14ac:dyDescent="0.3">
      <c r="A349" s="145">
        <v>45302</v>
      </c>
      <c r="B349" s="189">
        <v>348</v>
      </c>
      <c r="C349" s="34" t="s">
        <v>547</v>
      </c>
      <c r="D349" s="35" t="s">
        <v>596</v>
      </c>
      <c r="E349" s="2" t="s">
        <v>589</v>
      </c>
      <c r="F349" s="2" t="s">
        <v>585</v>
      </c>
      <c r="G349" s="2" t="s">
        <v>557</v>
      </c>
      <c r="H349" s="14" t="s">
        <v>345</v>
      </c>
      <c r="I349" s="2" t="s">
        <v>524</v>
      </c>
      <c r="J349" s="12" t="s">
        <v>551</v>
      </c>
      <c r="K349" s="2" t="s">
        <v>532</v>
      </c>
      <c r="L349" s="42" t="s">
        <v>608</v>
      </c>
      <c r="M349" s="42" t="s">
        <v>531</v>
      </c>
      <c r="N349" s="2" t="s">
        <v>532</v>
      </c>
      <c r="O349" s="2" t="s">
        <v>570</v>
      </c>
      <c r="P349" s="2" t="s">
        <v>574</v>
      </c>
      <c r="Q349" s="67" t="s">
        <v>0</v>
      </c>
      <c r="R349" s="110" t="s">
        <v>519</v>
      </c>
      <c r="S349" s="166">
        <v>100</v>
      </c>
      <c r="T349" s="166" t="s">
        <v>0</v>
      </c>
      <c r="U349" s="67" t="s">
        <v>576</v>
      </c>
      <c r="V349" s="360">
        <v>100000</v>
      </c>
      <c r="W349" s="208">
        <v>228603.19520964389</v>
      </c>
      <c r="X349" s="165">
        <v>50</v>
      </c>
      <c r="Y349" s="195">
        <v>2</v>
      </c>
      <c r="Z349" s="208">
        <v>0.15545017274255785</v>
      </c>
      <c r="AA349" s="264">
        <v>3.886254318563946</v>
      </c>
      <c r="AB349" s="208">
        <v>1.465124463318495E-2</v>
      </c>
      <c r="AC349" s="201">
        <v>21.994217238639298</v>
      </c>
      <c r="AD349" s="201">
        <v>0.16075849918181492</v>
      </c>
      <c r="AE349" s="265">
        <v>9.2813962777141087E-2</v>
      </c>
      <c r="AF349" s="208">
        <v>213977.48764987537</v>
      </c>
      <c r="AG349" s="206">
        <v>5349437.1912468849</v>
      </c>
      <c r="AH349" s="110"/>
      <c r="AI349" s="395" t="s">
        <v>633</v>
      </c>
    </row>
    <row r="350" spans="1:35" hidden="1" x14ac:dyDescent="0.3">
      <c r="A350" s="145">
        <v>45302</v>
      </c>
      <c r="B350" s="189">
        <v>349</v>
      </c>
      <c r="C350" s="34" t="s">
        <v>547</v>
      </c>
      <c r="D350" s="35" t="s">
        <v>596</v>
      </c>
      <c r="E350" s="2" t="s">
        <v>589</v>
      </c>
      <c r="F350" s="2" t="s">
        <v>585</v>
      </c>
      <c r="G350" s="2" t="s">
        <v>557</v>
      </c>
      <c r="H350" s="14" t="s">
        <v>346</v>
      </c>
      <c r="I350" s="2" t="s">
        <v>524</v>
      </c>
      <c r="J350" s="12" t="s">
        <v>551</v>
      </c>
      <c r="K350" s="2" t="s">
        <v>532</v>
      </c>
      <c r="L350" s="42" t="s">
        <v>608</v>
      </c>
      <c r="M350" s="42" t="s">
        <v>531</v>
      </c>
      <c r="N350" s="2" t="s">
        <v>532</v>
      </c>
      <c r="O350" s="2" t="s">
        <v>570</v>
      </c>
      <c r="P350" s="2" t="s">
        <v>503</v>
      </c>
      <c r="Q350" s="67" t="s">
        <v>0</v>
      </c>
      <c r="R350" s="110" t="s">
        <v>519</v>
      </c>
      <c r="S350" s="166">
        <v>100</v>
      </c>
      <c r="T350" s="166" t="s">
        <v>0</v>
      </c>
      <c r="U350" s="67" t="s">
        <v>576</v>
      </c>
      <c r="V350" s="360">
        <v>100000</v>
      </c>
      <c r="W350" s="208">
        <v>379286.61969470448</v>
      </c>
      <c r="X350" s="165">
        <v>50</v>
      </c>
      <c r="Y350" s="195">
        <v>2</v>
      </c>
      <c r="Z350" s="208">
        <v>0.25791490139239903</v>
      </c>
      <c r="AA350" s="264">
        <v>6.4478725348099761</v>
      </c>
      <c r="AB350" s="208">
        <v>7.6943360482950229E-3</v>
      </c>
      <c r="AC350" s="201">
        <v>21.135943225548175</v>
      </c>
      <c r="AD350" s="201">
        <v>5.0322247589469724E-2</v>
      </c>
      <c r="AE350" s="265">
        <v>2.9053563192007342E-2</v>
      </c>
      <c r="AF350" s="208">
        <v>355020.40077374573</v>
      </c>
      <c r="AG350" s="206">
        <v>8875510.0193436444</v>
      </c>
      <c r="AH350" s="110"/>
      <c r="AI350" s="395" t="s">
        <v>633</v>
      </c>
    </row>
    <row r="351" spans="1:35" hidden="1" x14ac:dyDescent="0.3">
      <c r="A351" s="145">
        <v>45302</v>
      </c>
      <c r="B351" s="189">
        <v>350</v>
      </c>
      <c r="C351" s="34" t="s">
        <v>547</v>
      </c>
      <c r="D351" s="35" t="s">
        <v>596</v>
      </c>
      <c r="E351" s="2" t="s">
        <v>589</v>
      </c>
      <c r="F351" s="2" t="s">
        <v>585</v>
      </c>
      <c r="G351" s="2" t="s">
        <v>557</v>
      </c>
      <c r="H351" s="14" t="s">
        <v>347</v>
      </c>
      <c r="I351" s="2" t="s">
        <v>524</v>
      </c>
      <c r="J351" s="12" t="s">
        <v>551</v>
      </c>
      <c r="K351" s="2" t="s">
        <v>532</v>
      </c>
      <c r="L351" s="42" t="s">
        <v>608</v>
      </c>
      <c r="M351" s="42" t="s">
        <v>531</v>
      </c>
      <c r="N351" s="2" t="s">
        <v>532</v>
      </c>
      <c r="O351" s="2" t="s">
        <v>570</v>
      </c>
      <c r="P351" s="2" t="s">
        <v>575</v>
      </c>
      <c r="Q351" s="67" t="s">
        <v>0</v>
      </c>
      <c r="R351" s="110" t="s">
        <v>519</v>
      </c>
      <c r="S351" s="166">
        <v>100</v>
      </c>
      <c r="T351" s="166" t="s">
        <v>0</v>
      </c>
      <c r="U351" s="67" t="s">
        <v>576</v>
      </c>
      <c r="V351" s="360">
        <v>100000</v>
      </c>
      <c r="W351" s="208">
        <v>492623.2068735807</v>
      </c>
      <c r="X351" s="165">
        <v>50</v>
      </c>
      <c r="Y351" s="195">
        <v>2</v>
      </c>
      <c r="Z351" s="208">
        <v>0.33498378067403484</v>
      </c>
      <c r="AA351" s="264">
        <v>8.3745945168508715</v>
      </c>
      <c r="AB351" s="208">
        <v>1.5897073077421619E-2</v>
      </c>
      <c r="AC351" s="217">
        <v>20.695885530745919</v>
      </c>
      <c r="AD351" s="217">
        <v>8.1175108741380383E-2</v>
      </c>
      <c r="AE351" s="202">
        <v>4.6866470883333108E-2</v>
      </c>
      <c r="AF351" s="208">
        <v>461105.87416840601</v>
      </c>
      <c r="AG351" s="206">
        <v>11527646.854210149</v>
      </c>
      <c r="AH351" s="110"/>
      <c r="AI351" s="395" t="s">
        <v>633</v>
      </c>
    </row>
    <row r="352" spans="1:35" hidden="1" x14ac:dyDescent="0.3">
      <c r="A352" s="145">
        <v>45302</v>
      </c>
      <c r="B352" s="189">
        <v>351</v>
      </c>
      <c r="C352" s="34" t="s">
        <v>547</v>
      </c>
      <c r="D352" s="35" t="s">
        <v>596</v>
      </c>
      <c r="E352" s="2" t="s">
        <v>589</v>
      </c>
      <c r="F352" s="2" t="s">
        <v>585</v>
      </c>
      <c r="G352" s="2" t="s">
        <v>557</v>
      </c>
      <c r="H352" s="14" t="s">
        <v>348</v>
      </c>
      <c r="I352" s="2" t="s">
        <v>517</v>
      </c>
      <c r="J352" s="9" t="s">
        <v>0</v>
      </c>
      <c r="K352" s="2" t="s">
        <v>531</v>
      </c>
      <c r="L352" s="42" t="s">
        <v>593</v>
      </c>
      <c r="M352" s="42" t="s">
        <v>531</v>
      </c>
      <c r="N352" s="2" t="s">
        <v>532</v>
      </c>
      <c r="O352" s="2" t="s">
        <v>570</v>
      </c>
      <c r="P352" s="2" t="s">
        <v>573</v>
      </c>
      <c r="Q352" s="67" t="s">
        <v>0</v>
      </c>
      <c r="R352" s="110" t="s">
        <v>519</v>
      </c>
      <c r="S352" s="166">
        <v>100</v>
      </c>
      <c r="T352" s="166" t="s">
        <v>0</v>
      </c>
      <c r="U352" s="67" t="s">
        <v>576</v>
      </c>
      <c r="V352" s="360">
        <v>100000</v>
      </c>
      <c r="W352" s="208">
        <v>579773.62872448168</v>
      </c>
      <c r="X352" s="165">
        <v>50</v>
      </c>
      <c r="Y352" s="195">
        <v>2</v>
      </c>
      <c r="Z352" s="208">
        <v>0.39424606753264757</v>
      </c>
      <c r="AA352" s="264">
        <v>9.8561516883161886</v>
      </c>
      <c r="AB352" s="208">
        <v>2.1053672294749113E-2</v>
      </c>
      <c r="AC352" s="237">
        <v>20.421600000000002</v>
      </c>
      <c r="AD352" s="208">
        <v>9.1270000000000004E-2</v>
      </c>
      <c r="AE352" s="270">
        <v>5.2699999999999997E-2</v>
      </c>
      <c r="AF352" s="208">
        <v>542680.53587941569</v>
      </c>
      <c r="AG352" s="206">
        <v>13567013.396985389</v>
      </c>
      <c r="AH352" s="110"/>
      <c r="AI352" s="393"/>
    </row>
    <row r="353" spans="1:35" ht="16.2" hidden="1" thickBot="1" x14ac:dyDescent="0.35">
      <c r="A353" s="145">
        <v>45302</v>
      </c>
      <c r="B353" s="190">
        <v>352</v>
      </c>
      <c r="C353" s="34" t="s">
        <v>547</v>
      </c>
      <c r="D353" s="35" t="s">
        <v>596</v>
      </c>
      <c r="E353" s="2" t="s">
        <v>589</v>
      </c>
      <c r="F353" s="2" t="s">
        <v>585</v>
      </c>
      <c r="G353" s="2" t="s">
        <v>557</v>
      </c>
      <c r="H353" s="14" t="s">
        <v>349</v>
      </c>
      <c r="I353" s="107" t="s">
        <v>517</v>
      </c>
      <c r="J353" s="40" t="s">
        <v>0</v>
      </c>
      <c r="K353" s="2" t="s">
        <v>531</v>
      </c>
      <c r="L353" s="42" t="s">
        <v>593</v>
      </c>
      <c r="M353" s="42" t="s">
        <v>532</v>
      </c>
      <c r="N353" s="2" t="s">
        <v>532</v>
      </c>
      <c r="O353" s="2" t="s">
        <v>570</v>
      </c>
      <c r="P353" s="2" t="s">
        <v>573</v>
      </c>
      <c r="Q353" s="118" t="s">
        <v>0</v>
      </c>
      <c r="R353" s="111" t="s">
        <v>519</v>
      </c>
      <c r="S353" s="166">
        <v>100</v>
      </c>
      <c r="T353" s="166" t="s">
        <v>0</v>
      </c>
      <c r="U353" s="67" t="s">
        <v>576</v>
      </c>
      <c r="V353" s="363">
        <v>100000</v>
      </c>
      <c r="W353" s="211">
        <v>140112.88793261888</v>
      </c>
      <c r="X353" s="169">
        <v>50</v>
      </c>
      <c r="Y353" s="205">
        <v>2</v>
      </c>
      <c r="Z353" s="211">
        <v>9.5276763794180847E-2</v>
      </c>
      <c r="AA353" s="262">
        <v>2.381919094854521</v>
      </c>
      <c r="AB353" s="211">
        <v>3.3932681150335964E-3</v>
      </c>
      <c r="AC353" s="236">
        <v>22.815300000000001</v>
      </c>
      <c r="AD353" s="211">
        <v>5.9740000000000001E-2</v>
      </c>
      <c r="AE353" s="285">
        <v>3.449E-2</v>
      </c>
      <c r="AF353" s="211">
        <v>131148.66447818375</v>
      </c>
      <c r="AG353" s="248">
        <v>3278716.611954594</v>
      </c>
      <c r="AH353" s="111"/>
      <c r="AI353" s="408"/>
    </row>
    <row r="354" spans="1:35" hidden="1" x14ac:dyDescent="0.3">
      <c r="A354" s="149">
        <v>45307</v>
      </c>
      <c r="B354" s="188">
        <v>353</v>
      </c>
      <c r="C354" s="27" t="s">
        <v>544</v>
      </c>
      <c r="D354" s="20" t="s">
        <v>552</v>
      </c>
      <c r="E354" s="17" t="s">
        <v>588</v>
      </c>
      <c r="F354" s="17" t="s">
        <v>584</v>
      </c>
      <c r="G354" s="43" t="s">
        <v>558</v>
      </c>
      <c r="H354" s="334" t="s">
        <v>350</v>
      </c>
      <c r="I354" s="44" t="s">
        <v>527</v>
      </c>
      <c r="J354" s="45" t="s">
        <v>550</v>
      </c>
      <c r="K354" s="17" t="s">
        <v>532</v>
      </c>
      <c r="L354" s="17" t="s">
        <v>608</v>
      </c>
      <c r="M354" s="17" t="s">
        <v>531</v>
      </c>
      <c r="N354" s="17" t="s">
        <v>531</v>
      </c>
      <c r="O354" s="17" t="s">
        <v>514</v>
      </c>
      <c r="P354" s="43" t="s">
        <v>573</v>
      </c>
      <c r="Q354" s="1" t="s">
        <v>496</v>
      </c>
      <c r="R354" s="117" t="s">
        <v>519</v>
      </c>
      <c r="S354" s="181">
        <v>100</v>
      </c>
      <c r="T354" s="181">
        <v>25</v>
      </c>
      <c r="U354" s="18" t="s">
        <v>0</v>
      </c>
      <c r="V354" s="164" t="s">
        <v>0</v>
      </c>
      <c r="W354" s="209">
        <v>23284.656842500732</v>
      </c>
      <c r="X354" s="164">
        <v>50</v>
      </c>
      <c r="Y354" s="194">
        <v>2</v>
      </c>
      <c r="Z354" s="209">
        <v>1.5833566652900498E-2</v>
      </c>
      <c r="AA354" s="279">
        <v>0.39583916632251243</v>
      </c>
      <c r="AB354" s="209">
        <v>1.4723282025488357E-3</v>
      </c>
      <c r="AC354" s="235">
        <v>24.584399999999999</v>
      </c>
      <c r="AD354" s="209">
        <v>0.15673000000000001</v>
      </c>
      <c r="AE354" s="279">
        <v>9.0490000000000001E-2</v>
      </c>
      <c r="AF354" s="209">
        <v>21794.93758772099</v>
      </c>
      <c r="AG354" s="206">
        <v>544873.43969302473</v>
      </c>
      <c r="AH354" s="117"/>
      <c r="AI354" s="404"/>
    </row>
    <row r="355" spans="1:35" hidden="1" x14ac:dyDescent="0.3">
      <c r="A355" s="145">
        <v>45307</v>
      </c>
      <c r="B355" s="189">
        <v>354</v>
      </c>
      <c r="C355" s="8" t="s">
        <v>544</v>
      </c>
      <c r="D355" s="10" t="s">
        <v>552</v>
      </c>
      <c r="E355" s="2" t="s">
        <v>588</v>
      </c>
      <c r="F355" s="2" t="s">
        <v>584</v>
      </c>
      <c r="G355" s="2" t="s">
        <v>558</v>
      </c>
      <c r="H355" s="14" t="s">
        <v>351</v>
      </c>
      <c r="I355" s="2" t="s">
        <v>527</v>
      </c>
      <c r="J355" s="15" t="s">
        <v>550</v>
      </c>
      <c r="K355" s="2" t="s">
        <v>532</v>
      </c>
      <c r="L355" s="2" t="s">
        <v>608</v>
      </c>
      <c r="M355" s="2" t="s">
        <v>531</v>
      </c>
      <c r="N355" s="2" t="s">
        <v>531</v>
      </c>
      <c r="O355" s="2" t="s">
        <v>514</v>
      </c>
      <c r="P355" s="2" t="s">
        <v>573</v>
      </c>
      <c r="Q355" s="67" t="s">
        <v>497</v>
      </c>
      <c r="R355" s="110" t="s">
        <v>519</v>
      </c>
      <c r="S355" s="166">
        <v>100</v>
      </c>
      <c r="T355" s="166">
        <v>25</v>
      </c>
      <c r="U355" s="67" t="s">
        <v>0</v>
      </c>
      <c r="V355" s="165" t="s">
        <v>0</v>
      </c>
      <c r="W355" s="208">
        <v>1162.0838935140046</v>
      </c>
      <c r="X355" s="165">
        <v>50</v>
      </c>
      <c r="Y355" s="195">
        <v>2</v>
      </c>
      <c r="Z355" s="208">
        <v>7.9021704758952321E-4</v>
      </c>
      <c r="AA355" s="270">
        <v>1.9755426189738079E-2</v>
      </c>
      <c r="AB355" s="208">
        <v>9.1813628288198008E-5</v>
      </c>
      <c r="AC355" s="216">
        <v>29.747900000000001</v>
      </c>
      <c r="AD355" s="208">
        <v>0.19417000000000001</v>
      </c>
      <c r="AE355" s="270">
        <v>0.11210000000000001</v>
      </c>
      <c r="AF355" s="208">
        <v>1087.7354174532643</v>
      </c>
      <c r="AG355" s="206">
        <v>27193.385436331602</v>
      </c>
      <c r="AH355" s="110"/>
      <c r="AI355" s="393"/>
    </row>
    <row r="356" spans="1:35" hidden="1" x14ac:dyDescent="0.3">
      <c r="A356" s="145">
        <v>45307</v>
      </c>
      <c r="B356" s="189">
        <v>355</v>
      </c>
      <c r="C356" s="8" t="s">
        <v>544</v>
      </c>
      <c r="D356" s="10" t="s">
        <v>552</v>
      </c>
      <c r="E356" s="2" t="s">
        <v>588</v>
      </c>
      <c r="F356" s="2" t="s">
        <v>584</v>
      </c>
      <c r="G356" s="2" t="s">
        <v>558</v>
      </c>
      <c r="H356" s="14" t="s">
        <v>352</v>
      </c>
      <c r="I356" s="2" t="s">
        <v>527</v>
      </c>
      <c r="J356" s="15" t="s">
        <v>550</v>
      </c>
      <c r="K356" s="2" t="s">
        <v>532</v>
      </c>
      <c r="L356" s="2" t="s">
        <v>608</v>
      </c>
      <c r="M356" s="2" t="s">
        <v>531</v>
      </c>
      <c r="N356" s="2" t="s">
        <v>531</v>
      </c>
      <c r="O356" s="2" t="s">
        <v>514</v>
      </c>
      <c r="P356" s="2" t="s">
        <v>573</v>
      </c>
      <c r="Q356" s="67" t="s">
        <v>498</v>
      </c>
      <c r="R356" s="110" t="s">
        <v>519</v>
      </c>
      <c r="S356" s="166">
        <v>100</v>
      </c>
      <c r="T356" s="166">
        <v>25</v>
      </c>
      <c r="U356" s="67" t="s">
        <v>0</v>
      </c>
      <c r="V356" s="165" t="s">
        <v>0</v>
      </c>
      <c r="W356" s="208">
        <v>872.49430535614749</v>
      </c>
      <c r="X356" s="165">
        <v>50</v>
      </c>
      <c r="Y356" s="195">
        <v>2</v>
      </c>
      <c r="Z356" s="208">
        <v>5.9329612764218024E-4</v>
      </c>
      <c r="AA356" s="264">
        <v>1.4832403191054506E-2</v>
      </c>
      <c r="AB356" s="208">
        <v>4.0721525780022519E-5</v>
      </c>
      <c r="AC356" s="216">
        <v>30.236699999999999</v>
      </c>
      <c r="AD356" s="208">
        <v>0.12001000000000001</v>
      </c>
      <c r="AE356" s="270">
        <v>6.9290000000000004E-2</v>
      </c>
      <c r="AF356" s="208">
        <v>816.67335960777382</v>
      </c>
      <c r="AG356" s="206">
        <v>20416.833990194347</v>
      </c>
      <c r="AH356" s="110"/>
      <c r="AI356" s="393"/>
    </row>
    <row r="357" spans="1:35" hidden="1" x14ac:dyDescent="0.3">
      <c r="A357" s="145">
        <v>45307</v>
      </c>
      <c r="B357" s="189">
        <v>356</v>
      </c>
      <c r="C357" s="8" t="s">
        <v>544</v>
      </c>
      <c r="D357" s="10" t="s">
        <v>552</v>
      </c>
      <c r="E357" s="2" t="s">
        <v>588</v>
      </c>
      <c r="F357" s="2" t="s">
        <v>584</v>
      </c>
      <c r="G357" s="2" t="s">
        <v>558</v>
      </c>
      <c r="H357" s="14" t="s">
        <v>353</v>
      </c>
      <c r="I357" s="2" t="s">
        <v>527</v>
      </c>
      <c r="J357" s="12" t="s">
        <v>551</v>
      </c>
      <c r="K357" s="2" t="s">
        <v>532</v>
      </c>
      <c r="L357" s="2" t="s">
        <v>608</v>
      </c>
      <c r="M357" s="2" t="s">
        <v>531</v>
      </c>
      <c r="N357" s="2" t="s">
        <v>531</v>
      </c>
      <c r="O357" s="2" t="s">
        <v>514</v>
      </c>
      <c r="P357" s="2" t="s">
        <v>573</v>
      </c>
      <c r="Q357" s="67" t="s">
        <v>496</v>
      </c>
      <c r="R357" s="110" t="s">
        <v>519</v>
      </c>
      <c r="S357" s="166">
        <v>100</v>
      </c>
      <c r="T357" s="166">
        <v>25</v>
      </c>
      <c r="U357" s="67" t="s">
        <v>0</v>
      </c>
      <c r="V357" s="165" t="s">
        <v>0</v>
      </c>
      <c r="W357" s="208">
        <v>32694.394134760099</v>
      </c>
      <c r="X357" s="165">
        <v>50</v>
      </c>
      <c r="Y357" s="195">
        <v>2</v>
      </c>
      <c r="Z357" s="208">
        <v>2.2232188011636869E-2</v>
      </c>
      <c r="AA357" s="264">
        <v>0.55580470029092166</v>
      </c>
      <c r="AB357" s="208">
        <v>8.7319965293946775E-4</v>
      </c>
      <c r="AC357" s="201">
        <v>23.996200000000002</v>
      </c>
      <c r="AD357" s="201">
        <v>6.8409999999999999E-2</v>
      </c>
      <c r="AE357" s="265">
        <v>3.95E-2</v>
      </c>
      <c r="AF357" s="208">
        <v>30602.65326027105</v>
      </c>
      <c r="AG357" s="206">
        <v>765066.33150677616</v>
      </c>
      <c r="AH357" s="110"/>
      <c r="AI357" s="393"/>
    </row>
    <row r="358" spans="1:35" hidden="1" x14ac:dyDescent="0.3">
      <c r="A358" s="145">
        <v>45307</v>
      </c>
      <c r="B358" s="189">
        <v>357</v>
      </c>
      <c r="C358" s="8" t="s">
        <v>544</v>
      </c>
      <c r="D358" s="10" t="s">
        <v>552</v>
      </c>
      <c r="E358" s="2" t="s">
        <v>588</v>
      </c>
      <c r="F358" s="2" t="s">
        <v>584</v>
      </c>
      <c r="G358" s="2" t="s">
        <v>558</v>
      </c>
      <c r="H358" s="14" t="s">
        <v>354</v>
      </c>
      <c r="I358" s="2" t="s">
        <v>527</v>
      </c>
      <c r="J358" s="12" t="s">
        <v>551</v>
      </c>
      <c r="K358" s="2" t="s">
        <v>532</v>
      </c>
      <c r="L358" s="2" t="s">
        <v>608</v>
      </c>
      <c r="M358" s="2" t="s">
        <v>531</v>
      </c>
      <c r="N358" s="2" t="s">
        <v>531</v>
      </c>
      <c r="O358" s="2" t="s">
        <v>514</v>
      </c>
      <c r="P358" s="2" t="s">
        <v>573</v>
      </c>
      <c r="Q358" s="67" t="s">
        <v>497</v>
      </c>
      <c r="R358" s="110" t="s">
        <v>519</v>
      </c>
      <c r="S358" s="166">
        <v>100</v>
      </c>
      <c r="T358" s="166">
        <v>25</v>
      </c>
      <c r="U358" s="67" t="s">
        <v>0</v>
      </c>
      <c r="V358" s="165" t="s">
        <v>0</v>
      </c>
      <c r="W358" s="208">
        <v>1143.7546804795877</v>
      </c>
      <c r="X358" s="165">
        <v>50</v>
      </c>
      <c r="Y358" s="195">
        <v>2</v>
      </c>
      <c r="Z358" s="208">
        <v>7.7775318272611956E-4</v>
      </c>
      <c r="AA358" s="264">
        <v>1.9443829568152989E-2</v>
      </c>
      <c r="AB358" s="208">
        <v>4.3773256425698399E-5</v>
      </c>
      <c r="AC358" s="201">
        <v>29.769600000000001</v>
      </c>
      <c r="AD358" s="201">
        <v>9.5430000000000001E-2</v>
      </c>
      <c r="AE358" s="265">
        <v>5.5100000000000003E-2</v>
      </c>
      <c r="AF358" s="208">
        <v>1070.5788814210046</v>
      </c>
      <c r="AG358" s="206">
        <v>26764.472035525116</v>
      </c>
      <c r="AH358" s="110"/>
      <c r="AI358" s="393"/>
    </row>
    <row r="359" spans="1:35" hidden="1" x14ac:dyDescent="0.3">
      <c r="A359" s="145">
        <v>45307</v>
      </c>
      <c r="B359" s="189">
        <v>358</v>
      </c>
      <c r="C359" s="8" t="s">
        <v>544</v>
      </c>
      <c r="D359" s="10" t="s">
        <v>552</v>
      </c>
      <c r="E359" s="2" t="s">
        <v>588</v>
      </c>
      <c r="F359" s="2" t="s">
        <v>584</v>
      </c>
      <c r="G359" s="2" t="s">
        <v>558</v>
      </c>
      <c r="H359" s="14" t="s">
        <v>355</v>
      </c>
      <c r="I359" s="2" t="s">
        <v>527</v>
      </c>
      <c r="J359" s="12" t="s">
        <v>551</v>
      </c>
      <c r="K359" s="2" t="s">
        <v>532</v>
      </c>
      <c r="L359" s="2" t="s">
        <v>608</v>
      </c>
      <c r="M359" s="2" t="s">
        <v>531</v>
      </c>
      <c r="N359" s="2" t="s">
        <v>531</v>
      </c>
      <c r="O359" s="2" t="s">
        <v>514</v>
      </c>
      <c r="P359" s="2" t="s">
        <v>573</v>
      </c>
      <c r="Q359" s="67" t="s">
        <v>498</v>
      </c>
      <c r="R359" s="110" t="s">
        <v>519</v>
      </c>
      <c r="S359" s="166">
        <v>100</v>
      </c>
      <c r="T359" s="166">
        <v>25</v>
      </c>
      <c r="U359" s="67" t="s">
        <v>0</v>
      </c>
      <c r="V359" s="165" t="s">
        <v>0</v>
      </c>
      <c r="W359" s="208">
        <v>2713.0647396346239</v>
      </c>
      <c r="X359" s="165">
        <v>50</v>
      </c>
      <c r="Y359" s="195">
        <v>2</v>
      </c>
      <c r="Z359" s="208">
        <v>1.8448840229515443E-3</v>
      </c>
      <c r="AA359" s="264">
        <v>4.6122100573788606E-2</v>
      </c>
      <c r="AB359" s="208">
        <v>1.6661182735020757E-4</v>
      </c>
      <c r="AC359" s="201">
        <v>28.285299999999999</v>
      </c>
      <c r="AD359" s="201">
        <v>0.15328</v>
      </c>
      <c r="AE359" s="265">
        <v>8.8499999999999995E-2</v>
      </c>
      <c r="AF359" s="208">
        <v>2539.4867131497977</v>
      </c>
      <c r="AG359" s="206">
        <v>63487.167828744939</v>
      </c>
      <c r="AH359" s="110"/>
      <c r="AI359" s="393"/>
    </row>
    <row r="360" spans="1:35" hidden="1" x14ac:dyDescent="0.3">
      <c r="A360" s="145">
        <v>45307</v>
      </c>
      <c r="B360" s="189">
        <v>359</v>
      </c>
      <c r="C360" s="8" t="s">
        <v>544</v>
      </c>
      <c r="D360" s="10" t="s">
        <v>552</v>
      </c>
      <c r="E360" s="2" t="s">
        <v>588</v>
      </c>
      <c r="F360" s="2" t="s">
        <v>584</v>
      </c>
      <c r="G360" s="2" t="s">
        <v>558</v>
      </c>
      <c r="H360" s="14" t="s">
        <v>356</v>
      </c>
      <c r="I360" s="2" t="s">
        <v>526</v>
      </c>
      <c r="J360" s="15" t="s">
        <v>550</v>
      </c>
      <c r="K360" s="2" t="s">
        <v>531</v>
      </c>
      <c r="L360" s="2" t="s">
        <v>535</v>
      </c>
      <c r="M360" s="2" t="s">
        <v>531</v>
      </c>
      <c r="N360" s="2" t="s">
        <v>532</v>
      </c>
      <c r="O360" s="2" t="s">
        <v>514</v>
      </c>
      <c r="P360" s="2" t="s">
        <v>573</v>
      </c>
      <c r="Q360" s="67" t="s">
        <v>0</v>
      </c>
      <c r="R360" s="110" t="s">
        <v>519</v>
      </c>
      <c r="S360" s="166">
        <v>100</v>
      </c>
      <c r="T360" s="166" t="s">
        <v>0</v>
      </c>
      <c r="U360" s="67" t="s">
        <v>0</v>
      </c>
      <c r="V360" s="165" t="s">
        <v>0</v>
      </c>
      <c r="W360" s="208">
        <v>29.057813034013336</v>
      </c>
      <c r="X360" s="165">
        <v>50</v>
      </c>
      <c r="Y360" s="195">
        <v>2</v>
      </c>
      <c r="Z360" s="208">
        <v>1.9759312863129065E-5</v>
      </c>
      <c r="AA360" s="264">
        <v>4.9398282157822669E-4</v>
      </c>
      <c r="AB360" s="208">
        <v>6.6850662776027852E-6</v>
      </c>
      <c r="AC360" s="201">
        <v>36.165599999999998</v>
      </c>
      <c r="AD360" s="201">
        <v>0.63900000000000001</v>
      </c>
      <c r="AE360" s="265">
        <v>0.36892999999999998</v>
      </c>
      <c r="AF360" s="208">
        <v>27.198735450376915</v>
      </c>
      <c r="AG360" s="206">
        <v>679.96838625942291</v>
      </c>
      <c r="AH360" s="110">
        <v>2</v>
      </c>
      <c r="AI360" s="393" t="s">
        <v>610</v>
      </c>
    </row>
    <row r="361" spans="1:35" hidden="1" x14ac:dyDescent="0.3">
      <c r="A361" s="145">
        <v>45307</v>
      </c>
      <c r="B361" s="189">
        <v>360</v>
      </c>
      <c r="C361" s="8" t="s">
        <v>544</v>
      </c>
      <c r="D361" s="10" t="s">
        <v>552</v>
      </c>
      <c r="E361" s="2" t="s">
        <v>588</v>
      </c>
      <c r="F361" s="2" t="s">
        <v>584</v>
      </c>
      <c r="G361" s="2" t="s">
        <v>558</v>
      </c>
      <c r="H361" s="14" t="s">
        <v>357</v>
      </c>
      <c r="I361" s="2" t="s">
        <v>526</v>
      </c>
      <c r="J361" s="12" t="s">
        <v>551</v>
      </c>
      <c r="K361" s="2" t="s">
        <v>531</v>
      </c>
      <c r="L361" s="2" t="s">
        <v>535</v>
      </c>
      <c r="M361" s="2" t="s">
        <v>531</v>
      </c>
      <c r="N361" s="2" t="s">
        <v>532</v>
      </c>
      <c r="O361" s="2" t="s">
        <v>514</v>
      </c>
      <c r="P361" s="2" t="s">
        <v>573</v>
      </c>
      <c r="Q361" s="67" t="s">
        <v>0</v>
      </c>
      <c r="R361" s="110" t="s">
        <v>519</v>
      </c>
      <c r="S361" s="166">
        <v>100</v>
      </c>
      <c r="T361" s="166" t="s">
        <v>0</v>
      </c>
      <c r="U361" s="67" t="s">
        <v>0</v>
      </c>
      <c r="V361" s="165" t="s">
        <v>0</v>
      </c>
      <c r="W361" s="208" t="s">
        <v>0</v>
      </c>
      <c r="X361" s="165">
        <v>50</v>
      </c>
      <c r="Y361" s="195">
        <v>2</v>
      </c>
      <c r="Z361" s="302" t="s">
        <v>0</v>
      </c>
      <c r="AA361" s="303" t="s">
        <v>0</v>
      </c>
      <c r="AB361" s="302" t="s">
        <v>0</v>
      </c>
      <c r="AC361" s="204">
        <v>38.100299999999997</v>
      </c>
      <c r="AD361" s="204">
        <v>1.2142599999999999</v>
      </c>
      <c r="AE361" s="291">
        <v>0.85860999999999998</v>
      </c>
      <c r="AF361" s="302" t="s">
        <v>0</v>
      </c>
      <c r="AG361" s="382" t="s">
        <v>0</v>
      </c>
      <c r="AH361" s="400"/>
      <c r="AI361" s="393"/>
    </row>
    <row r="362" spans="1:35" hidden="1" x14ac:dyDescent="0.3">
      <c r="A362" s="145">
        <v>45307</v>
      </c>
      <c r="B362" s="189">
        <v>361</v>
      </c>
      <c r="C362" s="8" t="s">
        <v>544</v>
      </c>
      <c r="D362" s="10" t="s">
        <v>552</v>
      </c>
      <c r="E362" s="2" t="s">
        <v>588</v>
      </c>
      <c r="F362" s="2" t="s">
        <v>584</v>
      </c>
      <c r="G362" s="2" t="s">
        <v>558</v>
      </c>
      <c r="H362" s="14" t="s">
        <v>358</v>
      </c>
      <c r="I362" s="2" t="s">
        <v>520</v>
      </c>
      <c r="J362" s="9" t="s">
        <v>0</v>
      </c>
      <c r="K362" s="2" t="s">
        <v>531</v>
      </c>
      <c r="L362" s="2" t="s">
        <v>530</v>
      </c>
      <c r="M362" s="2" t="s">
        <v>531</v>
      </c>
      <c r="N362" s="2" t="s">
        <v>532</v>
      </c>
      <c r="O362" s="2" t="s">
        <v>514</v>
      </c>
      <c r="P362" s="2" t="s">
        <v>573</v>
      </c>
      <c r="Q362" s="67" t="s">
        <v>0</v>
      </c>
      <c r="R362" s="110" t="s">
        <v>519</v>
      </c>
      <c r="S362" s="166">
        <v>100</v>
      </c>
      <c r="T362" s="166" t="s">
        <v>0</v>
      </c>
      <c r="U362" s="67" t="s">
        <v>0</v>
      </c>
      <c r="V362" s="165" t="s">
        <v>0</v>
      </c>
      <c r="W362" s="208">
        <v>18.025988664836689</v>
      </c>
      <c r="X362" s="165">
        <v>50</v>
      </c>
      <c r="Y362" s="195">
        <v>2</v>
      </c>
      <c r="Z362" s="208">
        <v>1.2257672292088949E-5</v>
      </c>
      <c r="AA362" s="264">
        <v>3.0644180730222373E-4</v>
      </c>
      <c r="AB362" s="208">
        <v>7.4204186169458918E-6</v>
      </c>
      <c r="AC362" s="201">
        <v>37.104999999999997</v>
      </c>
      <c r="AD362" s="201">
        <v>0.96440999999999999</v>
      </c>
      <c r="AE362" s="265">
        <v>0.55679999999999996</v>
      </c>
      <c r="AF362" s="208">
        <v>16.872711526930434</v>
      </c>
      <c r="AG362" s="206">
        <v>421.81778817326079</v>
      </c>
      <c r="AH362" s="110">
        <v>2</v>
      </c>
      <c r="AI362" s="393" t="s">
        <v>619</v>
      </c>
    </row>
    <row r="363" spans="1:35" hidden="1" x14ac:dyDescent="0.3">
      <c r="A363" s="145">
        <v>45307</v>
      </c>
      <c r="B363" s="189">
        <v>362</v>
      </c>
      <c r="C363" s="8" t="s">
        <v>544</v>
      </c>
      <c r="D363" s="10" t="s">
        <v>552</v>
      </c>
      <c r="E363" s="2" t="s">
        <v>588</v>
      </c>
      <c r="F363" s="2" t="s">
        <v>584</v>
      </c>
      <c r="G363" s="2" t="s">
        <v>558</v>
      </c>
      <c r="H363" s="14" t="s">
        <v>359</v>
      </c>
      <c r="I363" s="2" t="s">
        <v>517</v>
      </c>
      <c r="J363" s="9" t="s">
        <v>0</v>
      </c>
      <c r="K363" s="2" t="s">
        <v>531</v>
      </c>
      <c r="L363" s="2" t="s">
        <v>593</v>
      </c>
      <c r="M363" s="23" t="s">
        <v>531</v>
      </c>
      <c r="N363" s="2" t="s">
        <v>532</v>
      </c>
      <c r="O363" s="2" t="s">
        <v>514</v>
      </c>
      <c r="P363" s="2" t="s">
        <v>573</v>
      </c>
      <c r="Q363" s="67" t="s">
        <v>0</v>
      </c>
      <c r="R363" s="110" t="s">
        <v>519</v>
      </c>
      <c r="S363" s="166">
        <v>100</v>
      </c>
      <c r="T363" s="166" t="s">
        <v>0</v>
      </c>
      <c r="U363" s="67" t="s">
        <v>576</v>
      </c>
      <c r="V363" s="360">
        <v>200000</v>
      </c>
      <c r="W363" s="208">
        <v>763987.80928805028</v>
      </c>
      <c r="X363" s="165">
        <v>50</v>
      </c>
      <c r="Y363" s="195">
        <v>2</v>
      </c>
      <c r="Z363" s="208">
        <v>0.51951171031587418</v>
      </c>
      <c r="AA363" s="266">
        <v>12.987792757896855</v>
      </c>
      <c r="AB363" s="208">
        <v>2.9376470606071178E-2</v>
      </c>
      <c r="AC363" s="201">
        <v>18.5715</v>
      </c>
      <c r="AD363" s="201">
        <v>9.733E-2</v>
      </c>
      <c r="AE363" s="265">
        <v>5.62E-2</v>
      </c>
      <c r="AF363" s="208">
        <v>715108.9549587043</v>
      </c>
      <c r="AG363" s="206">
        <v>17877723.87396761</v>
      </c>
      <c r="AH363" s="110"/>
      <c r="AI363" s="393"/>
    </row>
    <row r="364" spans="1:35" hidden="1" x14ac:dyDescent="0.3">
      <c r="A364" s="145">
        <v>45307</v>
      </c>
      <c r="B364" s="189">
        <v>363</v>
      </c>
      <c r="C364" s="8" t="s">
        <v>544</v>
      </c>
      <c r="D364" s="10" t="s">
        <v>552</v>
      </c>
      <c r="E364" s="2" t="s">
        <v>588</v>
      </c>
      <c r="F364" s="2" t="s">
        <v>584</v>
      </c>
      <c r="G364" s="2" t="s">
        <v>558</v>
      </c>
      <c r="H364" s="14" t="s">
        <v>360</v>
      </c>
      <c r="I364" s="2" t="s">
        <v>517</v>
      </c>
      <c r="J364" s="9" t="s">
        <v>0</v>
      </c>
      <c r="K364" s="2" t="s">
        <v>531</v>
      </c>
      <c r="L364" s="67" t="s">
        <v>593</v>
      </c>
      <c r="M364" s="110" t="s">
        <v>532</v>
      </c>
      <c r="N364" s="2" t="s">
        <v>532</v>
      </c>
      <c r="O364" s="2" t="s">
        <v>514</v>
      </c>
      <c r="P364" s="2" t="s">
        <v>574</v>
      </c>
      <c r="Q364" s="67" t="s">
        <v>0</v>
      </c>
      <c r="R364" s="110" t="s">
        <v>519</v>
      </c>
      <c r="S364" s="166">
        <v>100</v>
      </c>
      <c r="T364" s="166" t="s">
        <v>0</v>
      </c>
      <c r="U364" s="67" t="s">
        <v>576</v>
      </c>
      <c r="V364" s="360">
        <v>200000</v>
      </c>
      <c r="W364" s="208">
        <v>722144.40495739016</v>
      </c>
      <c r="X364" s="165">
        <v>50</v>
      </c>
      <c r="Y364" s="195">
        <v>2</v>
      </c>
      <c r="Z364" s="208">
        <v>0.49105819537102535</v>
      </c>
      <c r="AA364" s="270">
        <v>12.276454884275633</v>
      </c>
      <c r="AB364" s="208">
        <v>2.5644664492167315E-2</v>
      </c>
      <c r="AC364" s="201">
        <v>18.668199999999999</v>
      </c>
      <c r="AD364" s="201">
        <v>8.9660000000000004E-2</v>
      </c>
      <c r="AE364" s="265">
        <v>5.176E-2</v>
      </c>
      <c r="AF364" s="208">
        <v>675942.6321731389</v>
      </c>
      <c r="AG364" s="206">
        <v>16898565.804328468</v>
      </c>
      <c r="AH364" s="110"/>
      <c r="AI364" s="393"/>
    </row>
    <row r="365" spans="1:35" hidden="1" x14ac:dyDescent="0.3">
      <c r="A365" s="145">
        <v>45307</v>
      </c>
      <c r="B365" s="189">
        <v>364</v>
      </c>
      <c r="C365" s="8" t="s">
        <v>544</v>
      </c>
      <c r="D365" s="35" t="s">
        <v>596</v>
      </c>
      <c r="E365" s="2" t="s">
        <v>589</v>
      </c>
      <c r="F365" s="2" t="s">
        <v>585</v>
      </c>
      <c r="G365" s="2" t="s">
        <v>558</v>
      </c>
      <c r="H365" s="14" t="s">
        <v>361</v>
      </c>
      <c r="I365" s="2" t="s">
        <v>527</v>
      </c>
      <c r="J365" s="15" t="s">
        <v>550</v>
      </c>
      <c r="K365" s="2" t="s">
        <v>532</v>
      </c>
      <c r="L365" s="341" t="s">
        <v>608</v>
      </c>
      <c r="M365" s="342" t="s">
        <v>531</v>
      </c>
      <c r="N365" s="2" t="s">
        <v>531</v>
      </c>
      <c r="O365" s="2" t="s">
        <v>514</v>
      </c>
      <c r="P365" s="2" t="s">
        <v>573</v>
      </c>
      <c r="Q365" s="67" t="s">
        <v>496</v>
      </c>
      <c r="R365" s="110" t="s">
        <v>519</v>
      </c>
      <c r="S365" s="166">
        <v>100</v>
      </c>
      <c r="T365" s="166">
        <v>25</v>
      </c>
      <c r="U365" s="67" t="s">
        <v>0</v>
      </c>
      <c r="V365" s="165" t="s">
        <v>0</v>
      </c>
      <c r="W365" s="208">
        <v>34406.950697277774</v>
      </c>
      <c r="X365" s="165">
        <v>50</v>
      </c>
      <c r="Y365" s="195">
        <v>2</v>
      </c>
      <c r="Z365" s="208">
        <v>2.3396726474148886E-2</v>
      </c>
      <c r="AA365" s="270">
        <v>0.58491816185372214</v>
      </c>
      <c r="AB365" s="208">
        <v>8.6622246754151314E-4</v>
      </c>
      <c r="AC365" s="201">
        <v>23.908136019958306</v>
      </c>
      <c r="AD365" s="201">
        <v>6.3188204507726276E-2</v>
      </c>
      <c r="AE365" s="265">
        <v>3.6481726882144891E-2</v>
      </c>
      <c r="AF365" s="208">
        <v>32205.642887646038</v>
      </c>
      <c r="AG365" s="206">
        <v>805141.07219115074</v>
      </c>
      <c r="AH365" s="110"/>
      <c r="AI365" s="393"/>
    </row>
    <row r="366" spans="1:35" hidden="1" x14ac:dyDescent="0.3">
      <c r="A366" s="145">
        <v>45307</v>
      </c>
      <c r="B366" s="188">
        <v>365</v>
      </c>
      <c r="C366" s="8" t="s">
        <v>544</v>
      </c>
      <c r="D366" s="35" t="s">
        <v>596</v>
      </c>
      <c r="E366" s="2" t="s">
        <v>589</v>
      </c>
      <c r="F366" s="2" t="s">
        <v>585</v>
      </c>
      <c r="G366" s="2" t="s">
        <v>558</v>
      </c>
      <c r="H366" s="14" t="s">
        <v>362</v>
      </c>
      <c r="I366" s="2" t="s">
        <v>527</v>
      </c>
      <c r="J366" s="15" t="s">
        <v>550</v>
      </c>
      <c r="K366" s="2" t="s">
        <v>532</v>
      </c>
      <c r="L366" s="67" t="s">
        <v>608</v>
      </c>
      <c r="M366" s="342" t="s">
        <v>531</v>
      </c>
      <c r="N366" s="2" t="s">
        <v>531</v>
      </c>
      <c r="O366" s="2" t="s">
        <v>514</v>
      </c>
      <c r="P366" s="2" t="s">
        <v>574</v>
      </c>
      <c r="Q366" s="67" t="s">
        <v>497</v>
      </c>
      <c r="R366" s="110" t="s">
        <v>519</v>
      </c>
      <c r="S366" s="166">
        <v>100</v>
      </c>
      <c r="T366" s="166">
        <v>25</v>
      </c>
      <c r="U366" s="67" t="s">
        <v>0</v>
      </c>
      <c r="V366" s="165" t="s">
        <v>0</v>
      </c>
      <c r="W366" s="208">
        <v>2176.8093565680638</v>
      </c>
      <c r="X366" s="165">
        <v>50</v>
      </c>
      <c r="Y366" s="195">
        <v>2</v>
      </c>
      <c r="Z366" s="208">
        <v>1.4802303624662832E-3</v>
      </c>
      <c r="AA366" s="264">
        <v>3.7005759061657081E-2</v>
      </c>
      <c r="AB366" s="208">
        <v>7.0977579187226196E-5</v>
      </c>
      <c r="AC366" s="201">
        <v>28.661160384874581</v>
      </c>
      <c r="AD366" s="201">
        <v>8.1484683687791701E-2</v>
      </c>
      <c r="AE366" s="265">
        <v>4.7045204061978048E-2</v>
      </c>
      <c r="AF366" s="208">
        <v>2037.5401874152203</v>
      </c>
      <c r="AG366" s="206">
        <v>50938.504685380511</v>
      </c>
      <c r="AH366" s="110"/>
      <c r="AI366" s="393"/>
    </row>
    <row r="367" spans="1:35" hidden="1" x14ac:dyDescent="0.3">
      <c r="A367" s="145">
        <v>45307</v>
      </c>
      <c r="B367" s="189">
        <v>366</v>
      </c>
      <c r="C367" s="8" t="s">
        <v>544</v>
      </c>
      <c r="D367" s="35" t="s">
        <v>596</v>
      </c>
      <c r="E367" s="2" t="s">
        <v>589</v>
      </c>
      <c r="F367" s="2" t="s">
        <v>585</v>
      </c>
      <c r="G367" s="2" t="s">
        <v>558</v>
      </c>
      <c r="H367" s="14" t="s">
        <v>363</v>
      </c>
      <c r="I367" s="2" t="s">
        <v>527</v>
      </c>
      <c r="J367" s="15" t="s">
        <v>550</v>
      </c>
      <c r="K367" s="2" t="s">
        <v>532</v>
      </c>
      <c r="L367" s="2" t="s">
        <v>608</v>
      </c>
      <c r="M367" s="342" t="s">
        <v>531</v>
      </c>
      <c r="N367" s="2" t="s">
        <v>531</v>
      </c>
      <c r="O367" s="2" t="s">
        <v>514</v>
      </c>
      <c r="P367" s="2" t="s">
        <v>503</v>
      </c>
      <c r="Q367" s="67" t="s">
        <v>498</v>
      </c>
      <c r="R367" s="110" t="s">
        <v>519</v>
      </c>
      <c r="S367" s="166">
        <v>100</v>
      </c>
      <c r="T367" s="166">
        <v>25</v>
      </c>
      <c r="U367" s="67" t="s">
        <v>0</v>
      </c>
      <c r="V367" s="165" t="s">
        <v>0</v>
      </c>
      <c r="W367" s="208">
        <v>1443.28468053097</v>
      </c>
      <c r="X367" s="165">
        <v>50</v>
      </c>
      <c r="Y367" s="195">
        <v>2</v>
      </c>
      <c r="Z367" s="208">
        <v>9.8143358276105955E-4</v>
      </c>
      <c r="AA367" s="264">
        <v>2.4535839569026489E-2</v>
      </c>
      <c r="AB367" s="208">
        <v>4.5676765759276804E-5</v>
      </c>
      <c r="AC367" s="201">
        <v>29.368588259786666</v>
      </c>
      <c r="AD367" s="201">
        <v>7.9125912529894787E-2</v>
      </c>
      <c r="AE367" s="265">
        <v>4.5683366899009543E-2</v>
      </c>
      <c r="AF367" s="208">
        <v>1350.9453777334677</v>
      </c>
      <c r="AG367" s="206">
        <v>33773.634443336683</v>
      </c>
      <c r="AH367" s="110"/>
      <c r="AI367" s="393"/>
    </row>
    <row r="368" spans="1:35" hidden="1" x14ac:dyDescent="0.3">
      <c r="A368" s="145">
        <v>45307</v>
      </c>
      <c r="B368" s="189">
        <v>367</v>
      </c>
      <c r="C368" s="8" t="s">
        <v>544</v>
      </c>
      <c r="D368" s="35" t="s">
        <v>596</v>
      </c>
      <c r="E368" s="2" t="s">
        <v>589</v>
      </c>
      <c r="F368" s="2" t="s">
        <v>585</v>
      </c>
      <c r="G368" s="2" t="s">
        <v>558</v>
      </c>
      <c r="H368" s="14" t="s">
        <v>364</v>
      </c>
      <c r="I368" s="2" t="s">
        <v>527</v>
      </c>
      <c r="J368" s="12" t="s">
        <v>551</v>
      </c>
      <c r="K368" s="2" t="s">
        <v>532</v>
      </c>
      <c r="L368" s="2" t="s">
        <v>608</v>
      </c>
      <c r="M368" s="342" t="s">
        <v>531</v>
      </c>
      <c r="N368" s="2" t="s">
        <v>531</v>
      </c>
      <c r="O368" s="2" t="s">
        <v>514</v>
      </c>
      <c r="P368" s="2" t="s">
        <v>573</v>
      </c>
      <c r="Q368" s="67" t="s">
        <v>496</v>
      </c>
      <c r="R368" s="110" t="s">
        <v>519</v>
      </c>
      <c r="S368" s="166">
        <v>100</v>
      </c>
      <c r="T368" s="166">
        <v>25</v>
      </c>
      <c r="U368" s="67" t="s">
        <v>0</v>
      </c>
      <c r="V368" s="165" t="s">
        <v>0</v>
      </c>
      <c r="W368" s="208">
        <v>24892.381023005128</v>
      </c>
      <c r="X368" s="165">
        <v>50</v>
      </c>
      <c r="Y368" s="195">
        <v>2</v>
      </c>
      <c r="Z368" s="208">
        <v>1.6926819095643485E-2</v>
      </c>
      <c r="AA368" s="264">
        <v>0.42317047739108715</v>
      </c>
      <c r="AB368" s="208">
        <v>3.4945083446277162E-4</v>
      </c>
      <c r="AC368" s="201">
        <v>24.464902196551577</v>
      </c>
      <c r="AD368" s="201">
        <v>3.5420283187473769E-2</v>
      </c>
      <c r="AE368" s="265">
        <v>2.0449910033060757E-2</v>
      </c>
      <c r="AF368" s="208">
        <v>23299.801859905809</v>
      </c>
      <c r="AG368" s="206">
        <v>582495.04649764532</v>
      </c>
      <c r="AH368" s="110"/>
      <c r="AI368" s="393"/>
    </row>
    <row r="369" spans="1:35" hidden="1" x14ac:dyDescent="0.3">
      <c r="A369" s="145">
        <v>45307</v>
      </c>
      <c r="B369" s="189">
        <v>368</v>
      </c>
      <c r="C369" s="8" t="s">
        <v>544</v>
      </c>
      <c r="D369" s="35" t="s">
        <v>596</v>
      </c>
      <c r="E369" s="2" t="s">
        <v>589</v>
      </c>
      <c r="F369" s="2" t="s">
        <v>585</v>
      </c>
      <c r="G369" s="2" t="s">
        <v>558</v>
      </c>
      <c r="H369" s="14" t="s">
        <v>365</v>
      </c>
      <c r="I369" s="2" t="s">
        <v>527</v>
      </c>
      <c r="J369" s="12" t="s">
        <v>551</v>
      </c>
      <c r="K369" s="2" t="s">
        <v>532</v>
      </c>
      <c r="L369" s="2" t="s">
        <v>608</v>
      </c>
      <c r="M369" s="342" t="s">
        <v>531</v>
      </c>
      <c r="N369" s="2" t="s">
        <v>531</v>
      </c>
      <c r="O369" s="2" t="s">
        <v>514</v>
      </c>
      <c r="P369" s="2" t="s">
        <v>574</v>
      </c>
      <c r="Q369" s="67" t="s">
        <v>497</v>
      </c>
      <c r="R369" s="110" t="s">
        <v>519</v>
      </c>
      <c r="S369" s="166">
        <v>100</v>
      </c>
      <c r="T369" s="166">
        <v>25</v>
      </c>
      <c r="U369" s="67" t="s">
        <v>0</v>
      </c>
      <c r="V369" s="165" t="s">
        <v>0</v>
      </c>
      <c r="W369" s="208">
        <v>1115.3486838928445</v>
      </c>
      <c r="X369" s="165">
        <v>50</v>
      </c>
      <c r="Y369" s="195">
        <v>2</v>
      </c>
      <c r="Z369" s="208">
        <v>7.5843710504713434E-4</v>
      </c>
      <c r="AA369" s="264">
        <v>1.8960927626178358E-2</v>
      </c>
      <c r="AB369" s="208">
        <v>3.558661603410694E-5</v>
      </c>
      <c r="AC369" s="201">
        <v>29.812413038354638</v>
      </c>
      <c r="AD369" s="201">
        <v>8.1486176902840171E-2</v>
      </c>
      <c r="AE369" s="265">
        <v>4.704606617008824E-2</v>
      </c>
      <c r="AF369" s="208">
        <v>1043.990260127903</v>
      </c>
      <c r="AG369" s="206">
        <v>26099.756503197579</v>
      </c>
      <c r="AH369" s="110"/>
      <c r="AI369" s="393"/>
    </row>
    <row r="370" spans="1:35" hidden="1" x14ac:dyDescent="0.3">
      <c r="A370" s="145">
        <v>45307</v>
      </c>
      <c r="B370" s="189">
        <v>369</v>
      </c>
      <c r="C370" s="8" t="s">
        <v>544</v>
      </c>
      <c r="D370" s="35" t="s">
        <v>596</v>
      </c>
      <c r="E370" s="2" t="s">
        <v>589</v>
      </c>
      <c r="F370" s="2" t="s">
        <v>585</v>
      </c>
      <c r="G370" s="2" t="s">
        <v>558</v>
      </c>
      <c r="H370" s="14" t="s">
        <v>366</v>
      </c>
      <c r="I370" s="2" t="s">
        <v>527</v>
      </c>
      <c r="J370" s="12" t="s">
        <v>551</v>
      </c>
      <c r="K370" s="2" t="s">
        <v>532</v>
      </c>
      <c r="L370" s="2" t="s">
        <v>608</v>
      </c>
      <c r="M370" s="342" t="s">
        <v>531</v>
      </c>
      <c r="N370" s="2" t="s">
        <v>531</v>
      </c>
      <c r="O370" s="2" t="s">
        <v>514</v>
      </c>
      <c r="P370" s="2" t="s">
        <v>503</v>
      </c>
      <c r="Q370" s="67" t="s">
        <v>498</v>
      </c>
      <c r="R370" s="110" t="s">
        <v>519</v>
      </c>
      <c r="S370" s="166">
        <v>100</v>
      </c>
      <c r="T370" s="166">
        <v>25</v>
      </c>
      <c r="U370" s="67" t="s">
        <v>0</v>
      </c>
      <c r="V370" s="165" t="s">
        <v>0</v>
      </c>
      <c r="W370" s="208">
        <v>2775.8577345776539</v>
      </c>
      <c r="X370" s="165">
        <v>50</v>
      </c>
      <c r="Y370" s="195">
        <v>2</v>
      </c>
      <c r="Z370" s="208">
        <v>1.8875832595128049E-3</v>
      </c>
      <c r="AA370" s="264">
        <v>4.7189581487820119E-2</v>
      </c>
      <c r="AB370" s="208">
        <v>1.2416337172325897E-4</v>
      </c>
      <c r="AC370" s="201">
        <v>28.243750791310546</v>
      </c>
      <c r="AD370" s="201">
        <v>0.11125576031788682</v>
      </c>
      <c r="AE370" s="265">
        <v>6.4233543168428442E-2</v>
      </c>
      <c r="AF370" s="208">
        <v>2598.2623015119771</v>
      </c>
      <c r="AG370" s="206">
        <v>64956.557537799417</v>
      </c>
      <c r="AH370" s="110"/>
      <c r="AI370" s="393"/>
    </row>
    <row r="371" spans="1:35" hidden="1" x14ac:dyDescent="0.3">
      <c r="A371" s="145">
        <v>45307</v>
      </c>
      <c r="B371" s="189">
        <v>370</v>
      </c>
      <c r="C371" s="8" t="s">
        <v>544</v>
      </c>
      <c r="D371" s="35" t="s">
        <v>596</v>
      </c>
      <c r="E371" s="2" t="s">
        <v>589</v>
      </c>
      <c r="F371" s="2" t="s">
        <v>585</v>
      </c>
      <c r="G371" s="2" t="s">
        <v>558</v>
      </c>
      <c r="H371" s="14" t="s">
        <v>367</v>
      </c>
      <c r="I371" s="2" t="s">
        <v>526</v>
      </c>
      <c r="J371" s="15" t="s">
        <v>550</v>
      </c>
      <c r="K371" s="2" t="s">
        <v>531</v>
      </c>
      <c r="L371" s="2" t="s">
        <v>535</v>
      </c>
      <c r="M371" s="342" t="s">
        <v>531</v>
      </c>
      <c r="N371" s="2" t="s">
        <v>532</v>
      </c>
      <c r="O371" s="2" t="s">
        <v>514</v>
      </c>
      <c r="P371" s="2" t="s">
        <v>573</v>
      </c>
      <c r="Q371" s="67" t="s">
        <v>0</v>
      </c>
      <c r="R371" s="110" t="s">
        <v>519</v>
      </c>
      <c r="S371" s="166">
        <v>100</v>
      </c>
      <c r="T371" s="166" t="s">
        <v>0</v>
      </c>
      <c r="U371" s="67" t="s">
        <v>0</v>
      </c>
      <c r="V371" s="165" t="s">
        <v>0</v>
      </c>
      <c r="W371" s="208">
        <v>181.54873749577251</v>
      </c>
      <c r="X371" s="165">
        <v>50</v>
      </c>
      <c r="Y371" s="195">
        <v>2</v>
      </c>
      <c r="Z371" s="208">
        <v>1.2345314149712531E-4</v>
      </c>
      <c r="AA371" s="264">
        <v>3.0863285374281325E-3</v>
      </c>
      <c r="AB371" s="208">
        <v>3.5813544872075279E-5</v>
      </c>
      <c r="AC371" s="201">
        <v>32.987636481340324</v>
      </c>
      <c r="AD371" s="201">
        <v>0.5200751181321257</v>
      </c>
      <c r="AE371" s="265">
        <v>0.30026550945240921</v>
      </c>
      <c r="AF371" s="208">
        <v>169.9335072710887</v>
      </c>
      <c r="AG371" s="206">
        <v>4248.3376817772169</v>
      </c>
      <c r="AH371" s="110">
        <v>2</v>
      </c>
      <c r="AI371" s="393" t="s">
        <v>610</v>
      </c>
    </row>
    <row r="372" spans="1:35" hidden="1" x14ac:dyDescent="0.3">
      <c r="A372" s="145">
        <v>45307</v>
      </c>
      <c r="B372" s="189">
        <v>371</v>
      </c>
      <c r="C372" s="8" t="s">
        <v>544</v>
      </c>
      <c r="D372" s="35" t="s">
        <v>596</v>
      </c>
      <c r="E372" s="2" t="s">
        <v>589</v>
      </c>
      <c r="F372" s="2" t="s">
        <v>585</v>
      </c>
      <c r="G372" s="2" t="s">
        <v>558</v>
      </c>
      <c r="H372" s="14" t="s">
        <v>368</v>
      </c>
      <c r="I372" s="2" t="s">
        <v>526</v>
      </c>
      <c r="J372" s="12" t="s">
        <v>551</v>
      </c>
      <c r="K372" s="2" t="s">
        <v>531</v>
      </c>
      <c r="L372" s="2" t="s">
        <v>535</v>
      </c>
      <c r="M372" s="342" t="s">
        <v>531</v>
      </c>
      <c r="N372" s="2" t="s">
        <v>532</v>
      </c>
      <c r="O372" s="2" t="s">
        <v>514</v>
      </c>
      <c r="P372" s="2" t="s">
        <v>573</v>
      </c>
      <c r="Q372" s="67" t="s">
        <v>0</v>
      </c>
      <c r="R372" s="110" t="s">
        <v>519</v>
      </c>
      <c r="S372" s="166">
        <v>100</v>
      </c>
      <c r="T372" s="166" t="s">
        <v>0</v>
      </c>
      <c r="U372" s="67" t="s">
        <v>0</v>
      </c>
      <c r="V372" s="165" t="s">
        <v>0</v>
      </c>
      <c r="W372" s="208">
        <v>58.55348819880146</v>
      </c>
      <c r="X372" s="165">
        <v>50</v>
      </c>
      <c r="Y372" s="195">
        <v>2</v>
      </c>
      <c r="Z372" s="208">
        <v>3.9816371975184995E-5</v>
      </c>
      <c r="AA372" s="264">
        <v>9.9540929937962487E-4</v>
      </c>
      <c r="AB372" s="208">
        <v>1.1273408449911036E-5</v>
      </c>
      <c r="AC372" s="201">
        <v>34.927920124059888</v>
      </c>
      <c r="AD372" s="201">
        <v>0.46297370150015821</v>
      </c>
      <c r="AE372" s="265">
        <v>0.26729799118883379</v>
      </c>
      <c r="AF372" s="208">
        <v>54.807319234650876</v>
      </c>
      <c r="AG372" s="206">
        <v>1370.1829808662719</v>
      </c>
      <c r="AH372" s="110">
        <v>2</v>
      </c>
      <c r="AI372" s="393" t="s">
        <v>611</v>
      </c>
    </row>
    <row r="373" spans="1:35" hidden="1" x14ac:dyDescent="0.3">
      <c r="A373" s="145">
        <v>45307</v>
      </c>
      <c r="B373" s="189">
        <v>372</v>
      </c>
      <c r="C373" s="8" t="s">
        <v>544</v>
      </c>
      <c r="D373" s="35" t="s">
        <v>596</v>
      </c>
      <c r="E373" s="2" t="s">
        <v>589</v>
      </c>
      <c r="F373" s="2" t="s">
        <v>585</v>
      </c>
      <c r="G373" s="2" t="s">
        <v>558</v>
      </c>
      <c r="H373" s="14" t="s">
        <v>369</v>
      </c>
      <c r="I373" s="2" t="s">
        <v>520</v>
      </c>
      <c r="J373" s="9" t="s">
        <v>0</v>
      </c>
      <c r="K373" s="2" t="s">
        <v>531</v>
      </c>
      <c r="L373" s="2" t="s">
        <v>530</v>
      </c>
      <c r="M373" s="342" t="s">
        <v>531</v>
      </c>
      <c r="N373" s="2" t="s">
        <v>532</v>
      </c>
      <c r="O373" s="2" t="s">
        <v>514</v>
      </c>
      <c r="P373" s="2" t="s">
        <v>573</v>
      </c>
      <c r="Q373" s="67" t="s">
        <v>0</v>
      </c>
      <c r="R373" s="110" t="s">
        <v>519</v>
      </c>
      <c r="S373" s="166">
        <v>100</v>
      </c>
      <c r="T373" s="166" t="s">
        <v>0</v>
      </c>
      <c r="U373" s="67" t="s">
        <v>0</v>
      </c>
      <c r="V373" s="165" t="s">
        <v>0</v>
      </c>
      <c r="W373" s="208">
        <v>23.627713641898165</v>
      </c>
      <c r="X373" s="165">
        <v>50</v>
      </c>
      <c r="Y373" s="195">
        <v>2</v>
      </c>
      <c r="Z373" s="208">
        <v>1.6066845276490751E-5</v>
      </c>
      <c r="AA373" s="264">
        <v>4.016711319122688E-4</v>
      </c>
      <c r="AB373" s="208">
        <v>2.7353358900148221E-6</v>
      </c>
      <c r="AC373" s="201">
        <v>36.465181516698095</v>
      </c>
      <c r="AD373" s="201">
        <v>0.30886933479490997</v>
      </c>
      <c r="AE373" s="265">
        <v>0.17832579358826192</v>
      </c>
      <c r="AF373" s="208">
        <v>22.116046100613609</v>
      </c>
      <c r="AG373" s="206">
        <v>552.9011525153403</v>
      </c>
      <c r="AH373" s="110">
        <v>2</v>
      </c>
      <c r="AI373" s="393" t="s">
        <v>619</v>
      </c>
    </row>
    <row r="374" spans="1:35" hidden="1" x14ac:dyDescent="0.3">
      <c r="A374" s="148">
        <v>45307</v>
      </c>
      <c r="B374" s="189">
        <v>373</v>
      </c>
      <c r="C374" s="22" t="s">
        <v>544</v>
      </c>
      <c r="D374" s="35" t="s">
        <v>596</v>
      </c>
      <c r="E374" s="2" t="s">
        <v>589</v>
      </c>
      <c r="F374" s="2" t="s">
        <v>585</v>
      </c>
      <c r="G374" s="2" t="s">
        <v>558</v>
      </c>
      <c r="H374" s="14" t="s">
        <v>370</v>
      </c>
      <c r="I374" s="2" t="s">
        <v>517</v>
      </c>
      <c r="J374" s="9" t="s">
        <v>0</v>
      </c>
      <c r="K374" s="2" t="s">
        <v>531</v>
      </c>
      <c r="L374" s="2" t="s">
        <v>593</v>
      </c>
      <c r="M374" s="2" t="s">
        <v>531</v>
      </c>
      <c r="N374" s="2" t="s">
        <v>532</v>
      </c>
      <c r="O374" s="2" t="s">
        <v>514</v>
      </c>
      <c r="P374" s="2" t="s">
        <v>573</v>
      </c>
      <c r="Q374" s="67" t="s">
        <v>0</v>
      </c>
      <c r="R374" s="110" t="s">
        <v>519</v>
      </c>
      <c r="S374" s="166">
        <v>100</v>
      </c>
      <c r="T374" s="166" t="s">
        <v>0</v>
      </c>
      <c r="U374" s="67" t="s">
        <v>576</v>
      </c>
      <c r="V374" s="360">
        <v>200000</v>
      </c>
      <c r="W374" s="208">
        <v>1220902.7867773527</v>
      </c>
      <c r="X374" s="165">
        <v>50</v>
      </c>
      <c r="Y374" s="195">
        <v>2</v>
      </c>
      <c r="Z374" s="208">
        <v>0.83021389500859977</v>
      </c>
      <c r="AA374" s="264">
        <v>20.755347375214996</v>
      </c>
      <c r="AB374" s="208">
        <v>4.7373710266464815E-2</v>
      </c>
      <c r="AC374" s="201">
        <v>17.764398155196861</v>
      </c>
      <c r="AD374" s="201">
        <v>9.7228147583526603E-2</v>
      </c>
      <c r="AE374" s="265">
        <v>5.6134697180157747E-2</v>
      </c>
      <c r="AF374" s="208">
        <v>1142791.1615136007</v>
      </c>
      <c r="AG374" s="206">
        <v>28569779.037840031</v>
      </c>
      <c r="AH374" s="110"/>
      <c r="AI374" s="393"/>
    </row>
    <row r="375" spans="1:35" hidden="1" x14ac:dyDescent="0.3">
      <c r="A375" s="154">
        <v>45307</v>
      </c>
      <c r="B375" s="189">
        <v>374</v>
      </c>
      <c r="C375" s="101" t="s">
        <v>544</v>
      </c>
      <c r="D375" s="49" t="s">
        <v>596</v>
      </c>
      <c r="E375" s="65" t="s">
        <v>589</v>
      </c>
      <c r="F375" s="65" t="s">
        <v>585</v>
      </c>
      <c r="G375" s="2" t="s">
        <v>558</v>
      </c>
      <c r="H375" s="14" t="s">
        <v>371</v>
      </c>
      <c r="I375" s="2" t="s">
        <v>517</v>
      </c>
      <c r="J375" s="9" t="s">
        <v>0</v>
      </c>
      <c r="K375" s="2" t="s">
        <v>531</v>
      </c>
      <c r="L375" s="2" t="s">
        <v>593</v>
      </c>
      <c r="M375" s="2" t="s">
        <v>532</v>
      </c>
      <c r="N375" s="2" t="s">
        <v>532</v>
      </c>
      <c r="O375" s="2" t="s">
        <v>514</v>
      </c>
      <c r="P375" s="2" t="s">
        <v>574</v>
      </c>
      <c r="Q375" s="67" t="s">
        <v>0</v>
      </c>
      <c r="R375" s="110" t="s">
        <v>519</v>
      </c>
      <c r="S375" s="166">
        <v>100</v>
      </c>
      <c r="T375" s="166" t="s">
        <v>0</v>
      </c>
      <c r="U375" s="67" t="s">
        <v>576</v>
      </c>
      <c r="V375" s="360">
        <v>200000</v>
      </c>
      <c r="W375" s="208">
        <v>1483788.1546031272</v>
      </c>
      <c r="X375" s="165">
        <v>50</v>
      </c>
      <c r="Y375" s="195">
        <v>2</v>
      </c>
      <c r="Z375" s="208">
        <v>1.0089759451301266</v>
      </c>
      <c r="AA375" s="264">
        <v>25.224398628253162</v>
      </c>
      <c r="AB375" s="208">
        <v>3.3042958143073425E-2</v>
      </c>
      <c r="AC375" s="217">
        <v>17.427423588955509</v>
      </c>
      <c r="AD375" s="217">
        <v>5.5885923816318642E-2</v>
      </c>
      <c r="AE375" s="202">
        <v>3.2265753159262486E-2</v>
      </c>
      <c r="AF375" s="208">
        <v>1388857.497094284</v>
      </c>
      <c r="AG375" s="206">
        <v>34721437.4273571</v>
      </c>
      <c r="AH375" s="110"/>
      <c r="AI375" s="393"/>
    </row>
    <row r="376" spans="1:35" hidden="1" x14ac:dyDescent="0.3">
      <c r="A376" s="154">
        <v>45307</v>
      </c>
      <c r="B376" s="189">
        <v>375</v>
      </c>
      <c r="C376" s="101" t="s">
        <v>544</v>
      </c>
      <c r="D376" s="245" t="s">
        <v>0</v>
      </c>
      <c r="E376" s="245" t="s">
        <v>0</v>
      </c>
      <c r="F376" s="245" t="s">
        <v>0</v>
      </c>
      <c r="G376" s="2" t="s">
        <v>558</v>
      </c>
      <c r="H376" s="14" t="s">
        <v>372</v>
      </c>
      <c r="I376" s="2" t="s">
        <v>521</v>
      </c>
      <c r="J376" s="9" t="s">
        <v>0</v>
      </c>
      <c r="K376" s="2" t="s">
        <v>531</v>
      </c>
      <c r="L376" s="2" t="s">
        <v>521</v>
      </c>
      <c r="M376" s="2" t="s">
        <v>532</v>
      </c>
      <c r="N376" s="2" t="s">
        <v>532</v>
      </c>
      <c r="O376" s="2" t="s">
        <v>514</v>
      </c>
      <c r="P376" s="2" t="s">
        <v>573</v>
      </c>
      <c r="Q376" s="67" t="s">
        <v>0</v>
      </c>
      <c r="R376" s="110" t="s">
        <v>0</v>
      </c>
      <c r="S376" s="166">
        <v>100</v>
      </c>
      <c r="T376" s="166" t="s">
        <v>0</v>
      </c>
      <c r="U376" s="67" t="s">
        <v>0</v>
      </c>
      <c r="V376" s="165" t="s">
        <v>0</v>
      </c>
      <c r="W376" s="208">
        <v>32.387382561376334</v>
      </c>
      <c r="X376" s="165">
        <v>50</v>
      </c>
      <c r="Y376" s="195">
        <v>2</v>
      </c>
      <c r="Z376" s="208">
        <v>2.2023420141735905E-5</v>
      </c>
      <c r="AA376" s="264">
        <v>5.5058550354339765E-4</v>
      </c>
      <c r="AB376" s="208">
        <v>1.5569058665551376E-5</v>
      </c>
      <c r="AC376" s="216">
        <v>36.221601292833704</v>
      </c>
      <c r="AD376" s="208">
        <v>1.3132089942456262</v>
      </c>
      <c r="AE376" s="270">
        <v>0.75818156632995004</v>
      </c>
      <c r="AF376" s="208">
        <v>30.315283851055884</v>
      </c>
      <c r="AG376" s="206">
        <v>757.88209627639719</v>
      </c>
      <c r="AH376" s="110">
        <v>2</v>
      </c>
      <c r="AI376" s="394" t="s">
        <v>620</v>
      </c>
    </row>
    <row r="377" spans="1:35" ht="16.2" hidden="1" thickBot="1" x14ac:dyDescent="0.35">
      <c r="A377" s="155">
        <v>45307</v>
      </c>
      <c r="B377" s="260">
        <v>376</v>
      </c>
      <c r="C377" s="104" t="s">
        <v>544</v>
      </c>
      <c r="D377" s="246" t="s">
        <v>0</v>
      </c>
      <c r="E377" s="246" t="s">
        <v>0</v>
      </c>
      <c r="F377" s="246" t="s">
        <v>0</v>
      </c>
      <c r="G377" s="39" t="s">
        <v>558</v>
      </c>
      <c r="H377" s="343" t="s">
        <v>373</v>
      </c>
      <c r="I377" s="107" t="s">
        <v>521</v>
      </c>
      <c r="J377" s="129" t="s">
        <v>0</v>
      </c>
      <c r="K377" s="44" t="s">
        <v>531</v>
      </c>
      <c r="L377" s="44" t="s">
        <v>521</v>
      </c>
      <c r="M377" s="107" t="s">
        <v>532</v>
      </c>
      <c r="N377" s="107" t="s">
        <v>532</v>
      </c>
      <c r="O377" s="107" t="s">
        <v>514</v>
      </c>
      <c r="P377" s="107" t="s">
        <v>574</v>
      </c>
      <c r="Q377" s="118" t="s">
        <v>0</v>
      </c>
      <c r="R377" s="111" t="s">
        <v>0</v>
      </c>
      <c r="S377" s="166">
        <v>100</v>
      </c>
      <c r="T377" s="166" t="s">
        <v>0</v>
      </c>
      <c r="U377" s="118" t="s">
        <v>0</v>
      </c>
      <c r="V377" s="169" t="s">
        <v>0</v>
      </c>
      <c r="W377" s="211">
        <v>116.77822438076446</v>
      </c>
      <c r="X377" s="169">
        <v>50</v>
      </c>
      <c r="Y377" s="205">
        <v>2</v>
      </c>
      <c r="Z377" s="211">
        <v>7.9409192578919837E-5</v>
      </c>
      <c r="AA377" s="262">
        <v>1.9852298144729958E-3</v>
      </c>
      <c r="AB377" s="211">
        <v>1.1826604734286705E-4</v>
      </c>
      <c r="AC377" s="236">
        <v>35.378804175460481</v>
      </c>
      <c r="AD377" s="211">
        <v>2.9498840498837193</v>
      </c>
      <c r="AE377" s="285">
        <v>1.7031163502785489</v>
      </c>
      <c r="AF377" s="211">
        <v>109.30691953930861</v>
      </c>
      <c r="AG377" s="248">
        <v>2732.672988482715</v>
      </c>
      <c r="AH377" s="111">
        <v>2</v>
      </c>
      <c r="AI377" s="405" t="s">
        <v>620</v>
      </c>
    </row>
    <row r="378" spans="1:35" hidden="1" x14ac:dyDescent="0.3">
      <c r="A378" s="156">
        <v>45322</v>
      </c>
      <c r="B378" s="188">
        <v>377</v>
      </c>
      <c r="C378" s="102" t="s">
        <v>544</v>
      </c>
      <c r="D378" s="103" t="s">
        <v>552</v>
      </c>
      <c r="E378" s="160" t="s">
        <v>588</v>
      </c>
      <c r="F378" s="160" t="s">
        <v>584</v>
      </c>
      <c r="G378" s="43" t="s">
        <v>559</v>
      </c>
      <c r="H378" s="344" t="s">
        <v>374</v>
      </c>
      <c r="I378" s="117" t="s">
        <v>527</v>
      </c>
      <c r="J378" s="125" t="s">
        <v>550</v>
      </c>
      <c r="K378" s="17" t="s">
        <v>532</v>
      </c>
      <c r="L378" s="36" t="s">
        <v>608</v>
      </c>
      <c r="M378" s="117" t="s">
        <v>531</v>
      </c>
      <c r="N378" s="117" t="s">
        <v>531</v>
      </c>
      <c r="O378" s="117" t="s">
        <v>571</v>
      </c>
      <c r="P378" s="117" t="s">
        <v>573</v>
      </c>
      <c r="Q378" s="136" t="s">
        <v>496</v>
      </c>
      <c r="R378" s="117" t="s">
        <v>519</v>
      </c>
      <c r="S378" s="181">
        <v>100</v>
      </c>
      <c r="T378" s="170">
        <v>25</v>
      </c>
      <c r="U378" s="136" t="s">
        <v>0</v>
      </c>
      <c r="V378" s="164" t="s">
        <v>0</v>
      </c>
      <c r="W378" s="209">
        <v>541.61579517533448</v>
      </c>
      <c r="X378" s="164">
        <v>50</v>
      </c>
      <c r="Y378" s="194">
        <v>2</v>
      </c>
      <c r="Z378" s="209">
        <v>3.6829874071922741E-4</v>
      </c>
      <c r="AA378" s="279">
        <v>9.207468517980686E-3</v>
      </c>
      <c r="AB378" s="209">
        <v>4.4206066796939301E-5</v>
      </c>
      <c r="AC378" s="232">
        <v>29.976528299314438</v>
      </c>
      <c r="AD378" s="209">
        <v>0.18996610298332942</v>
      </c>
      <c r="AE378" s="279">
        <v>0.10967698069432942</v>
      </c>
      <c r="AF378" s="209">
        <v>506.96398629435453</v>
      </c>
      <c r="AG378" s="206">
        <v>12674.099657358862</v>
      </c>
      <c r="AH378" s="117" t="s">
        <v>659</v>
      </c>
      <c r="AI378" s="404" t="s">
        <v>639</v>
      </c>
    </row>
    <row r="379" spans="1:35" hidden="1" x14ac:dyDescent="0.3">
      <c r="A379" s="154">
        <v>45322</v>
      </c>
      <c r="B379" s="188">
        <v>378</v>
      </c>
      <c r="C379" s="98" t="s">
        <v>544</v>
      </c>
      <c r="D379" s="100" t="s">
        <v>552</v>
      </c>
      <c r="E379" s="161" t="s">
        <v>588</v>
      </c>
      <c r="F379" s="161" t="s">
        <v>584</v>
      </c>
      <c r="G379" s="2" t="s">
        <v>559</v>
      </c>
      <c r="H379" s="345" t="s">
        <v>375</v>
      </c>
      <c r="I379" s="110" t="s">
        <v>527</v>
      </c>
      <c r="J379" s="121" t="s">
        <v>550</v>
      </c>
      <c r="K379" s="2" t="s">
        <v>532</v>
      </c>
      <c r="L379" s="67" t="s">
        <v>608</v>
      </c>
      <c r="M379" s="110" t="s">
        <v>531</v>
      </c>
      <c r="N379" s="110" t="s">
        <v>531</v>
      </c>
      <c r="O379" s="110" t="s">
        <v>571</v>
      </c>
      <c r="P379" s="110" t="s">
        <v>573</v>
      </c>
      <c r="Q379" s="137" t="s">
        <v>497</v>
      </c>
      <c r="R379" s="110" t="s">
        <v>519</v>
      </c>
      <c r="S379" s="166">
        <v>100</v>
      </c>
      <c r="T379" s="172">
        <v>25</v>
      </c>
      <c r="U379" s="137" t="s">
        <v>0</v>
      </c>
      <c r="V379" s="165" t="s">
        <v>0</v>
      </c>
      <c r="W379" s="208">
        <v>404.15759272471041</v>
      </c>
      <c r="X379" s="165">
        <v>50</v>
      </c>
      <c r="Y379" s="195">
        <v>2</v>
      </c>
      <c r="Z379" s="208">
        <v>2.7482716305280309E-4</v>
      </c>
      <c r="AA379" s="264">
        <v>6.8706790763200772E-3</v>
      </c>
      <c r="AB379" s="208">
        <v>7.7387937489324574E-7</v>
      </c>
      <c r="AC379" s="216">
        <v>30.445113706012108</v>
      </c>
      <c r="AD379" s="208">
        <v>4.5818467201920957E-3</v>
      </c>
      <c r="AE379" s="270">
        <v>2.6453304372885105E-3</v>
      </c>
      <c r="AF379" s="208">
        <v>378.30016429362144</v>
      </c>
      <c r="AG379" s="206">
        <v>9457.5041073405355</v>
      </c>
      <c r="AH379" s="110" t="s">
        <v>659</v>
      </c>
      <c r="AI379" s="393" t="s">
        <v>639</v>
      </c>
    </row>
    <row r="380" spans="1:35" hidden="1" x14ac:dyDescent="0.3">
      <c r="A380" s="154">
        <v>45322</v>
      </c>
      <c r="B380" s="189">
        <v>379</v>
      </c>
      <c r="C380" s="98" t="s">
        <v>544</v>
      </c>
      <c r="D380" s="99" t="s">
        <v>552</v>
      </c>
      <c r="E380" s="110" t="s">
        <v>588</v>
      </c>
      <c r="F380" s="110" t="s">
        <v>584</v>
      </c>
      <c r="G380" s="2" t="s">
        <v>559</v>
      </c>
      <c r="H380" s="345" t="s">
        <v>376</v>
      </c>
      <c r="I380" s="110" t="s">
        <v>527</v>
      </c>
      <c r="J380" s="121" t="s">
        <v>550</v>
      </c>
      <c r="K380" s="2" t="s">
        <v>532</v>
      </c>
      <c r="L380" s="67" t="s">
        <v>608</v>
      </c>
      <c r="M380" s="110" t="s">
        <v>531</v>
      </c>
      <c r="N380" s="110" t="s">
        <v>531</v>
      </c>
      <c r="O380" s="110" t="s">
        <v>571</v>
      </c>
      <c r="P380" s="110" t="s">
        <v>573</v>
      </c>
      <c r="Q380" s="137" t="s">
        <v>498</v>
      </c>
      <c r="R380" s="110" t="s">
        <v>519</v>
      </c>
      <c r="S380" s="166">
        <v>100</v>
      </c>
      <c r="T380" s="166">
        <v>25</v>
      </c>
      <c r="U380" s="89" t="s">
        <v>0</v>
      </c>
      <c r="V380" s="165" t="s">
        <v>0</v>
      </c>
      <c r="W380" s="208">
        <v>224.23906619158433</v>
      </c>
      <c r="X380" s="165">
        <v>50</v>
      </c>
      <c r="Y380" s="195">
        <v>2</v>
      </c>
      <c r="Z380" s="208">
        <v>1.5248256501027734E-4</v>
      </c>
      <c r="AA380" s="264">
        <v>3.8120641252569337E-3</v>
      </c>
      <c r="AB380" s="208">
        <v>1.8407090782099904E-5</v>
      </c>
      <c r="AC380" s="216">
        <v>31.410932257518088</v>
      </c>
      <c r="AD380" s="208">
        <v>0.19360344160010876</v>
      </c>
      <c r="AE380" s="270">
        <v>0.11177699912386078</v>
      </c>
      <c r="AF380" s="208">
        <v>209.89256940449422</v>
      </c>
      <c r="AG380" s="206">
        <v>5247.3142351123552</v>
      </c>
      <c r="AH380" s="110" t="s">
        <v>659</v>
      </c>
      <c r="AI380" s="393" t="s">
        <v>639</v>
      </c>
    </row>
    <row r="381" spans="1:35" hidden="1" x14ac:dyDescent="0.3">
      <c r="A381" s="154">
        <v>45322</v>
      </c>
      <c r="B381" s="189">
        <v>380</v>
      </c>
      <c r="C381" s="98" t="s">
        <v>544</v>
      </c>
      <c r="D381" s="99" t="s">
        <v>552</v>
      </c>
      <c r="E381" s="110" t="s">
        <v>588</v>
      </c>
      <c r="F381" s="110" t="s">
        <v>584</v>
      </c>
      <c r="G381" s="2" t="s">
        <v>559</v>
      </c>
      <c r="H381" s="345" t="s">
        <v>377</v>
      </c>
      <c r="I381" s="110" t="s">
        <v>527</v>
      </c>
      <c r="J381" s="121" t="s">
        <v>550</v>
      </c>
      <c r="K381" s="2" t="s">
        <v>532</v>
      </c>
      <c r="L381" s="67" t="s">
        <v>608</v>
      </c>
      <c r="M381" s="110" t="s">
        <v>531</v>
      </c>
      <c r="N381" s="110" t="s">
        <v>531</v>
      </c>
      <c r="O381" s="110" t="s">
        <v>571</v>
      </c>
      <c r="P381" s="110" t="s">
        <v>573</v>
      </c>
      <c r="Q381" s="137" t="s">
        <v>499</v>
      </c>
      <c r="R381" s="110" t="s">
        <v>519</v>
      </c>
      <c r="S381" s="166">
        <v>100</v>
      </c>
      <c r="T381" s="166">
        <v>25</v>
      </c>
      <c r="U381" s="67" t="s">
        <v>0</v>
      </c>
      <c r="V381" s="165" t="s">
        <v>0</v>
      </c>
      <c r="W381" s="208">
        <v>673.22550038700183</v>
      </c>
      <c r="X381" s="165">
        <v>50</v>
      </c>
      <c r="Y381" s="195">
        <v>2</v>
      </c>
      <c r="Z381" s="208">
        <v>4.577933402631613E-4</v>
      </c>
      <c r="AA381" s="264">
        <v>1.1444833506579032E-2</v>
      </c>
      <c r="AB381" s="208">
        <v>5.2624934410224573E-5</v>
      </c>
      <c r="AC381" s="216">
        <v>29.622159500041999</v>
      </c>
      <c r="AD381" s="208">
        <v>0.18240363263209511</v>
      </c>
      <c r="AE381" s="270">
        <v>0.10531078640130573</v>
      </c>
      <c r="AF381" s="208">
        <v>630.15348959813548</v>
      </c>
      <c r="AG381" s="206">
        <v>15753.837239953387</v>
      </c>
      <c r="AH381" s="110" t="s">
        <v>659</v>
      </c>
      <c r="AI381" s="393" t="s">
        <v>639</v>
      </c>
    </row>
    <row r="382" spans="1:35" hidden="1" x14ac:dyDescent="0.3">
      <c r="A382" s="154">
        <v>45322</v>
      </c>
      <c r="B382" s="189">
        <v>381</v>
      </c>
      <c r="C382" s="98" t="s">
        <v>544</v>
      </c>
      <c r="D382" s="99" t="s">
        <v>552</v>
      </c>
      <c r="E382" s="110" t="s">
        <v>588</v>
      </c>
      <c r="F382" s="110" t="s">
        <v>584</v>
      </c>
      <c r="G382" s="2" t="s">
        <v>559</v>
      </c>
      <c r="H382" s="345" t="s">
        <v>378</v>
      </c>
      <c r="I382" s="110" t="s">
        <v>527</v>
      </c>
      <c r="J382" s="121" t="s">
        <v>550</v>
      </c>
      <c r="K382" s="2" t="s">
        <v>532</v>
      </c>
      <c r="L382" s="67" t="s">
        <v>608</v>
      </c>
      <c r="M382" s="110" t="s">
        <v>531</v>
      </c>
      <c r="N382" s="110" t="s">
        <v>531</v>
      </c>
      <c r="O382" s="110" t="s">
        <v>571</v>
      </c>
      <c r="P382" s="110" t="s">
        <v>573</v>
      </c>
      <c r="Q382" s="137" t="s">
        <v>499</v>
      </c>
      <c r="R382" s="110" t="s">
        <v>519</v>
      </c>
      <c r="S382" s="166">
        <v>100</v>
      </c>
      <c r="T382" s="166">
        <v>25</v>
      </c>
      <c r="U382" s="67" t="s">
        <v>0</v>
      </c>
      <c r="V382" s="165" t="s">
        <v>0</v>
      </c>
      <c r="W382" s="208">
        <v>349.00963079076308</v>
      </c>
      <c r="X382" s="165">
        <v>50</v>
      </c>
      <c r="Y382" s="195">
        <v>2</v>
      </c>
      <c r="Z382" s="208">
        <v>2.373265489377189E-4</v>
      </c>
      <c r="AA382" s="264">
        <v>5.9331637234429722E-3</v>
      </c>
      <c r="AB382" s="208">
        <v>2.7701433642185868E-5</v>
      </c>
      <c r="AC382" s="201">
        <v>30.69095195004644</v>
      </c>
      <c r="AD382" s="201">
        <v>0.18716499900334593</v>
      </c>
      <c r="AE382" s="265">
        <v>0.10805976255745782</v>
      </c>
      <c r="AF382" s="208">
        <v>326.68049059301865</v>
      </c>
      <c r="AG382" s="206">
        <v>8167.0122648254655</v>
      </c>
      <c r="AH382" s="110" t="s">
        <v>659</v>
      </c>
      <c r="AI382" s="393" t="s">
        <v>639</v>
      </c>
    </row>
    <row r="383" spans="1:35" hidden="1" x14ac:dyDescent="0.3">
      <c r="A383" s="154">
        <v>45322</v>
      </c>
      <c r="B383" s="189">
        <v>382</v>
      </c>
      <c r="C383" s="98" t="s">
        <v>544</v>
      </c>
      <c r="D383" s="99" t="s">
        <v>552</v>
      </c>
      <c r="E383" s="110" t="s">
        <v>588</v>
      </c>
      <c r="F383" s="110" t="s">
        <v>584</v>
      </c>
      <c r="G383" s="2" t="s">
        <v>559</v>
      </c>
      <c r="H383" s="345" t="s">
        <v>379</v>
      </c>
      <c r="I383" s="110" t="s">
        <v>527</v>
      </c>
      <c r="J383" s="121" t="s">
        <v>550</v>
      </c>
      <c r="K383" s="2" t="s">
        <v>532</v>
      </c>
      <c r="L383" s="67" t="s">
        <v>608</v>
      </c>
      <c r="M383" s="110" t="s">
        <v>531</v>
      </c>
      <c r="N383" s="110" t="s">
        <v>531</v>
      </c>
      <c r="O383" s="110" t="s">
        <v>571</v>
      </c>
      <c r="P383" s="110" t="s">
        <v>573</v>
      </c>
      <c r="Q383" s="137" t="s">
        <v>500</v>
      </c>
      <c r="R383" s="110" t="s">
        <v>519</v>
      </c>
      <c r="S383" s="166">
        <v>100</v>
      </c>
      <c r="T383" s="166">
        <v>25</v>
      </c>
      <c r="U383" s="67" t="s">
        <v>0</v>
      </c>
      <c r="V383" s="165" t="s">
        <v>0</v>
      </c>
      <c r="W383" s="208">
        <v>174.12380000134499</v>
      </c>
      <c r="X383" s="165">
        <v>50</v>
      </c>
      <c r="Y383" s="195">
        <v>2</v>
      </c>
      <c r="Z383" s="208">
        <v>1.1840418400091459E-4</v>
      </c>
      <c r="AA383" s="264">
        <v>2.9601046000228646E-3</v>
      </c>
      <c r="AB383" s="208">
        <v>6.3444790018226032E-6</v>
      </c>
      <c r="AC383" s="201">
        <v>31.816082594812908</v>
      </c>
      <c r="AD383" s="201">
        <v>8.5918735002814883E-2</v>
      </c>
      <c r="AE383" s="265">
        <v>4.9605204782307295E-2</v>
      </c>
      <c r="AF383" s="208">
        <v>162.98360672591934</v>
      </c>
      <c r="AG383" s="206">
        <v>4074.5901681479827</v>
      </c>
      <c r="AH383" s="110" t="s">
        <v>659</v>
      </c>
      <c r="AI383" s="393" t="s">
        <v>639</v>
      </c>
    </row>
    <row r="384" spans="1:35" hidden="1" x14ac:dyDescent="0.3">
      <c r="A384" s="154">
        <v>45322</v>
      </c>
      <c r="B384" s="189">
        <v>383</v>
      </c>
      <c r="C384" s="98" t="s">
        <v>544</v>
      </c>
      <c r="D384" s="99" t="s">
        <v>552</v>
      </c>
      <c r="E384" s="110" t="s">
        <v>588</v>
      </c>
      <c r="F384" s="110" t="s">
        <v>584</v>
      </c>
      <c r="G384" s="2" t="s">
        <v>559</v>
      </c>
      <c r="H384" s="345" t="s">
        <v>380</v>
      </c>
      <c r="I384" s="110" t="s">
        <v>527</v>
      </c>
      <c r="J384" s="121" t="s">
        <v>550</v>
      </c>
      <c r="K384" s="2" t="s">
        <v>532</v>
      </c>
      <c r="L384" s="67" t="s">
        <v>608</v>
      </c>
      <c r="M384" s="110" t="s">
        <v>531</v>
      </c>
      <c r="N384" s="110" t="s">
        <v>531</v>
      </c>
      <c r="O384" s="110" t="s">
        <v>571</v>
      </c>
      <c r="P384" s="110" t="s">
        <v>573</v>
      </c>
      <c r="Q384" s="137" t="s">
        <v>502</v>
      </c>
      <c r="R384" s="110" t="s">
        <v>519</v>
      </c>
      <c r="S384" s="166">
        <v>100</v>
      </c>
      <c r="T384" s="166">
        <v>25</v>
      </c>
      <c r="U384" s="67" t="s">
        <v>0</v>
      </c>
      <c r="V384" s="165" t="s">
        <v>0</v>
      </c>
      <c r="W384" s="208">
        <v>298.96359087068669</v>
      </c>
      <c r="X384" s="165">
        <v>50</v>
      </c>
      <c r="Y384" s="195">
        <v>2</v>
      </c>
      <c r="Z384" s="208">
        <v>2.0329524179206693E-4</v>
      </c>
      <c r="AA384" s="264">
        <v>5.0823810448016732E-3</v>
      </c>
      <c r="AB384" s="208">
        <v>1.2840744032799712E-5</v>
      </c>
      <c r="AC384" s="201">
        <v>30.937541076510922</v>
      </c>
      <c r="AD384" s="201">
        <v>0.10103790533379486</v>
      </c>
      <c r="AE384" s="265">
        <v>5.8334261842822394E-2</v>
      </c>
      <c r="AF384" s="208">
        <v>279.8363251862196</v>
      </c>
      <c r="AG384" s="206">
        <v>6995.9081296554905</v>
      </c>
      <c r="AH384" s="110" t="s">
        <v>659</v>
      </c>
      <c r="AI384" s="393" t="s">
        <v>639</v>
      </c>
    </row>
    <row r="385" spans="1:35" hidden="1" x14ac:dyDescent="0.3">
      <c r="A385" s="154">
        <v>45322</v>
      </c>
      <c r="B385" s="189">
        <v>384</v>
      </c>
      <c r="C385" s="98" t="s">
        <v>544</v>
      </c>
      <c r="D385" s="99" t="s">
        <v>552</v>
      </c>
      <c r="E385" s="110" t="s">
        <v>588</v>
      </c>
      <c r="F385" s="110" t="s">
        <v>584</v>
      </c>
      <c r="G385" s="2" t="s">
        <v>559</v>
      </c>
      <c r="H385" s="345" t="s">
        <v>381</v>
      </c>
      <c r="I385" s="110" t="s">
        <v>527</v>
      </c>
      <c r="J385" s="122" t="s">
        <v>551</v>
      </c>
      <c r="K385" s="2" t="s">
        <v>532</v>
      </c>
      <c r="L385" s="67" t="s">
        <v>608</v>
      </c>
      <c r="M385" s="110" t="s">
        <v>531</v>
      </c>
      <c r="N385" s="110" t="s">
        <v>531</v>
      </c>
      <c r="O385" s="110" t="s">
        <v>571</v>
      </c>
      <c r="P385" s="110" t="s">
        <v>573</v>
      </c>
      <c r="Q385" s="137" t="s">
        <v>496</v>
      </c>
      <c r="R385" s="110" t="s">
        <v>519</v>
      </c>
      <c r="S385" s="166">
        <v>100</v>
      </c>
      <c r="T385" s="166">
        <v>25</v>
      </c>
      <c r="U385" s="67" t="s">
        <v>0</v>
      </c>
      <c r="V385" s="165" t="s">
        <v>0</v>
      </c>
      <c r="W385" s="208">
        <v>481.77294951366287</v>
      </c>
      <c r="X385" s="165">
        <v>50</v>
      </c>
      <c r="Y385" s="195">
        <v>2</v>
      </c>
      <c r="Z385" s="208">
        <v>3.2760560566929073E-4</v>
      </c>
      <c r="AA385" s="264">
        <v>8.1901401417322685E-3</v>
      </c>
      <c r="AB385" s="208">
        <v>2.9832941524192383E-5</v>
      </c>
      <c r="AC385" s="201">
        <v>30.163808849156066</v>
      </c>
      <c r="AD385" s="201">
        <v>0.14562962365400309</v>
      </c>
      <c r="AE385" s="265">
        <v>8.4079302418622576E-2</v>
      </c>
      <c r="AF385" s="208">
        <v>450.94980085499225</v>
      </c>
      <c r="AG385" s="206">
        <v>11273.745021374805</v>
      </c>
      <c r="AH385" s="110" t="s">
        <v>659</v>
      </c>
      <c r="AI385" s="393" t="s">
        <v>640</v>
      </c>
    </row>
    <row r="386" spans="1:35" hidden="1" x14ac:dyDescent="0.3">
      <c r="A386" s="154">
        <v>45322</v>
      </c>
      <c r="B386" s="189">
        <v>385</v>
      </c>
      <c r="C386" s="98" t="s">
        <v>544</v>
      </c>
      <c r="D386" s="99" t="s">
        <v>552</v>
      </c>
      <c r="E386" s="110" t="s">
        <v>588</v>
      </c>
      <c r="F386" s="110" t="s">
        <v>584</v>
      </c>
      <c r="G386" s="2" t="s">
        <v>559</v>
      </c>
      <c r="H386" s="345" t="s">
        <v>382</v>
      </c>
      <c r="I386" s="110" t="s">
        <v>527</v>
      </c>
      <c r="J386" s="122" t="s">
        <v>551</v>
      </c>
      <c r="K386" s="2" t="s">
        <v>532</v>
      </c>
      <c r="L386" s="67" t="s">
        <v>608</v>
      </c>
      <c r="M386" s="110" t="s">
        <v>531</v>
      </c>
      <c r="N386" s="110" t="s">
        <v>531</v>
      </c>
      <c r="O386" s="110" t="s">
        <v>571</v>
      </c>
      <c r="P386" s="110" t="s">
        <v>573</v>
      </c>
      <c r="Q386" s="137" t="s">
        <v>497</v>
      </c>
      <c r="R386" s="110" t="s">
        <v>519</v>
      </c>
      <c r="S386" s="166">
        <v>100</v>
      </c>
      <c r="T386" s="166">
        <v>25</v>
      </c>
      <c r="U386" s="67" t="s">
        <v>0</v>
      </c>
      <c r="V386" s="165" t="s">
        <v>0</v>
      </c>
      <c r="W386" s="208">
        <v>30.953020084417808</v>
      </c>
      <c r="X386" s="165">
        <v>50</v>
      </c>
      <c r="Y386" s="195">
        <v>2</v>
      </c>
      <c r="Z386" s="208">
        <v>2.1048053657404111E-5</v>
      </c>
      <c r="AA386" s="264">
        <v>5.2620134143510275E-4</v>
      </c>
      <c r="AB386" s="208">
        <v>1.1937100575975787E-5</v>
      </c>
      <c r="AC386" s="201">
        <v>34.833198320091064</v>
      </c>
      <c r="AD386" s="201">
        <v>1.0585465093409159</v>
      </c>
      <c r="AE386" s="265">
        <v>0.61115211211771647</v>
      </c>
      <c r="AF386" s="208">
        <v>28.972689846989709</v>
      </c>
      <c r="AG386" s="206">
        <v>724.31724617474276</v>
      </c>
      <c r="AH386" s="110" t="s">
        <v>659</v>
      </c>
      <c r="AI386" s="393" t="s">
        <v>640</v>
      </c>
    </row>
    <row r="387" spans="1:35" hidden="1" x14ac:dyDescent="0.3">
      <c r="A387" s="154">
        <v>45322</v>
      </c>
      <c r="B387" s="189">
        <v>386</v>
      </c>
      <c r="C387" s="98" t="s">
        <v>544</v>
      </c>
      <c r="D387" s="99" t="s">
        <v>552</v>
      </c>
      <c r="E387" s="110" t="s">
        <v>588</v>
      </c>
      <c r="F387" s="110" t="s">
        <v>584</v>
      </c>
      <c r="G387" s="2" t="s">
        <v>559</v>
      </c>
      <c r="H387" s="345" t="s">
        <v>383</v>
      </c>
      <c r="I387" s="110" t="s">
        <v>527</v>
      </c>
      <c r="J387" s="122" t="s">
        <v>551</v>
      </c>
      <c r="K387" s="2" t="s">
        <v>532</v>
      </c>
      <c r="L387" s="67" t="s">
        <v>608</v>
      </c>
      <c r="M387" s="110" t="s">
        <v>531</v>
      </c>
      <c r="N387" s="110" t="s">
        <v>531</v>
      </c>
      <c r="O387" s="110" t="s">
        <v>571</v>
      </c>
      <c r="P387" s="110" t="s">
        <v>573</v>
      </c>
      <c r="Q387" s="137" t="s">
        <v>498</v>
      </c>
      <c r="R387" s="110" t="s">
        <v>519</v>
      </c>
      <c r="S387" s="166">
        <v>100</v>
      </c>
      <c r="T387" s="166">
        <v>25</v>
      </c>
      <c r="U387" s="67" t="s">
        <v>0</v>
      </c>
      <c r="V387" s="165" t="s">
        <v>0</v>
      </c>
      <c r="W387" s="208">
        <v>312.31219103834565</v>
      </c>
      <c r="X387" s="165">
        <v>50</v>
      </c>
      <c r="Y387" s="195">
        <v>2</v>
      </c>
      <c r="Z387" s="208">
        <v>2.1237228990607501E-4</v>
      </c>
      <c r="AA387" s="264">
        <v>5.3093072476518757E-3</v>
      </c>
      <c r="AB387" s="208">
        <v>1.3727155841879229E-5</v>
      </c>
      <c r="AC387" s="201">
        <v>30.866597116267645</v>
      </c>
      <c r="AD387" s="201">
        <v>0.10330241851457644</v>
      </c>
      <c r="AE387" s="265">
        <v>5.9641679137330095E-2</v>
      </c>
      <c r="AF387" s="208">
        <v>292.3309008849493</v>
      </c>
      <c r="AG387" s="206">
        <v>7308.2725221237315</v>
      </c>
      <c r="AH387" s="110" t="s">
        <v>659</v>
      </c>
      <c r="AI387" s="393" t="s">
        <v>640</v>
      </c>
    </row>
    <row r="388" spans="1:35" hidden="1" x14ac:dyDescent="0.3">
      <c r="A388" s="154">
        <v>45322</v>
      </c>
      <c r="B388" s="189">
        <v>387</v>
      </c>
      <c r="C388" s="98" t="s">
        <v>544</v>
      </c>
      <c r="D388" s="99" t="s">
        <v>552</v>
      </c>
      <c r="E388" s="110" t="s">
        <v>588</v>
      </c>
      <c r="F388" s="110" t="s">
        <v>584</v>
      </c>
      <c r="G388" s="2" t="s">
        <v>559</v>
      </c>
      <c r="H388" s="345" t="s">
        <v>384</v>
      </c>
      <c r="I388" s="110" t="s">
        <v>527</v>
      </c>
      <c r="J388" s="122" t="s">
        <v>551</v>
      </c>
      <c r="K388" s="2" t="s">
        <v>532</v>
      </c>
      <c r="L388" s="67" t="s">
        <v>608</v>
      </c>
      <c r="M388" s="110" t="s">
        <v>531</v>
      </c>
      <c r="N388" s="110" t="s">
        <v>531</v>
      </c>
      <c r="O388" s="110" t="s">
        <v>571</v>
      </c>
      <c r="P388" s="110" t="s">
        <v>573</v>
      </c>
      <c r="Q388" s="137" t="s">
        <v>499</v>
      </c>
      <c r="R388" s="110" t="s">
        <v>519</v>
      </c>
      <c r="S388" s="166">
        <v>100</v>
      </c>
      <c r="T388" s="166">
        <v>25</v>
      </c>
      <c r="U388" s="67" t="s">
        <v>0</v>
      </c>
      <c r="V388" s="165" t="s">
        <v>0</v>
      </c>
      <c r="W388" s="208">
        <v>342.69894222706091</v>
      </c>
      <c r="X388" s="165">
        <v>50</v>
      </c>
      <c r="Y388" s="195">
        <v>2</v>
      </c>
      <c r="Z388" s="208">
        <v>2.3303528071440141E-4</v>
      </c>
      <c r="AA388" s="264">
        <v>5.8258820178600356E-3</v>
      </c>
      <c r="AB388" s="208">
        <v>1.5390802728736238E-5</v>
      </c>
      <c r="AC388" s="201">
        <v>30.715720336864411</v>
      </c>
      <c r="AD388" s="201">
        <v>0.10660290663769567</v>
      </c>
      <c r="AE388" s="265">
        <v>6.1547216843670143E-2</v>
      </c>
      <c r="AF388" s="208">
        <v>320.77355091545445</v>
      </c>
      <c r="AG388" s="206">
        <v>8019.3387728863627</v>
      </c>
      <c r="AH388" s="110" t="s">
        <v>659</v>
      </c>
      <c r="AI388" s="393" t="s">
        <v>640</v>
      </c>
    </row>
    <row r="389" spans="1:35" hidden="1" x14ac:dyDescent="0.3">
      <c r="A389" s="154">
        <v>45322</v>
      </c>
      <c r="B389" s="189">
        <v>388</v>
      </c>
      <c r="C389" s="98" t="s">
        <v>544</v>
      </c>
      <c r="D389" s="99" t="s">
        <v>552</v>
      </c>
      <c r="E389" s="110" t="s">
        <v>588</v>
      </c>
      <c r="F389" s="110" t="s">
        <v>584</v>
      </c>
      <c r="G389" s="2" t="s">
        <v>559</v>
      </c>
      <c r="H389" s="345" t="s">
        <v>385</v>
      </c>
      <c r="I389" s="110" t="s">
        <v>527</v>
      </c>
      <c r="J389" s="122" t="s">
        <v>551</v>
      </c>
      <c r="K389" s="2" t="s">
        <v>532</v>
      </c>
      <c r="L389" s="67" t="s">
        <v>608</v>
      </c>
      <c r="M389" s="110" t="s">
        <v>531</v>
      </c>
      <c r="N389" s="110" t="s">
        <v>531</v>
      </c>
      <c r="O389" s="110" t="s">
        <v>571</v>
      </c>
      <c r="P389" s="110" t="s">
        <v>573</v>
      </c>
      <c r="Q389" s="137" t="s">
        <v>499</v>
      </c>
      <c r="R389" s="110" t="s">
        <v>519</v>
      </c>
      <c r="S389" s="166">
        <v>100</v>
      </c>
      <c r="T389" s="166">
        <v>25</v>
      </c>
      <c r="U389" s="67" t="s">
        <v>0</v>
      </c>
      <c r="V389" s="165" t="s">
        <v>0</v>
      </c>
      <c r="W389" s="208">
        <v>430.270278147206</v>
      </c>
      <c r="X389" s="165">
        <v>50</v>
      </c>
      <c r="Y389" s="195">
        <v>2</v>
      </c>
      <c r="Z389" s="208">
        <v>2.9258378914010007E-4</v>
      </c>
      <c r="AA389" s="264">
        <v>7.314594728502502E-3</v>
      </c>
      <c r="AB389" s="208">
        <v>3.7753115485840416E-5</v>
      </c>
      <c r="AC389" s="201">
        <v>30.352596784882</v>
      </c>
      <c r="AD389" s="201">
        <v>0.21477362016372251</v>
      </c>
      <c r="AE389" s="265">
        <v>0.12399960741635563</v>
      </c>
      <c r="AF389" s="208">
        <v>402.74219721172216</v>
      </c>
      <c r="AG389" s="206">
        <v>10068.554930293054</v>
      </c>
      <c r="AH389" s="110" t="s">
        <v>659</v>
      </c>
      <c r="AI389" s="393" t="s">
        <v>640</v>
      </c>
    </row>
    <row r="390" spans="1:35" hidden="1" x14ac:dyDescent="0.3">
      <c r="A390" s="154">
        <v>45322</v>
      </c>
      <c r="B390" s="189">
        <v>389</v>
      </c>
      <c r="C390" s="98" t="s">
        <v>544</v>
      </c>
      <c r="D390" s="99" t="s">
        <v>552</v>
      </c>
      <c r="E390" s="110" t="s">
        <v>588</v>
      </c>
      <c r="F390" s="110" t="s">
        <v>584</v>
      </c>
      <c r="G390" s="2" t="s">
        <v>559</v>
      </c>
      <c r="H390" s="345" t="s">
        <v>386</v>
      </c>
      <c r="I390" s="110" t="s">
        <v>527</v>
      </c>
      <c r="J390" s="122" t="s">
        <v>551</v>
      </c>
      <c r="K390" s="2" t="s">
        <v>532</v>
      </c>
      <c r="L390" s="67" t="s">
        <v>608</v>
      </c>
      <c r="M390" s="110" t="s">
        <v>531</v>
      </c>
      <c r="N390" s="110" t="s">
        <v>531</v>
      </c>
      <c r="O390" s="110" t="s">
        <v>571</v>
      </c>
      <c r="P390" s="110" t="s">
        <v>573</v>
      </c>
      <c r="Q390" s="137" t="s">
        <v>500</v>
      </c>
      <c r="R390" s="110" t="s">
        <v>519</v>
      </c>
      <c r="S390" s="166">
        <v>100</v>
      </c>
      <c r="T390" s="166">
        <v>25</v>
      </c>
      <c r="U390" s="67" t="s">
        <v>0</v>
      </c>
      <c r="V390" s="165" t="s">
        <v>0</v>
      </c>
      <c r="W390" s="208">
        <v>460.89549126671426</v>
      </c>
      <c r="X390" s="165">
        <v>50</v>
      </c>
      <c r="Y390" s="195">
        <v>2</v>
      </c>
      <c r="Z390" s="208">
        <v>3.1340893406136573E-4</v>
      </c>
      <c r="AA390" s="264">
        <v>7.8352233515341426E-3</v>
      </c>
      <c r="AB390" s="208">
        <v>2.5935619579689954E-5</v>
      </c>
      <c r="AC390" s="201">
        <v>30.235091711179397</v>
      </c>
      <c r="AD390" s="201">
        <v>0.13231003900184488</v>
      </c>
      <c r="AE390" s="265">
        <v>7.6389236634205021E-2</v>
      </c>
      <c r="AF390" s="208">
        <v>431.40805271756824</v>
      </c>
      <c r="AG390" s="206">
        <v>10785.201317939205</v>
      </c>
      <c r="AH390" s="110" t="s">
        <v>659</v>
      </c>
      <c r="AI390" s="393" t="s">
        <v>640</v>
      </c>
    </row>
    <row r="391" spans="1:35" hidden="1" x14ac:dyDescent="0.3">
      <c r="A391" s="154">
        <v>45322</v>
      </c>
      <c r="B391" s="189">
        <v>390</v>
      </c>
      <c r="C391" s="98" t="s">
        <v>544</v>
      </c>
      <c r="D391" s="99" t="s">
        <v>552</v>
      </c>
      <c r="E391" s="110" t="s">
        <v>588</v>
      </c>
      <c r="F391" s="110" t="s">
        <v>584</v>
      </c>
      <c r="G391" s="2" t="s">
        <v>559</v>
      </c>
      <c r="H391" s="345" t="s">
        <v>387</v>
      </c>
      <c r="I391" s="110" t="s">
        <v>527</v>
      </c>
      <c r="J391" s="122" t="s">
        <v>551</v>
      </c>
      <c r="K391" s="2" t="s">
        <v>532</v>
      </c>
      <c r="L391" s="67" t="s">
        <v>608</v>
      </c>
      <c r="M391" s="110" t="s">
        <v>531</v>
      </c>
      <c r="N391" s="110" t="s">
        <v>531</v>
      </c>
      <c r="O391" s="110" t="s">
        <v>571</v>
      </c>
      <c r="P391" s="110" t="s">
        <v>573</v>
      </c>
      <c r="Q391" s="137" t="s">
        <v>502</v>
      </c>
      <c r="R391" s="110" t="s">
        <v>519</v>
      </c>
      <c r="S391" s="166">
        <v>100</v>
      </c>
      <c r="T391" s="166">
        <v>25</v>
      </c>
      <c r="U391" s="67" t="s">
        <v>0</v>
      </c>
      <c r="V391" s="165" t="s">
        <v>0</v>
      </c>
      <c r="W391" s="208">
        <v>109.85777025650007</v>
      </c>
      <c r="X391" s="165">
        <v>50</v>
      </c>
      <c r="Y391" s="195">
        <v>2</v>
      </c>
      <c r="Z391" s="208">
        <v>7.4703283774420052E-5</v>
      </c>
      <c r="AA391" s="264">
        <v>1.8675820943605012E-3</v>
      </c>
      <c r="AB391" s="208">
        <v>1.0528284336638584E-5</v>
      </c>
      <c r="AC391" s="201">
        <v>32.574203778036825</v>
      </c>
      <c r="AD391" s="201">
        <v>0.22628057593130071</v>
      </c>
      <c r="AE391" s="265">
        <v>0.13064315142632002</v>
      </c>
      <c r="AF391" s="208">
        <v>102.82922623520452</v>
      </c>
      <c r="AG391" s="206">
        <v>2570.7306558801129</v>
      </c>
      <c r="AH391" s="110" t="s">
        <v>659</v>
      </c>
      <c r="AI391" s="393" t="s">
        <v>640</v>
      </c>
    </row>
    <row r="392" spans="1:35" hidden="1" x14ac:dyDescent="0.3">
      <c r="A392" s="154">
        <v>45322</v>
      </c>
      <c r="B392" s="188">
        <v>391</v>
      </c>
      <c r="C392" s="98" t="s">
        <v>544</v>
      </c>
      <c r="D392" s="99" t="s">
        <v>552</v>
      </c>
      <c r="E392" s="110" t="s">
        <v>588</v>
      </c>
      <c r="F392" s="110" t="s">
        <v>584</v>
      </c>
      <c r="G392" s="2" t="s">
        <v>559</v>
      </c>
      <c r="H392" s="345" t="s">
        <v>388</v>
      </c>
      <c r="I392" s="110" t="s">
        <v>526</v>
      </c>
      <c r="J392" s="121" t="s">
        <v>550</v>
      </c>
      <c r="K392" s="2" t="s">
        <v>531</v>
      </c>
      <c r="L392" s="67" t="s">
        <v>535</v>
      </c>
      <c r="M392" s="110" t="s">
        <v>531</v>
      </c>
      <c r="N392" s="110" t="s">
        <v>532</v>
      </c>
      <c r="O392" s="110" t="s">
        <v>571</v>
      </c>
      <c r="P392" s="110" t="s">
        <v>573</v>
      </c>
      <c r="Q392" s="137" t="s">
        <v>0</v>
      </c>
      <c r="R392" s="110" t="s">
        <v>519</v>
      </c>
      <c r="S392" s="166">
        <v>100</v>
      </c>
      <c r="T392" s="166" t="s">
        <v>0</v>
      </c>
      <c r="U392" s="67" t="s">
        <v>0</v>
      </c>
      <c r="V392" s="165" t="s">
        <v>0</v>
      </c>
      <c r="W392" s="208">
        <v>23.829307329377375</v>
      </c>
      <c r="X392" s="165">
        <v>50</v>
      </c>
      <c r="Y392" s="195">
        <v>2</v>
      </c>
      <c r="Z392" s="208">
        <v>1.6203928983976615E-5</v>
      </c>
      <c r="AA392" s="264">
        <v>4.050982245994154E-4</v>
      </c>
      <c r="AB392" s="208">
        <v>1.5964845049086365E-5</v>
      </c>
      <c r="AC392" s="220">
        <v>35.633000000000003</v>
      </c>
      <c r="AD392" s="201">
        <v>1.7209099999999999</v>
      </c>
      <c r="AE392" s="265">
        <v>0.99356999999999995</v>
      </c>
      <c r="AF392" s="208">
        <v>22.304742110454225</v>
      </c>
      <c r="AG392" s="206">
        <v>557.61855276135577</v>
      </c>
      <c r="AH392" s="110">
        <v>2</v>
      </c>
      <c r="AI392" s="393" t="s">
        <v>610</v>
      </c>
    </row>
    <row r="393" spans="1:35" hidden="1" x14ac:dyDescent="0.3">
      <c r="A393" s="154">
        <v>45322</v>
      </c>
      <c r="B393" s="189">
        <v>392</v>
      </c>
      <c r="C393" s="98" t="s">
        <v>544</v>
      </c>
      <c r="D393" s="99" t="s">
        <v>552</v>
      </c>
      <c r="E393" s="110" t="s">
        <v>588</v>
      </c>
      <c r="F393" s="110" t="s">
        <v>584</v>
      </c>
      <c r="G393" s="2" t="s">
        <v>559</v>
      </c>
      <c r="H393" s="345" t="s">
        <v>389</v>
      </c>
      <c r="I393" s="110" t="s">
        <v>528</v>
      </c>
      <c r="J393" s="121" t="s">
        <v>550</v>
      </c>
      <c r="K393" s="2" t="s">
        <v>531</v>
      </c>
      <c r="L393" s="67" t="s">
        <v>534</v>
      </c>
      <c r="M393" s="110" t="s">
        <v>531</v>
      </c>
      <c r="N393" s="110" t="s">
        <v>532</v>
      </c>
      <c r="O393" s="110" t="s">
        <v>571</v>
      </c>
      <c r="P393" s="110" t="s">
        <v>573</v>
      </c>
      <c r="Q393" s="137" t="s">
        <v>0</v>
      </c>
      <c r="R393" s="110" t="s">
        <v>519</v>
      </c>
      <c r="S393" s="166">
        <v>100</v>
      </c>
      <c r="T393" s="166" t="s">
        <v>0</v>
      </c>
      <c r="U393" s="67" t="s">
        <v>0</v>
      </c>
      <c r="V393" s="165" t="s">
        <v>0</v>
      </c>
      <c r="W393" s="208">
        <v>6.129928541804289</v>
      </c>
      <c r="X393" s="165">
        <v>50</v>
      </c>
      <c r="Y393" s="195">
        <v>2</v>
      </c>
      <c r="Z393" s="208">
        <v>4.1683514084269161E-6</v>
      </c>
      <c r="AA393" s="264">
        <v>1.0420878521067291E-4</v>
      </c>
      <c r="AB393" s="208">
        <v>1.116257393583803E-6</v>
      </c>
      <c r="AC393" s="201">
        <v>37.293799999999997</v>
      </c>
      <c r="AD393" s="201">
        <v>0.41549999999999998</v>
      </c>
      <c r="AE393" s="265">
        <v>0.23988999999999999</v>
      </c>
      <c r="AF393" s="208">
        <v>5.7377444249878602</v>
      </c>
      <c r="AG393" s="206">
        <v>143.4436106246965</v>
      </c>
      <c r="AH393" s="110">
        <v>2</v>
      </c>
      <c r="AI393" s="394" t="s">
        <v>617</v>
      </c>
    </row>
    <row r="394" spans="1:35" hidden="1" x14ac:dyDescent="0.3">
      <c r="A394" s="154">
        <v>45322</v>
      </c>
      <c r="B394" s="189">
        <v>393</v>
      </c>
      <c r="C394" s="98" t="s">
        <v>544</v>
      </c>
      <c r="D394" s="99" t="s">
        <v>552</v>
      </c>
      <c r="E394" s="110" t="s">
        <v>588</v>
      </c>
      <c r="F394" s="110" t="s">
        <v>584</v>
      </c>
      <c r="G394" s="2" t="s">
        <v>559</v>
      </c>
      <c r="H394" s="345" t="s">
        <v>390</v>
      </c>
      <c r="I394" s="110" t="s">
        <v>528</v>
      </c>
      <c r="J394" s="122" t="s">
        <v>551</v>
      </c>
      <c r="K394" s="2" t="s">
        <v>531</v>
      </c>
      <c r="L394" s="67" t="s">
        <v>534</v>
      </c>
      <c r="M394" s="110" t="s">
        <v>531</v>
      </c>
      <c r="N394" s="110" t="s">
        <v>532</v>
      </c>
      <c r="O394" s="110" t="s">
        <v>571</v>
      </c>
      <c r="P394" s="110" t="s">
        <v>573</v>
      </c>
      <c r="Q394" s="137" t="s">
        <v>0</v>
      </c>
      <c r="R394" s="110" t="s">
        <v>519</v>
      </c>
      <c r="S394" s="166">
        <v>100</v>
      </c>
      <c r="T394" s="166" t="s">
        <v>0</v>
      </c>
      <c r="U394" s="67" t="s">
        <v>0</v>
      </c>
      <c r="V394" s="165" t="s">
        <v>0</v>
      </c>
      <c r="W394" s="208">
        <v>4.6099793779187923</v>
      </c>
      <c r="X394" s="165">
        <v>50</v>
      </c>
      <c r="Y394" s="195">
        <v>2</v>
      </c>
      <c r="Z394" s="208">
        <v>3.1347859769847787E-6</v>
      </c>
      <c r="AA394" s="264">
        <v>7.8369649424619463E-5</v>
      </c>
      <c r="AB394" s="208">
        <v>2.3613145441988211E-6</v>
      </c>
      <c r="AC394" s="201">
        <v>38.091299999999997</v>
      </c>
      <c r="AD394" s="201">
        <v>1.41191</v>
      </c>
      <c r="AE394" s="265">
        <v>0.81516999999999995</v>
      </c>
      <c r="AF394" s="208">
        <v>4.3150394485964068</v>
      </c>
      <c r="AG394" s="206">
        <v>107.87598621491017</v>
      </c>
      <c r="AH394" s="110">
        <v>2</v>
      </c>
      <c r="AI394" s="394" t="s">
        <v>618</v>
      </c>
    </row>
    <row r="395" spans="1:35" hidden="1" x14ac:dyDescent="0.3">
      <c r="A395" s="154">
        <v>45322</v>
      </c>
      <c r="B395" s="189">
        <v>394</v>
      </c>
      <c r="C395" s="98" t="s">
        <v>544</v>
      </c>
      <c r="D395" s="99" t="s">
        <v>552</v>
      </c>
      <c r="E395" s="110" t="s">
        <v>588</v>
      </c>
      <c r="F395" s="110" t="s">
        <v>584</v>
      </c>
      <c r="G395" s="2" t="s">
        <v>559</v>
      </c>
      <c r="H395" s="345" t="s">
        <v>391</v>
      </c>
      <c r="I395" s="110" t="s">
        <v>526</v>
      </c>
      <c r="J395" s="122" t="s">
        <v>551</v>
      </c>
      <c r="K395" s="2" t="s">
        <v>531</v>
      </c>
      <c r="L395" s="67" t="s">
        <v>535</v>
      </c>
      <c r="M395" s="110" t="s">
        <v>531</v>
      </c>
      <c r="N395" s="110" t="s">
        <v>532</v>
      </c>
      <c r="O395" s="110" t="s">
        <v>571</v>
      </c>
      <c r="P395" s="110" t="s">
        <v>573</v>
      </c>
      <c r="Q395" s="137" t="s">
        <v>0</v>
      </c>
      <c r="R395" s="110" t="s">
        <v>519</v>
      </c>
      <c r="S395" s="166">
        <v>100</v>
      </c>
      <c r="T395" s="166" t="s">
        <v>0</v>
      </c>
      <c r="U395" s="67" t="s">
        <v>0</v>
      </c>
      <c r="V395" s="165" t="s">
        <v>0</v>
      </c>
      <c r="W395" s="208" t="s">
        <v>0</v>
      </c>
      <c r="X395" s="165">
        <v>50</v>
      </c>
      <c r="Y395" s="195">
        <v>2</v>
      </c>
      <c r="Z395" s="302" t="s">
        <v>0</v>
      </c>
      <c r="AA395" s="303" t="s">
        <v>0</v>
      </c>
      <c r="AB395" s="302" t="s">
        <v>0</v>
      </c>
      <c r="AC395" s="204">
        <v>37.139800000000001</v>
      </c>
      <c r="AD395" s="204">
        <v>0.91715999999999998</v>
      </c>
      <c r="AE395" s="291">
        <v>0.64853000000000005</v>
      </c>
      <c r="AF395" s="302" t="s">
        <v>0</v>
      </c>
      <c r="AG395" s="388" t="s">
        <v>0</v>
      </c>
      <c r="AH395" s="403"/>
      <c r="AI395" s="393"/>
    </row>
    <row r="396" spans="1:35" hidden="1" x14ac:dyDescent="0.3">
      <c r="A396" s="154">
        <v>45322</v>
      </c>
      <c r="B396" s="189">
        <v>395</v>
      </c>
      <c r="C396" s="98" t="s">
        <v>544</v>
      </c>
      <c r="D396" s="99" t="s">
        <v>552</v>
      </c>
      <c r="E396" s="110" t="s">
        <v>588</v>
      </c>
      <c r="F396" s="110" t="s">
        <v>584</v>
      </c>
      <c r="G396" s="2" t="s">
        <v>559</v>
      </c>
      <c r="H396" s="345" t="s">
        <v>392</v>
      </c>
      <c r="I396" s="110" t="s">
        <v>520</v>
      </c>
      <c r="J396" s="123" t="s">
        <v>0</v>
      </c>
      <c r="K396" s="2" t="s">
        <v>531</v>
      </c>
      <c r="L396" s="67" t="s">
        <v>530</v>
      </c>
      <c r="M396" s="110" t="s">
        <v>531</v>
      </c>
      <c r="N396" s="110" t="s">
        <v>532</v>
      </c>
      <c r="O396" s="110" t="s">
        <v>571</v>
      </c>
      <c r="P396" s="110" t="s">
        <v>573</v>
      </c>
      <c r="Q396" s="137" t="s">
        <v>0</v>
      </c>
      <c r="R396" s="110" t="s">
        <v>519</v>
      </c>
      <c r="S396" s="166">
        <v>100</v>
      </c>
      <c r="T396" s="166" t="s">
        <v>0</v>
      </c>
      <c r="U396" s="67" t="s">
        <v>0</v>
      </c>
      <c r="V396" s="165" t="s">
        <v>0</v>
      </c>
      <c r="W396" s="208">
        <v>7.6200644890917966</v>
      </c>
      <c r="X396" s="165">
        <v>50</v>
      </c>
      <c r="Y396" s="195">
        <v>2</v>
      </c>
      <c r="Z396" s="208">
        <v>5.1816438525824223E-6</v>
      </c>
      <c r="AA396" s="264">
        <v>1.2954109631456055E-4</v>
      </c>
      <c r="AB396" s="208">
        <v>8.7612215000054099E-7</v>
      </c>
      <c r="AC396" s="201">
        <v>36.919499999999999</v>
      </c>
      <c r="AD396" s="201">
        <v>0.28343000000000002</v>
      </c>
      <c r="AE396" s="265">
        <v>0.16364000000000001</v>
      </c>
      <c r="AF396" s="208">
        <v>7.1325435920114773</v>
      </c>
      <c r="AG396" s="206">
        <v>178.31358980028688</v>
      </c>
      <c r="AH396" s="110">
        <v>2</v>
      </c>
      <c r="AI396" s="393" t="s">
        <v>619</v>
      </c>
    </row>
    <row r="397" spans="1:35" hidden="1" x14ac:dyDescent="0.3">
      <c r="A397" s="154">
        <v>45322</v>
      </c>
      <c r="B397" s="189">
        <v>396</v>
      </c>
      <c r="C397" s="98" t="s">
        <v>544</v>
      </c>
      <c r="D397" s="99" t="s">
        <v>552</v>
      </c>
      <c r="E397" s="110" t="s">
        <v>588</v>
      </c>
      <c r="F397" s="110" t="s">
        <v>584</v>
      </c>
      <c r="G397" s="2" t="s">
        <v>559</v>
      </c>
      <c r="H397" s="345" t="s">
        <v>393</v>
      </c>
      <c r="I397" s="110" t="s">
        <v>520</v>
      </c>
      <c r="J397" s="123" t="s">
        <v>0</v>
      </c>
      <c r="K397" s="2" t="s">
        <v>531</v>
      </c>
      <c r="L397" s="67" t="s">
        <v>530</v>
      </c>
      <c r="M397" s="110" t="s">
        <v>531</v>
      </c>
      <c r="N397" s="110" t="s">
        <v>532</v>
      </c>
      <c r="O397" s="110" t="s">
        <v>571</v>
      </c>
      <c r="P397" s="110" t="s">
        <v>574</v>
      </c>
      <c r="Q397" s="137" t="s">
        <v>0</v>
      </c>
      <c r="R397" s="110" t="s">
        <v>519</v>
      </c>
      <c r="S397" s="166">
        <v>100</v>
      </c>
      <c r="T397" s="166" t="s">
        <v>0</v>
      </c>
      <c r="U397" s="67" t="s">
        <v>0</v>
      </c>
      <c r="V397" s="165" t="s">
        <v>0</v>
      </c>
      <c r="W397" s="208" t="s">
        <v>0</v>
      </c>
      <c r="X397" s="165">
        <v>50</v>
      </c>
      <c r="Y397" s="195">
        <v>2</v>
      </c>
      <c r="Z397" s="293" t="s">
        <v>0</v>
      </c>
      <c r="AA397" s="294" t="s">
        <v>0</v>
      </c>
      <c r="AB397" s="293" t="s">
        <v>0</v>
      </c>
      <c r="AC397" s="201">
        <v>37.744</v>
      </c>
      <c r="AD397" s="201">
        <v>1.52546</v>
      </c>
      <c r="AE397" s="265">
        <v>1.07866</v>
      </c>
      <c r="AF397" s="293" t="s">
        <v>0</v>
      </c>
      <c r="AG397" s="382" t="s">
        <v>0</v>
      </c>
      <c r="AH397" s="400">
        <v>2</v>
      </c>
      <c r="AI397" s="393" t="s">
        <v>619</v>
      </c>
    </row>
    <row r="398" spans="1:35" hidden="1" x14ac:dyDescent="0.3">
      <c r="A398" s="154">
        <v>45322</v>
      </c>
      <c r="B398" s="189">
        <v>397</v>
      </c>
      <c r="C398" s="98" t="s">
        <v>544</v>
      </c>
      <c r="D398" s="99" t="s">
        <v>552</v>
      </c>
      <c r="E398" s="110" t="s">
        <v>588</v>
      </c>
      <c r="F398" s="110" t="s">
        <v>584</v>
      </c>
      <c r="G398" s="2" t="s">
        <v>559</v>
      </c>
      <c r="H398" s="345" t="s">
        <v>394</v>
      </c>
      <c r="I398" s="110" t="s">
        <v>517</v>
      </c>
      <c r="J398" s="123" t="s">
        <v>0</v>
      </c>
      <c r="K398" s="2" t="s">
        <v>531</v>
      </c>
      <c r="L398" s="67" t="s">
        <v>593</v>
      </c>
      <c r="M398" s="110" t="s">
        <v>532</v>
      </c>
      <c r="N398" s="110" t="s">
        <v>532</v>
      </c>
      <c r="O398" s="110" t="s">
        <v>571</v>
      </c>
      <c r="P398" s="110" t="s">
        <v>573</v>
      </c>
      <c r="Q398" s="137" t="s">
        <v>0</v>
      </c>
      <c r="R398" s="110" t="s">
        <v>519</v>
      </c>
      <c r="S398" s="166">
        <v>100</v>
      </c>
      <c r="T398" s="166" t="s">
        <v>0</v>
      </c>
      <c r="U398" s="67" t="s">
        <v>576</v>
      </c>
      <c r="V398" s="360">
        <v>200000</v>
      </c>
      <c r="W398" s="208">
        <v>514859.7856892969</v>
      </c>
      <c r="X398" s="165">
        <v>50</v>
      </c>
      <c r="Y398" s="195">
        <v>2</v>
      </c>
      <c r="Z398" s="208">
        <v>0.35010465426872189</v>
      </c>
      <c r="AA398" s="264">
        <v>8.7526163567180468</v>
      </c>
      <c r="AB398" s="208">
        <v>2.5834030686037821E-2</v>
      </c>
      <c r="AC398" s="217">
        <v>18.819964485845507</v>
      </c>
      <c r="AD398" s="217">
        <v>0.12076675245569143</v>
      </c>
      <c r="AE398" s="202">
        <v>6.9724717039450351E-2</v>
      </c>
      <c r="AF398" s="208">
        <v>481919.78827206447</v>
      </c>
      <c r="AG398" s="206">
        <v>12047994.706801612</v>
      </c>
      <c r="AH398" s="110"/>
      <c r="AI398" s="393"/>
    </row>
    <row r="399" spans="1:35" hidden="1" x14ac:dyDescent="0.3">
      <c r="A399" s="154">
        <v>45322</v>
      </c>
      <c r="B399" s="189">
        <v>398</v>
      </c>
      <c r="C399" s="98" t="s">
        <v>544</v>
      </c>
      <c r="D399" s="99" t="s">
        <v>552</v>
      </c>
      <c r="E399" s="110" t="s">
        <v>588</v>
      </c>
      <c r="F399" s="110" t="s">
        <v>584</v>
      </c>
      <c r="G399" s="2" t="s">
        <v>559</v>
      </c>
      <c r="H399" s="345" t="s">
        <v>395</v>
      </c>
      <c r="I399" s="110" t="s">
        <v>517</v>
      </c>
      <c r="J399" s="123" t="s">
        <v>0</v>
      </c>
      <c r="K399" s="2" t="s">
        <v>531</v>
      </c>
      <c r="L399" s="67" t="s">
        <v>593</v>
      </c>
      <c r="M399" s="110" t="s">
        <v>531</v>
      </c>
      <c r="N399" s="110" t="s">
        <v>532</v>
      </c>
      <c r="O399" s="110" t="s">
        <v>571</v>
      </c>
      <c r="P399" s="110" t="s">
        <v>573</v>
      </c>
      <c r="Q399" s="137" t="s">
        <v>0</v>
      </c>
      <c r="R399" s="110" t="s">
        <v>519</v>
      </c>
      <c r="S399" s="166">
        <v>100</v>
      </c>
      <c r="T399" s="166" t="s">
        <v>0</v>
      </c>
      <c r="U399" s="67" t="s">
        <v>576</v>
      </c>
      <c r="V399" s="360">
        <v>200000</v>
      </c>
      <c r="W399" s="208">
        <v>71748.669657734645</v>
      </c>
      <c r="X399" s="165">
        <v>50</v>
      </c>
      <c r="Y399" s="195">
        <v>2</v>
      </c>
      <c r="Z399" s="208">
        <v>4.8789095367259561E-2</v>
      </c>
      <c r="AA399" s="264">
        <v>1.2197273841814891</v>
      </c>
      <c r="AB399" s="208">
        <v>2.5795215709664859E-3</v>
      </c>
      <c r="AC399" s="216">
        <v>22.023614997611819</v>
      </c>
      <c r="AD399" s="208">
        <v>8.7283627968944899E-2</v>
      </c>
      <c r="AE399" s="270">
        <v>5.0393226103717485E-2</v>
      </c>
      <c r="AF399" s="208">
        <v>67158.291735614534</v>
      </c>
      <c r="AG399" s="206">
        <v>1678957.2933903637</v>
      </c>
      <c r="AH399" s="110"/>
      <c r="AI399" s="393"/>
    </row>
    <row r="400" spans="1:35" hidden="1" x14ac:dyDescent="0.3">
      <c r="A400" s="154">
        <v>45322</v>
      </c>
      <c r="B400" s="189">
        <v>399</v>
      </c>
      <c r="C400" s="98" t="s">
        <v>544</v>
      </c>
      <c r="D400" s="247" t="s">
        <v>0</v>
      </c>
      <c r="E400" s="247" t="s">
        <v>0</v>
      </c>
      <c r="F400" s="247" t="s">
        <v>0</v>
      </c>
      <c r="G400" s="42" t="s">
        <v>559</v>
      </c>
      <c r="H400" s="346" t="s">
        <v>396</v>
      </c>
      <c r="I400" s="110" t="s">
        <v>521</v>
      </c>
      <c r="J400" s="123" t="s">
        <v>0</v>
      </c>
      <c r="K400" s="2" t="s">
        <v>531</v>
      </c>
      <c r="L400" s="67" t="s">
        <v>521</v>
      </c>
      <c r="M400" s="110" t="s">
        <v>532</v>
      </c>
      <c r="N400" s="110" t="s">
        <v>532</v>
      </c>
      <c r="O400" s="110" t="s">
        <v>571</v>
      </c>
      <c r="P400" s="124" t="s">
        <v>573</v>
      </c>
      <c r="Q400" s="137" t="s">
        <v>0</v>
      </c>
      <c r="R400" s="110" t="s">
        <v>0</v>
      </c>
      <c r="S400" s="166">
        <v>100</v>
      </c>
      <c r="T400" s="166" t="s">
        <v>0</v>
      </c>
      <c r="U400" s="67" t="s">
        <v>0</v>
      </c>
      <c r="V400" s="369" t="s">
        <v>0</v>
      </c>
      <c r="W400" s="208">
        <v>6.0344096241264182</v>
      </c>
      <c r="X400" s="165">
        <v>50</v>
      </c>
      <c r="Y400" s="195">
        <v>2</v>
      </c>
      <c r="Z400" s="208">
        <v>4.1033985444059644E-6</v>
      </c>
      <c r="AA400" s="264">
        <v>1.025849636101491E-4</v>
      </c>
      <c r="AB400" s="208">
        <v>1.5009791820526611E-6</v>
      </c>
      <c r="AC400" s="216">
        <v>37.350797056437088</v>
      </c>
      <c r="AD400" s="208">
        <v>0.56551197534643249</v>
      </c>
      <c r="AE400" s="270">
        <v>0.32649849119621982</v>
      </c>
      <c r="AF400" s="208">
        <v>5.648336671920358</v>
      </c>
      <c r="AG400" s="206">
        <v>141.20841679800893</v>
      </c>
      <c r="AH400" s="110">
        <v>2</v>
      </c>
      <c r="AI400" s="394" t="s">
        <v>620</v>
      </c>
    </row>
    <row r="401" spans="1:35" ht="16.2" hidden="1" thickBot="1" x14ac:dyDescent="0.35">
      <c r="A401" s="155">
        <v>45322</v>
      </c>
      <c r="B401" s="260">
        <v>400</v>
      </c>
      <c r="C401" s="105" t="s">
        <v>544</v>
      </c>
      <c r="D401" s="242" t="s">
        <v>0</v>
      </c>
      <c r="E401" s="242" t="s">
        <v>0</v>
      </c>
      <c r="F401" s="242" t="s">
        <v>0</v>
      </c>
      <c r="G401" s="38" t="s">
        <v>559</v>
      </c>
      <c r="H401" s="347" t="s">
        <v>397</v>
      </c>
      <c r="I401" s="111" t="s">
        <v>521</v>
      </c>
      <c r="J401" s="127" t="s">
        <v>0</v>
      </c>
      <c r="K401" s="2" t="s">
        <v>531</v>
      </c>
      <c r="L401" s="5" t="s">
        <v>521</v>
      </c>
      <c r="M401" s="111" t="s">
        <v>532</v>
      </c>
      <c r="N401" s="135" t="s">
        <v>532</v>
      </c>
      <c r="O401" s="111" t="s">
        <v>571</v>
      </c>
      <c r="P401" s="126" t="s">
        <v>574</v>
      </c>
      <c r="Q401" s="139" t="s">
        <v>0</v>
      </c>
      <c r="R401" s="111" t="s">
        <v>0</v>
      </c>
      <c r="S401" s="166">
        <v>100</v>
      </c>
      <c r="T401" s="166" t="s">
        <v>0</v>
      </c>
      <c r="U401" s="67" t="s">
        <v>0</v>
      </c>
      <c r="V401" s="370" t="s">
        <v>0</v>
      </c>
      <c r="W401" s="211" t="s">
        <v>0</v>
      </c>
      <c r="X401" s="169">
        <v>50</v>
      </c>
      <c r="Y401" s="205">
        <v>2</v>
      </c>
      <c r="Z401" s="296" t="s">
        <v>0</v>
      </c>
      <c r="AA401" s="304" t="s">
        <v>0</v>
      </c>
      <c r="AB401" s="296" t="s">
        <v>0</v>
      </c>
      <c r="AC401" s="236">
        <v>36.93692141524658</v>
      </c>
      <c r="AD401" s="211">
        <v>0.59326328440006315</v>
      </c>
      <c r="AE401" s="285">
        <v>0.41950049142828794</v>
      </c>
      <c r="AF401" s="296" t="s">
        <v>0</v>
      </c>
      <c r="AG401" s="383" t="s">
        <v>0</v>
      </c>
      <c r="AH401" s="409">
        <v>2</v>
      </c>
      <c r="AI401" s="405" t="s">
        <v>620</v>
      </c>
    </row>
    <row r="402" spans="1:35" hidden="1" x14ac:dyDescent="0.3">
      <c r="A402" s="144">
        <v>45324</v>
      </c>
      <c r="B402" s="188">
        <v>401</v>
      </c>
      <c r="C402" s="97" t="s">
        <v>547</v>
      </c>
      <c r="D402" s="76" t="s">
        <v>552</v>
      </c>
      <c r="E402" s="75" t="s">
        <v>588</v>
      </c>
      <c r="F402" s="75" t="s">
        <v>584</v>
      </c>
      <c r="G402" s="18" t="s">
        <v>560</v>
      </c>
      <c r="H402" s="348" t="s">
        <v>398</v>
      </c>
      <c r="I402" s="2" t="s">
        <v>526</v>
      </c>
      <c r="J402" s="125" t="s">
        <v>550</v>
      </c>
      <c r="K402" s="17" t="s">
        <v>531</v>
      </c>
      <c r="L402" s="36" t="s">
        <v>535</v>
      </c>
      <c r="M402" s="117" t="s">
        <v>531</v>
      </c>
      <c r="N402" s="117" t="s">
        <v>532</v>
      </c>
      <c r="O402" s="117" t="s">
        <v>570</v>
      </c>
      <c r="P402" s="117" t="s">
        <v>573</v>
      </c>
      <c r="Q402" s="136" t="s">
        <v>0</v>
      </c>
      <c r="R402" s="117" t="s">
        <v>519</v>
      </c>
      <c r="S402" s="181">
        <v>100</v>
      </c>
      <c r="T402" s="181" t="s">
        <v>0</v>
      </c>
      <c r="U402" s="36" t="s">
        <v>0</v>
      </c>
      <c r="V402" s="164" t="s">
        <v>0</v>
      </c>
      <c r="W402" s="209" t="s">
        <v>0</v>
      </c>
      <c r="X402" s="164">
        <v>50</v>
      </c>
      <c r="Y402" s="194">
        <v>2</v>
      </c>
      <c r="Z402" s="282" t="s">
        <v>0</v>
      </c>
      <c r="AA402" s="283" t="s">
        <v>0</v>
      </c>
      <c r="AB402" s="298" t="s">
        <v>0</v>
      </c>
      <c r="AC402" s="232">
        <v>36.929759701328543</v>
      </c>
      <c r="AD402" s="209">
        <v>0.10193190639681503</v>
      </c>
      <c r="AE402" s="279">
        <v>7.2076742232460328E-2</v>
      </c>
      <c r="AF402" s="298" t="s">
        <v>0</v>
      </c>
      <c r="AG402" s="382" t="s">
        <v>0</v>
      </c>
      <c r="AH402" s="411"/>
      <c r="AI402" s="404"/>
    </row>
    <row r="403" spans="1:35" hidden="1" x14ac:dyDescent="0.3">
      <c r="A403" s="151">
        <v>45324</v>
      </c>
      <c r="B403" s="189">
        <v>402</v>
      </c>
      <c r="C403" s="34" t="s">
        <v>547</v>
      </c>
      <c r="D403" s="10" t="s">
        <v>552</v>
      </c>
      <c r="E403" s="2" t="s">
        <v>588</v>
      </c>
      <c r="F403" s="2" t="s">
        <v>584</v>
      </c>
      <c r="G403" s="2" t="s">
        <v>560</v>
      </c>
      <c r="H403" s="14" t="s">
        <v>399</v>
      </c>
      <c r="I403" s="2" t="s">
        <v>524</v>
      </c>
      <c r="J403" s="45" t="s">
        <v>550</v>
      </c>
      <c r="K403" s="2" t="s">
        <v>532</v>
      </c>
      <c r="L403" s="67" t="s">
        <v>608</v>
      </c>
      <c r="M403" s="110" t="s">
        <v>531</v>
      </c>
      <c r="N403" s="75" t="s">
        <v>532</v>
      </c>
      <c r="O403" s="75" t="s">
        <v>570</v>
      </c>
      <c r="P403" s="75" t="s">
        <v>573</v>
      </c>
      <c r="Q403" s="89" t="s">
        <v>0</v>
      </c>
      <c r="R403" s="110" t="s">
        <v>519</v>
      </c>
      <c r="S403" s="172">
        <v>100</v>
      </c>
      <c r="T403" s="349" t="s">
        <v>0</v>
      </c>
      <c r="U403" s="67" t="s">
        <v>576</v>
      </c>
      <c r="V403" s="360">
        <v>200000</v>
      </c>
      <c r="W403" s="208">
        <v>67015.859229634632</v>
      </c>
      <c r="X403" s="165">
        <v>50</v>
      </c>
      <c r="Y403" s="195">
        <v>2</v>
      </c>
      <c r="Z403" s="208">
        <v>4.5570784276151542E-2</v>
      </c>
      <c r="AA403" s="264">
        <v>1.1392696069037886</v>
      </c>
      <c r="AB403" s="208">
        <v>1.1933312864532766E-3</v>
      </c>
      <c r="AC403" s="216">
        <v>22.094390406472446</v>
      </c>
      <c r="AD403" s="208">
        <v>4.2202113164942802E-2</v>
      </c>
      <c r="AE403" s="270">
        <v>2.4365401396150777E-2</v>
      </c>
      <c r="AF403" s="208">
        <v>62728.279792871348</v>
      </c>
      <c r="AG403" s="206">
        <v>1568206.9948217839</v>
      </c>
      <c r="AH403" s="110" t="s">
        <v>645</v>
      </c>
      <c r="AI403" s="393" t="s">
        <v>632</v>
      </c>
    </row>
    <row r="404" spans="1:35" hidden="1" x14ac:dyDescent="0.3">
      <c r="A404" s="151">
        <v>45324</v>
      </c>
      <c r="B404" s="189">
        <v>403</v>
      </c>
      <c r="C404" s="34" t="s">
        <v>547</v>
      </c>
      <c r="D404" s="10" t="s">
        <v>552</v>
      </c>
      <c r="E404" s="2" t="s">
        <v>588</v>
      </c>
      <c r="F404" s="2" t="s">
        <v>584</v>
      </c>
      <c r="G404" s="2" t="s">
        <v>560</v>
      </c>
      <c r="H404" s="14" t="s">
        <v>400</v>
      </c>
      <c r="I404" s="341" t="s">
        <v>524</v>
      </c>
      <c r="J404" s="15" t="s">
        <v>550</v>
      </c>
      <c r="K404" s="2" t="s">
        <v>532</v>
      </c>
      <c r="L404" s="2" t="s">
        <v>608</v>
      </c>
      <c r="M404" s="110" t="s">
        <v>531</v>
      </c>
      <c r="N404" s="2" t="s">
        <v>532</v>
      </c>
      <c r="O404" s="2" t="s">
        <v>570</v>
      </c>
      <c r="P404" s="2" t="s">
        <v>574</v>
      </c>
      <c r="Q404" s="89" t="s">
        <v>0</v>
      </c>
      <c r="R404" s="110" t="s">
        <v>519</v>
      </c>
      <c r="S404" s="166">
        <v>100</v>
      </c>
      <c r="T404" s="167" t="s">
        <v>0</v>
      </c>
      <c r="U404" s="67" t="s">
        <v>576</v>
      </c>
      <c r="V404" s="360">
        <v>200000</v>
      </c>
      <c r="W404" s="208">
        <v>60253.951236554843</v>
      </c>
      <c r="X404" s="165">
        <v>50</v>
      </c>
      <c r="Y404" s="195">
        <v>2</v>
      </c>
      <c r="Z404" s="208">
        <v>4.0972686840857288E-2</v>
      </c>
      <c r="AA404" s="264">
        <v>1.0243171710214323</v>
      </c>
      <c r="AB404" s="208">
        <v>2.5613950737075294E-3</v>
      </c>
      <c r="AC404" s="216">
        <v>22.266189604045582</v>
      </c>
      <c r="AD404" s="208">
        <v>9.9193580936010828E-2</v>
      </c>
      <c r="AE404" s="270">
        <v>5.7269440655288786E-2</v>
      </c>
      <c r="AF404" s="208">
        <v>56398.989063789784</v>
      </c>
      <c r="AG404" s="206">
        <v>1409974.7265947445</v>
      </c>
      <c r="AH404" s="110" t="s">
        <v>645</v>
      </c>
      <c r="AI404" s="393" t="s">
        <v>632</v>
      </c>
    </row>
    <row r="405" spans="1:35" hidden="1" x14ac:dyDescent="0.3">
      <c r="A405" s="151">
        <v>45324</v>
      </c>
      <c r="B405" s="188">
        <v>404</v>
      </c>
      <c r="C405" s="34" t="s">
        <v>547</v>
      </c>
      <c r="D405" s="10" t="s">
        <v>552</v>
      </c>
      <c r="E405" s="2" t="s">
        <v>588</v>
      </c>
      <c r="F405" s="2" t="s">
        <v>584</v>
      </c>
      <c r="G405" s="2" t="s">
        <v>560</v>
      </c>
      <c r="H405" s="14" t="s">
        <v>401</v>
      </c>
      <c r="I405" s="2" t="s">
        <v>524</v>
      </c>
      <c r="J405" s="15" t="s">
        <v>550</v>
      </c>
      <c r="K405" s="2" t="s">
        <v>532</v>
      </c>
      <c r="L405" s="2" t="s">
        <v>608</v>
      </c>
      <c r="M405" s="110" t="s">
        <v>531</v>
      </c>
      <c r="N405" s="2" t="s">
        <v>532</v>
      </c>
      <c r="O405" s="2" t="s">
        <v>570</v>
      </c>
      <c r="P405" s="2" t="s">
        <v>503</v>
      </c>
      <c r="Q405" s="89" t="s">
        <v>0</v>
      </c>
      <c r="R405" s="110" t="s">
        <v>519</v>
      </c>
      <c r="S405" s="166">
        <v>100</v>
      </c>
      <c r="T405" s="167" t="s">
        <v>0</v>
      </c>
      <c r="U405" s="67" t="s">
        <v>576</v>
      </c>
      <c r="V405" s="360">
        <v>200000</v>
      </c>
      <c r="W405" s="208">
        <v>54353.674759104135</v>
      </c>
      <c r="X405" s="165">
        <v>50</v>
      </c>
      <c r="Y405" s="195">
        <v>2</v>
      </c>
      <c r="Z405" s="208">
        <v>3.6960498836190812E-2</v>
      </c>
      <c r="AA405" s="264">
        <v>0.92401247090477034</v>
      </c>
      <c r="AB405" s="208">
        <v>1.8664284522303344E-3</v>
      </c>
      <c r="AC405" s="216">
        <v>22.430312137828775</v>
      </c>
      <c r="AD405" s="208">
        <v>8.0940826698492854E-2</v>
      </c>
      <c r="AE405" s="270">
        <v>4.6731208082805703E-2</v>
      </c>
      <c r="AF405" s="208">
        <v>50876.203890438461</v>
      </c>
      <c r="AG405" s="206">
        <v>1271905.0972609615</v>
      </c>
      <c r="AH405" s="110" t="s">
        <v>645</v>
      </c>
      <c r="AI405" s="393" t="s">
        <v>632</v>
      </c>
    </row>
    <row r="406" spans="1:35" hidden="1" x14ac:dyDescent="0.3">
      <c r="A406" s="151">
        <v>45324</v>
      </c>
      <c r="B406" s="189">
        <v>405</v>
      </c>
      <c r="C406" s="34" t="s">
        <v>547</v>
      </c>
      <c r="D406" s="10" t="s">
        <v>552</v>
      </c>
      <c r="E406" s="2" t="s">
        <v>588</v>
      </c>
      <c r="F406" s="2" t="s">
        <v>584</v>
      </c>
      <c r="G406" s="2" t="s">
        <v>560</v>
      </c>
      <c r="H406" s="14" t="s">
        <v>402</v>
      </c>
      <c r="I406" s="2" t="s">
        <v>524</v>
      </c>
      <c r="J406" s="15" t="s">
        <v>550</v>
      </c>
      <c r="K406" s="2" t="s">
        <v>532</v>
      </c>
      <c r="L406" s="2" t="s">
        <v>608</v>
      </c>
      <c r="M406" s="110" t="s">
        <v>531</v>
      </c>
      <c r="N406" s="2" t="s">
        <v>532</v>
      </c>
      <c r="O406" s="2" t="s">
        <v>570</v>
      </c>
      <c r="P406" s="2" t="s">
        <v>575</v>
      </c>
      <c r="Q406" s="89" t="s">
        <v>0</v>
      </c>
      <c r="R406" s="110" t="s">
        <v>519</v>
      </c>
      <c r="S406" s="166">
        <v>100</v>
      </c>
      <c r="T406" s="167" t="s">
        <v>0</v>
      </c>
      <c r="U406" s="67" t="s">
        <v>576</v>
      </c>
      <c r="V406" s="360">
        <v>200000</v>
      </c>
      <c r="W406" s="208">
        <v>22371.192209996167</v>
      </c>
      <c r="X406" s="165">
        <v>50</v>
      </c>
      <c r="Y406" s="195">
        <v>2</v>
      </c>
      <c r="Z406" s="208">
        <v>1.5212410702797392E-2</v>
      </c>
      <c r="AA406" s="264">
        <v>0.3803102675699348</v>
      </c>
      <c r="AB406" s="208">
        <v>2.0793098574971142E-3</v>
      </c>
      <c r="AC406" s="216">
        <v>23.858420666276288</v>
      </c>
      <c r="AD406" s="208">
        <v>0.21398406076886894</v>
      </c>
      <c r="AE406" s="270">
        <v>0.12354375508719573</v>
      </c>
      <c r="AF406" s="208">
        <v>20939.915124272506</v>
      </c>
      <c r="AG406" s="206">
        <v>523497.87810681277</v>
      </c>
      <c r="AH406" s="110" t="s">
        <v>645</v>
      </c>
      <c r="AI406" s="393" t="s">
        <v>632</v>
      </c>
    </row>
    <row r="407" spans="1:35" hidden="1" x14ac:dyDescent="0.3">
      <c r="A407" s="151">
        <v>45324</v>
      </c>
      <c r="B407" s="189">
        <v>406</v>
      </c>
      <c r="C407" s="34" t="s">
        <v>547</v>
      </c>
      <c r="D407" s="10" t="s">
        <v>552</v>
      </c>
      <c r="E407" s="2" t="s">
        <v>588</v>
      </c>
      <c r="F407" s="2" t="s">
        <v>584</v>
      </c>
      <c r="G407" s="2" t="s">
        <v>560</v>
      </c>
      <c r="H407" s="14" t="s">
        <v>403</v>
      </c>
      <c r="I407" s="110" t="s">
        <v>526</v>
      </c>
      <c r="J407" s="12" t="s">
        <v>551</v>
      </c>
      <c r="K407" s="2" t="s">
        <v>531</v>
      </c>
      <c r="L407" s="2" t="s">
        <v>535</v>
      </c>
      <c r="M407" s="110" t="s">
        <v>531</v>
      </c>
      <c r="N407" s="2" t="s">
        <v>532</v>
      </c>
      <c r="O407" s="2" t="s">
        <v>570</v>
      </c>
      <c r="P407" s="2" t="s">
        <v>573</v>
      </c>
      <c r="Q407" s="89" t="s">
        <v>0</v>
      </c>
      <c r="R407" s="110" t="s">
        <v>519</v>
      </c>
      <c r="S407" s="166">
        <v>100</v>
      </c>
      <c r="T407" s="167" t="s">
        <v>0</v>
      </c>
      <c r="U407" s="67" t="s">
        <v>0</v>
      </c>
      <c r="V407" s="165" t="s">
        <v>0</v>
      </c>
      <c r="W407" s="208">
        <v>5.0091828285767663</v>
      </c>
      <c r="X407" s="165">
        <v>50</v>
      </c>
      <c r="Y407" s="195">
        <v>2</v>
      </c>
      <c r="Z407" s="284">
        <v>3.4062443234322012E-6</v>
      </c>
      <c r="AA407" s="283">
        <v>8.5156108085805032E-5</v>
      </c>
      <c r="AB407" s="208">
        <v>2.7602312399146204E-6</v>
      </c>
      <c r="AC407" s="216">
        <v>37.699522966010001</v>
      </c>
      <c r="AD407" s="208">
        <v>1.46031083387518</v>
      </c>
      <c r="AE407" s="270">
        <v>0.84311085303836208</v>
      </c>
      <c r="AF407" s="208">
        <v>4.688702429792353</v>
      </c>
      <c r="AG407" s="206">
        <v>117.21756074480882</v>
      </c>
      <c r="AH407" s="110">
        <v>2</v>
      </c>
      <c r="AI407" s="393" t="s">
        <v>611</v>
      </c>
    </row>
    <row r="408" spans="1:35" hidden="1" x14ac:dyDescent="0.3">
      <c r="A408" s="151">
        <v>45324</v>
      </c>
      <c r="B408" s="189">
        <v>407</v>
      </c>
      <c r="C408" s="34" t="s">
        <v>547</v>
      </c>
      <c r="D408" s="10" t="s">
        <v>552</v>
      </c>
      <c r="E408" s="2" t="s">
        <v>588</v>
      </c>
      <c r="F408" s="2" t="s">
        <v>584</v>
      </c>
      <c r="G408" s="2" t="s">
        <v>560</v>
      </c>
      <c r="H408" s="14" t="s">
        <v>404</v>
      </c>
      <c r="I408" s="2" t="s">
        <v>524</v>
      </c>
      <c r="J408" s="12" t="s">
        <v>551</v>
      </c>
      <c r="K408" s="2" t="s">
        <v>532</v>
      </c>
      <c r="L408" s="2" t="s">
        <v>608</v>
      </c>
      <c r="M408" s="110" t="s">
        <v>531</v>
      </c>
      <c r="N408" s="2" t="s">
        <v>532</v>
      </c>
      <c r="O408" s="2" t="s">
        <v>570</v>
      </c>
      <c r="P408" s="2" t="s">
        <v>573</v>
      </c>
      <c r="Q408" s="89" t="s">
        <v>0</v>
      </c>
      <c r="R408" s="110" t="s">
        <v>519</v>
      </c>
      <c r="S408" s="166">
        <v>100</v>
      </c>
      <c r="T408" s="167" t="s">
        <v>0</v>
      </c>
      <c r="U408" s="67" t="s">
        <v>576</v>
      </c>
      <c r="V408" s="360">
        <v>200000</v>
      </c>
      <c r="W408" s="208">
        <v>34436.009426531498</v>
      </c>
      <c r="X408" s="165">
        <v>50</v>
      </c>
      <c r="Y408" s="195">
        <v>2</v>
      </c>
      <c r="Z408" s="208">
        <v>2.3416486410041418E-2</v>
      </c>
      <c r="AA408" s="264">
        <v>0.58541216025103548</v>
      </c>
      <c r="AB408" s="208">
        <v>2.682400514594941E-3</v>
      </c>
      <c r="AC408" s="216">
        <v>23.165761697409408</v>
      </c>
      <c r="AD408" s="208">
        <v>0.1805666329502556</v>
      </c>
      <c r="AE408" s="270">
        <v>0.10425019414049443</v>
      </c>
      <c r="AF408" s="208">
        <v>32232.842480697691</v>
      </c>
      <c r="AG408" s="206">
        <v>805821.06201744231</v>
      </c>
      <c r="AH408" s="110" t="s">
        <v>645</v>
      </c>
      <c r="AI408" s="393" t="s">
        <v>634</v>
      </c>
    </row>
    <row r="409" spans="1:35" hidden="1" x14ac:dyDescent="0.3">
      <c r="A409" s="151">
        <v>45324</v>
      </c>
      <c r="B409" s="189">
        <v>408</v>
      </c>
      <c r="C409" s="34" t="s">
        <v>547</v>
      </c>
      <c r="D409" s="10" t="s">
        <v>552</v>
      </c>
      <c r="E409" s="2" t="s">
        <v>588</v>
      </c>
      <c r="F409" s="2" t="s">
        <v>584</v>
      </c>
      <c r="G409" s="2" t="s">
        <v>560</v>
      </c>
      <c r="H409" s="14" t="s">
        <v>405</v>
      </c>
      <c r="I409" s="2" t="s">
        <v>524</v>
      </c>
      <c r="J409" s="12" t="s">
        <v>551</v>
      </c>
      <c r="K409" s="2" t="s">
        <v>532</v>
      </c>
      <c r="L409" s="2" t="s">
        <v>608</v>
      </c>
      <c r="M409" s="110" t="s">
        <v>531</v>
      </c>
      <c r="N409" s="2" t="s">
        <v>532</v>
      </c>
      <c r="O409" s="2" t="s">
        <v>570</v>
      </c>
      <c r="P409" s="2" t="s">
        <v>574</v>
      </c>
      <c r="Q409" s="89" t="s">
        <v>0</v>
      </c>
      <c r="R409" s="110" t="s">
        <v>519</v>
      </c>
      <c r="S409" s="166">
        <v>100</v>
      </c>
      <c r="T409" s="167" t="s">
        <v>0</v>
      </c>
      <c r="U409" s="67" t="s">
        <v>576</v>
      </c>
      <c r="V409" s="360">
        <v>200000</v>
      </c>
      <c r="W409" s="208">
        <v>98715.880542528525</v>
      </c>
      <c r="X409" s="165">
        <v>50</v>
      </c>
      <c r="Y409" s="195">
        <v>2</v>
      </c>
      <c r="Z409" s="208">
        <v>6.7126798768919402E-2</v>
      </c>
      <c r="AA409" s="264">
        <v>1.678169969222985</v>
      </c>
      <c r="AB409" s="208">
        <v>3.0383100869057112E-3</v>
      </c>
      <c r="AC409" s="201">
        <v>21.475683210235484</v>
      </c>
      <c r="AD409" s="201">
        <v>7.3279851206469779E-2</v>
      </c>
      <c r="AE409" s="265">
        <v>4.230814182023105E-2</v>
      </c>
      <c r="AF409" s="208">
        <v>92400.178791308397</v>
      </c>
      <c r="AG409" s="206">
        <v>2310004.4697827101</v>
      </c>
      <c r="AH409" s="110" t="s">
        <v>645</v>
      </c>
      <c r="AI409" s="393" t="s">
        <v>634</v>
      </c>
    </row>
    <row r="410" spans="1:35" hidden="1" x14ac:dyDescent="0.3">
      <c r="A410" s="151">
        <v>45324</v>
      </c>
      <c r="B410" s="189">
        <v>409</v>
      </c>
      <c r="C410" s="34" t="s">
        <v>547</v>
      </c>
      <c r="D410" s="10" t="s">
        <v>552</v>
      </c>
      <c r="E410" s="2" t="s">
        <v>588</v>
      </c>
      <c r="F410" s="2" t="s">
        <v>584</v>
      </c>
      <c r="G410" s="2" t="s">
        <v>560</v>
      </c>
      <c r="H410" s="14" t="s">
        <v>406</v>
      </c>
      <c r="I410" s="2" t="s">
        <v>524</v>
      </c>
      <c r="J410" s="12" t="s">
        <v>551</v>
      </c>
      <c r="K410" s="2" t="s">
        <v>532</v>
      </c>
      <c r="L410" s="2" t="s">
        <v>608</v>
      </c>
      <c r="M410" s="110" t="s">
        <v>531</v>
      </c>
      <c r="N410" s="2" t="s">
        <v>532</v>
      </c>
      <c r="O410" s="2" t="s">
        <v>570</v>
      </c>
      <c r="P410" s="2" t="s">
        <v>503</v>
      </c>
      <c r="Q410" s="89" t="s">
        <v>0</v>
      </c>
      <c r="R410" s="110" t="s">
        <v>519</v>
      </c>
      <c r="S410" s="166">
        <v>100</v>
      </c>
      <c r="T410" s="167" t="s">
        <v>0</v>
      </c>
      <c r="U410" s="67" t="s">
        <v>576</v>
      </c>
      <c r="V410" s="360">
        <v>200000</v>
      </c>
      <c r="W410" s="208">
        <v>94306.411773759392</v>
      </c>
      <c r="X410" s="165">
        <v>50</v>
      </c>
      <c r="Y410" s="195">
        <v>2</v>
      </c>
      <c r="Z410" s="208">
        <v>6.412836000615639E-2</v>
      </c>
      <c r="AA410" s="264">
        <v>1.6032090001539097</v>
      </c>
      <c r="AB410" s="208">
        <v>2.1257642637635783E-3</v>
      </c>
      <c r="AC410" s="201">
        <v>21.548250157082901</v>
      </c>
      <c r="AD410" s="201">
        <v>5.3500936710977144E-2</v>
      </c>
      <c r="AE410" s="265">
        <v>3.0888780211979786E-2</v>
      </c>
      <c r="AF410" s="208">
        <v>88272.821568035419</v>
      </c>
      <c r="AG410" s="206">
        <v>2206820.5392008852</v>
      </c>
      <c r="AH410" s="110" t="s">
        <v>645</v>
      </c>
      <c r="AI410" s="393" t="s">
        <v>634</v>
      </c>
    </row>
    <row r="411" spans="1:35" hidden="1" x14ac:dyDescent="0.3">
      <c r="A411" s="151">
        <v>45324</v>
      </c>
      <c r="B411" s="189">
        <v>410</v>
      </c>
      <c r="C411" s="34" t="s">
        <v>547</v>
      </c>
      <c r="D411" s="10" t="s">
        <v>552</v>
      </c>
      <c r="E411" s="2" t="s">
        <v>588</v>
      </c>
      <c r="F411" s="2" t="s">
        <v>584</v>
      </c>
      <c r="G411" s="2" t="s">
        <v>560</v>
      </c>
      <c r="H411" s="14" t="s">
        <v>407</v>
      </c>
      <c r="I411" s="2" t="s">
        <v>524</v>
      </c>
      <c r="J411" s="12" t="s">
        <v>551</v>
      </c>
      <c r="K411" s="2" t="s">
        <v>532</v>
      </c>
      <c r="L411" s="2" t="s">
        <v>608</v>
      </c>
      <c r="M411" s="110" t="s">
        <v>531</v>
      </c>
      <c r="N411" s="2" t="s">
        <v>532</v>
      </c>
      <c r="O411" s="2" t="s">
        <v>570</v>
      </c>
      <c r="P411" s="2" t="s">
        <v>575</v>
      </c>
      <c r="Q411" s="89" t="s">
        <v>0</v>
      </c>
      <c r="R411" s="110" t="s">
        <v>519</v>
      </c>
      <c r="S411" s="166">
        <v>100</v>
      </c>
      <c r="T411" s="167" t="s">
        <v>0</v>
      </c>
      <c r="U411" s="67" t="s">
        <v>576</v>
      </c>
      <c r="V411" s="360">
        <v>200000</v>
      </c>
      <c r="W411" s="208">
        <v>204662.69365289668</v>
      </c>
      <c r="X411" s="165">
        <v>50</v>
      </c>
      <c r="Y411" s="195">
        <v>2</v>
      </c>
      <c r="Z411" s="208">
        <v>0.13917063168396973</v>
      </c>
      <c r="AA411" s="264">
        <v>3.4792657920992434</v>
      </c>
      <c r="AB411" s="208">
        <v>3.4832600407830338E-3</v>
      </c>
      <c r="AC411" s="201">
        <v>20.308807765118015</v>
      </c>
      <c r="AD411" s="201">
        <v>4.0225763696777266E-2</v>
      </c>
      <c r="AE411" s="265">
        <v>2.3224355498692631E-2</v>
      </c>
      <c r="AF411" s="208">
        <v>191568.66536069944</v>
      </c>
      <c r="AG411" s="206">
        <v>4789216.6340174861</v>
      </c>
      <c r="AH411" s="110" t="s">
        <v>645</v>
      </c>
      <c r="AI411" s="393" t="s">
        <v>634</v>
      </c>
    </row>
    <row r="412" spans="1:35" x14ac:dyDescent="0.3">
      <c r="A412" s="151">
        <v>45324</v>
      </c>
      <c r="B412" s="189">
        <v>411</v>
      </c>
      <c r="C412" s="34" t="s">
        <v>547</v>
      </c>
      <c r="D412" s="10" t="s">
        <v>552</v>
      </c>
      <c r="E412" s="2" t="s">
        <v>588</v>
      </c>
      <c r="F412" s="2" t="s">
        <v>584</v>
      </c>
      <c r="G412" s="2" t="s">
        <v>560</v>
      </c>
      <c r="H412" s="14" t="s">
        <v>408</v>
      </c>
      <c r="I412" s="2" t="s">
        <v>517</v>
      </c>
      <c r="J412" s="9" t="s">
        <v>0</v>
      </c>
      <c r="K412" s="2" t="s">
        <v>531</v>
      </c>
      <c r="L412" s="42" t="s">
        <v>593</v>
      </c>
      <c r="M412" s="42" t="s">
        <v>531</v>
      </c>
      <c r="N412" s="2" t="s">
        <v>532</v>
      </c>
      <c r="O412" s="2" t="s">
        <v>570</v>
      </c>
      <c r="P412" s="2" t="s">
        <v>573</v>
      </c>
      <c r="Q412" s="89" t="s">
        <v>0</v>
      </c>
      <c r="R412" s="110" t="s">
        <v>519</v>
      </c>
      <c r="S412" s="166">
        <v>100</v>
      </c>
      <c r="T412" s="167" t="s">
        <v>0</v>
      </c>
      <c r="U412" s="67" t="s">
        <v>576</v>
      </c>
      <c r="V412" s="360">
        <v>200000</v>
      </c>
      <c r="W412" s="208">
        <v>412029.71329372068</v>
      </c>
      <c r="X412" s="165">
        <v>50</v>
      </c>
      <c r="Y412" s="195">
        <v>2</v>
      </c>
      <c r="Z412" s="208">
        <v>0.28018020503973007</v>
      </c>
      <c r="AA412" s="264">
        <v>7.0045051259932514</v>
      </c>
      <c r="AB412" s="208">
        <v>1.6348098526400304E-2</v>
      </c>
      <c r="AC412" s="201">
        <v>19.191144782876663</v>
      </c>
      <c r="AD412" s="201">
        <v>9.1877253978384796E-2</v>
      </c>
      <c r="AE412" s="265">
        <v>5.3045357316824082E-2</v>
      </c>
      <c r="AF412" s="208">
        <v>385668.637775757</v>
      </c>
      <c r="AG412" s="206">
        <v>9641715.9443939254</v>
      </c>
      <c r="AH412" s="110"/>
      <c r="AI412" s="393" t="s">
        <v>752</v>
      </c>
    </row>
    <row r="413" spans="1:35" x14ac:dyDescent="0.3">
      <c r="A413" s="151">
        <v>45324</v>
      </c>
      <c r="B413" s="189">
        <v>412</v>
      </c>
      <c r="C413" s="34" t="s">
        <v>547</v>
      </c>
      <c r="D413" s="10" t="s">
        <v>552</v>
      </c>
      <c r="E413" s="2" t="s">
        <v>588</v>
      </c>
      <c r="F413" s="2" t="s">
        <v>584</v>
      </c>
      <c r="G413" s="2" t="s">
        <v>560</v>
      </c>
      <c r="H413" s="14" t="s">
        <v>409</v>
      </c>
      <c r="I413" s="2" t="s">
        <v>517</v>
      </c>
      <c r="J413" s="9" t="s">
        <v>0</v>
      </c>
      <c r="K413" s="2" t="s">
        <v>531</v>
      </c>
      <c r="L413" s="42" t="s">
        <v>593</v>
      </c>
      <c r="M413" s="42" t="s">
        <v>532</v>
      </c>
      <c r="N413" s="2" t="s">
        <v>532</v>
      </c>
      <c r="O413" s="2" t="s">
        <v>570</v>
      </c>
      <c r="P413" s="2" t="s">
        <v>573</v>
      </c>
      <c r="Q413" s="89" t="s">
        <v>0</v>
      </c>
      <c r="R413" s="110" t="s">
        <v>519</v>
      </c>
      <c r="S413" s="166">
        <v>100</v>
      </c>
      <c r="T413" s="167" t="s">
        <v>0</v>
      </c>
      <c r="U413" s="67" t="s">
        <v>576</v>
      </c>
      <c r="V413" s="360">
        <v>200000</v>
      </c>
      <c r="W413" s="208">
        <v>222426.66868022445</v>
      </c>
      <c r="X413" s="165">
        <v>50</v>
      </c>
      <c r="Y413" s="195">
        <v>2</v>
      </c>
      <c r="Z413" s="208">
        <v>0.15125013470255264</v>
      </c>
      <c r="AA413" s="264">
        <v>3.7812533675638158</v>
      </c>
      <c r="AB413" s="208">
        <v>5.7127482836072316E-3</v>
      </c>
      <c r="AC413" s="201">
        <v>20.176102364089669</v>
      </c>
      <c r="AD413" s="201">
        <v>5.9776842166675281E-2</v>
      </c>
      <c r="AE413" s="265">
        <v>3.4512175916235746E-2</v>
      </c>
      <c r="AF413" s="208">
        <v>208196.12651029925</v>
      </c>
      <c r="AG413" s="206">
        <v>5204903.1627574805</v>
      </c>
      <c r="AH413" s="110"/>
      <c r="AI413" s="393" t="s">
        <v>752</v>
      </c>
    </row>
    <row r="414" spans="1:35" hidden="1" x14ac:dyDescent="0.3">
      <c r="A414" s="151">
        <v>45324</v>
      </c>
      <c r="B414" s="189">
        <v>413</v>
      </c>
      <c r="C414" s="34" t="s">
        <v>547</v>
      </c>
      <c r="D414" s="35" t="s">
        <v>596</v>
      </c>
      <c r="E414" s="2" t="s">
        <v>589</v>
      </c>
      <c r="F414" s="2" t="s">
        <v>585</v>
      </c>
      <c r="G414" s="2" t="s">
        <v>560</v>
      </c>
      <c r="H414" s="14" t="s">
        <v>410</v>
      </c>
      <c r="I414" s="2" t="s">
        <v>526</v>
      </c>
      <c r="J414" s="15" t="s">
        <v>550</v>
      </c>
      <c r="K414" s="2" t="s">
        <v>531</v>
      </c>
      <c r="L414" s="2" t="s">
        <v>535</v>
      </c>
      <c r="M414" s="2" t="s">
        <v>531</v>
      </c>
      <c r="N414" s="2" t="s">
        <v>532</v>
      </c>
      <c r="O414" s="2" t="s">
        <v>570</v>
      </c>
      <c r="P414" s="2" t="s">
        <v>573</v>
      </c>
      <c r="Q414" s="89" t="s">
        <v>0</v>
      </c>
      <c r="R414" s="110" t="s">
        <v>519</v>
      </c>
      <c r="S414" s="166">
        <v>100</v>
      </c>
      <c r="T414" s="167" t="s">
        <v>0</v>
      </c>
      <c r="U414" s="67" t="s">
        <v>0</v>
      </c>
      <c r="V414" s="165" t="s">
        <v>0</v>
      </c>
      <c r="W414" s="208" t="s">
        <v>0</v>
      </c>
      <c r="X414" s="165">
        <v>50</v>
      </c>
      <c r="Y414" s="195">
        <v>2</v>
      </c>
      <c r="Z414" s="293" t="s">
        <v>0</v>
      </c>
      <c r="AA414" s="294" t="s">
        <v>0</v>
      </c>
      <c r="AB414" s="293" t="s">
        <v>0</v>
      </c>
      <c r="AC414" s="201">
        <v>34.34417159246685</v>
      </c>
      <c r="AD414" s="201">
        <v>0.53136806357138344</v>
      </c>
      <c r="AE414" s="265">
        <v>0.30678549454170845</v>
      </c>
      <c r="AF414" s="293" t="s">
        <v>0</v>
      </c>
      <c r="AG414" s="382" t="s">
        <v>0</v>
      </c>
      <c r="AH414" s="400"/>
      <c r="AI414" s="393"/>
    </row>
    <row r="415" spans="1:35" hidden="1" x14ac:dyDescent="0.3">
      <c r="A415" s="151">
        <v>45324</v>
      </c>
      <c r="B415" s="189">
        <v>414</v>
      </c>
      <c r="C415" s="34" t="s">
        <v>547</v>
      </c>
      <c r="D415" s="35" t="s">
        <v>596</v>
      </c>
      <c r="E415" s="2" t="s">
        <v>589</v>
      </c>
      <c r="F415" s="2" t="s">
        <v>585</v>
      </c>
      <c r="G415" s="2" t="s">
        <v>560</v>
      </c>
      <c r="H415" s="14" t="s">
        <v>411</v>
      </c>
      <c r="I415" s="2" t="s">
        <v>524</v>
      </c>
      <c r="J415" s="15" t="s">
        <v>550</v>
      </c>
      <c r="K415" s="2" t="s">
        <v>532</v>
      </c>
      <c r="L415" s="2" t="s">
        <v>608</v>
      </c>
      <c r="M415" s="2" t="s">
        <v>531</v>
      </c>
      <c r="N415" s="2" t="s">
        <v>532</v>
      </c>
      <c r="O415" s="2" t="s">
        <v>570</v>
      </c>
      <c r="P415" s="2" t="s">
        <v>573</v>
      </c>
      <c r="Q415" s="89" t="s">
        <v>0</v>
      </c>
      <c r="R415" s="110" t="s">
        <v>519</v>
      </c>
      <c r="S415" s="166">
        <v>100</v>
      </c>
      <c r="T415" s="167" t="s">
        <v>0</v>
      </c>
      <c r="U415" s="67" t="s">
        <v>576</v>
      </c>
      <c r="V415" s="360">
        <v>200000</v>
      </c>
      <c r="W415" s="208">
        <v>75102.234789407899</v>
      </c>
      <c r="X415" s="165">
        <v>50</v>
      </c>
      <c r="Y415" s="195">
        <v>2</v>
      </c>
      <c r="Z415" s="208">
        <v>5.1069519656797367E-2</v>
      </c>
      <c r="AA415" s="264">
        <v>1.2767379914199342</v>
      </c>
      <c r="AB415" s="208">
        <v>7.9822462906255687E-4</v>
      </c>
      <c r="AC415" s="201">
        <v>21.911953185300352</v>
      </c>
      <c r="AD415" s="201">
        <v>2.4924403090043058E-2</v>
      </c>
      <c r="AE415" s="265">
        <v>1.4390110833427101E-2</v>
      </c>
      <c r="AF415" s="208">
        <v>70297.300535940303</v>
      </c>
      <c r="AG415" s="206">
        <v>1757432.5133985078</v>
      </c>
      <c r="AH415" s="110" t="s">
        <v>645</v>
      </c>
      <c r="AI415" s="393" t="s">
        <v>632</v>
      </c>
    </row>
    <row r="416" spans="1:35" hidden="1" x14ac:dyDescent="0.3">
      <c r="A416" s="151">
        <v>45324</v>
      </c>
      <c r="B416" s="189">
        <v>415</v>
      </c>
      <c r="C416" s="34" t="s">
        <v>547</v>
      </c>
      <c r="D416" s="35" t="s">
        <v>596</v>
      </c>
      <c r="E416" s="2" t="s">
        <v>589</v>
      </c>
      <c r="F416" s="2" t="s">
        <v>585</v>
      </c>
      <c r="G416" s="2" t="s">
        <v>560</v>
      </c>
      <c r="H416" s="14" t="s">
        <v>412</v>
      </c>
      <c r="I416" s="2" t="s">
        <v>524</v>
      </c>
      <c r="J416" s="15" t="s">
        <v>550</v>
      </c>
      <c r="K416" s="2" t="s">
        <v>532</v>
      </c>
      <c r="L416" s="2" t="s">
        <v>608</v>
      </c>
      <c r="M416" s="2" t="s">
        <v>531</v>
      </c>
      <c r="N416" s="2" t="s">
        <v>532</v>
      </c>
      <c r="O416" s="2" t="s">
        <v>570</v>
      </c>
      <c r="P416" s="2" t="s">
        <v>574</v>
      </c>
      <c r="Q416" s="89" t="s">
        <v>0</v>
      </c>
      <c r="R416" s="110" t="s">
        <v>519</v>
      </c>
      <c r="S416" s="166">
        <v>100</v>
      </c>
      <c r="T416" s="167" t="s">
        <v>0</v>
      </c>
      <c r="U416" s="67" t="s">
        <v>576</v>
      </c>
      <c r="V416" s="360">
        <v>200000</v>
      </c>
      <c r="W416" s="208">
        <v>63401.395045216734</v>
      </c>
      <c r="X416" s="165">
        <v>50</v>
      </c>
      <c r="Y416" s="195">
        <v>2</v>
      </c>
      <c r="Z416" s="208">
        <v>4.3112948630747383E-2</v>
      </c>
      <c r="AA416" s="264">
        <v>1.0778237157686845</v>
      </c>
      <c r="AB416" s="208">
        <v>9.5774115087925366E-4</v>
      </c>
      <c r="AC416" s="201">
        <v>22.18295887852857</v>
      </c>
      <c r="AD416" s="201">
        <v>3.5751473207648952E-2</v>
      </c>
      <c r="AE416" s="265">
        <v>2.0641122680361817E-2</v>
      </c>
      <c r="AF416" s="208">
        <v>59345.063890429905</v>
      </c>
      <c r="AG416" s="206">
        <v>1483626.5972607476</v>
      </c>
      <c r="AH416" s="110" t="s">
        <v>645</v>
      </c>
      <c r="AI416" s="393" t="s">
        <v>632</v>
      </c>
    </row>
    <row r="417" spans="1:35" hidden="1" x14ac:dyDescent="0.3">
      <c r="A417" s="151">
        <v>45324</v>
      </c>
      <c r="B417" s="189">
        <v>416</v>
      </c>
      <c r="C417" s="34" t="s">
        <v>547</v>
      </c>
      <c r="D417" s="35" t="s">
        <v>596</v>
      </c>
      <c r="E417" s="2" t="s">
        <v>589</v>
      </c>
      <c r="F417" s="2" t="s">
        <v>585</v>
      </c>
      <c r="G417" s="2" t="s">
        <v>560</v>
      </c>
      <c r="H417" s="14" t="s">
        <v>413</v>
      </c>
      <c r="I417" s="2" t="s">
        <v>524</v>
      </c>
      <c r="J417" s="15" t="s">
        <v>550</v>
      </c>
      <c r="K417" s="2" t="s">
        <v>532</v>
      </c>
      <c r="L417" s="2" t="s">
        <v>608</v>
      </c>
      <c r="M417" s="2" t="s">
        <v>531</v>
      </c>
      <c r="N417" s="2" t="s">
        <v>532</v>
      </c>
      <c r="O417" s="2" t="s">
        <v>570</v>
      </c>
      <c r="P417" s="2" t="s">
        <v>503</v>
      </c>
      <c r="Q417" s="89" t="s">
        <v>0</v>
      </c>
      <c r="R417" s="110" t="s">
        <v>519</v>
      </c>
      <c r="S417" s="166">
        <v>100</v>
      </c>
      <c r="T417" s="167" t="s">
        <v>0</v>
      </c>
      <c r="U417" s="67" t="s">
        <v>576</v>
      </c>
      <c r="V417" s="360">
        <v>200000</v>
      </c>
      <c r="W417" s="208">
        <v>90393.682725096005</v>
      </c>
      <c r="X417" s="165">
        <v>50</v>
      </c>
      <c r="Y417" s="195">
        <v>2</v>
      </c>
      <c r="Z417" s="208">
        <v>6.1467704253065275E-2</v>
      </c>
      <c r="AA417" s="264">
        <v>1.536692606326632</v>
      </c>
      <c r="AB417" s="208">
        <v>4.1791583230763266E-3</v>
      </c>
      <c r="AC417" s="201">
        <v>21.617961279444955</v>
      </c>
      <c r="AD417" s="201">
        <v>0.11097850928590387</v>
      </c>
      <c r="AE417" s="265">
        <v>6.4073472210479987E-2</v>
      </c>
      <c r="AF417" s="208">
        <v>84610.423363496404</v>
      </c>
      <c r="AG417" s="206">
        <v>2115260.58408741</v>
      </c>
      <c r="AH417" s="110" t="s">
        <v>645</v>
      </c>
      <c r="AI417" s="393" t="s">
        <v>632</v>
      </c>
    </row>
    <row r="418" spans="1:35" hidden="1" x14ac:dyDescent="0.3">
      <c r="A418" s="151">
        <v>45324</v>
      </c>
      <c r="B418" s="188">
        <v>417</v>
      </c>
      <c r="C418" s="34" t="s">
        <v>547</v>
      </c>
      <c r="D418" s="35" t="s">
        <v>596</v>
      </c>
      <c r="E418" s="2" t="s">
        <v>589</v>
      </c>
      <c r="F418" s="2" t="s">
        <v>585</v>
      </c>
      <c r="G418" s="2" t="s">
        <v>560</v>
      </c>
      <c r="H418" s="14" t="s">
        <v>414</v>
      </c>
      <c r="I418" s="2" t="s">
        <v>524</v>
      </c>
      <c r="J418" s="15" t="s">
        <v>550</v>
      </c>
      <c r="K418" s="2" t="s">
        <v>532</v>
      </c>
      <c r="L418" s="2" t="s">
        <v>608</v>
      </c>
      <c r="M418" s="2" t="s">
        <v>531</v>
      </c>
      <c r="N418" s="2" t="s">
        <v>532</v>
      </c>
      <c r="O418" s="2" t="s">
        <v>570</v>
      </c>
      <c r="P418" s="2" t="s">
        <v>575</v>
      </c>
      <c r="Q418" s="89" t="s">
        <v>0</v>
      </c>
      <c r="R418" s="110" t="s">
        <v>519</v>
      </c>
      <c r="S418" s="166">
        <v>100</v>
      </c>
      <c r="T418" s="167" t="s">
        <v>0</v>
      </c>
      <c r="U418" s="67" t="s">
        <v>576</v>
      </c>
      <c r="V418" s="360">
        <v>200000</v>
      </c>
      <c r="W418" s="208">
        <v>72159.866508228748</v>
      </c>
      <c r="X418" s="165">
        <v>50</v>
      </c>
      <c r="Y418" s="195">
        <v>2</v>
      </c>
      <c r="Z418" s="208">
        <v>4.9068709225595544E-2</v>
      </c>
      <c r="AA418" s="264">
        <v>1.2267177306398886</v>
      </c>
      <c r="AB418" s="208">
        <v>4.734377213895702E-4</v>
      </c>
      <c r="AC418" s="201">
        <v>21.975792353916034</v>
      </c>
      <c r="AD418" s="201">
        <v>1.5400665197046279E-2</v>
      </c>
      <c r="AE418" s="265">
        <v>8.8915781972139715E-3</v>
      </c>
      <c r="AF418" s="208">
        <v>67543.18079596899</v>
      </c>
      <c r="AG418" s="206">
        <v>1688579.5198992249</v>
      </c>
      <c r="AH418" s="110" t="s">
        <v>645</v>
      </c>
      <c r="AI418" s="393" t="s">
        <v>632</v>
      </c>
    </row>
    <row r="419" spans="1:35" hidden="1" x14ac:dyDescent="0.3">
      <c r="A419" s="151">
        <v>45324</v>
      </c>
      <c r="B419" s="189">
        <v>418</v>
      </c>
      <c r="C419" s="34" t="s">
        <v>547</v>
      </c>
      <c r="D419" s="35" t="s">
        <v>596</v>
      </c>
      <c r="E419" s="2" t="s">
        <v>589</v>
      </c>
      <c r="F419" s="2" t="s">
        <v>585</v>
      </c>
      <c r="G419" s="2" t="s">
        <v>560</v>
      </c>
      <c r="H419" s="14" t="s">
        <v>415</v>
      </c>
      <c r="I419" s="110" t="s">
        <v>526</v>
      </c>
      <c r="J419" s="12" t="s">
        <v>551</v>
      </c>
      <c r="K419" s="2" t="s">
        <v>531</v>
      </c>
      <c r="L419" s="2" t="s">
        <v>535</v>
      </c>
      <c r="M419" s="2" t="s">
        <v>531</v>
      </c>
      <c r="N419" s="2" t="s">
        <v>532</v>
      </c>
      <c r="O419" s="2" t="s">
        <v>570</v>
      </c>
      <c r="P419" s="2" t="s">
        <v>573</v>
      </c>
      <c r="Q419" s="89" t="s">
        <v>0</v>
      </c>
      <c r="R419" s="110" t="s">
        <v>519</v>
      </c>
      <c r="S419" s="166">
        <v>100</v>
      </c>
      <c r="T419" s="167" t="s">
        <v>0</v>
      </c>
      <c r="U419" s="67" t="s">
        <v>0</v>
      </c>
      <c r="V419" s="165" t="s">
        <v>0</v>
      </c>
      <c r="W419" s="208">
        <v>10.520848698090663</v>
      </c>
      <c r="X419" s="165">
        <v>50</v>
      </c>
      <c r="Y419" s="195">
        <v>2</v>
      </c>
      <c r="Z419" s="284">
        <v>7.1541771147016514E-6</v>
      </c>
      <c r="AA419" s="283">
        <v>1.7885442786754128E-4</v>
      </c>
      <c r="AB419" s="293" t="s">
        <v>0</v>
      </c>
      <c r="AC419" s="201">
        <v>36.147690367865508</v>
      </c>
      <c r="AD419" s="201">
        <v>0.53659116574709986</v>
      </c>
      <c r="AE419" s="265">
        <v>0.37942725202456895</v>
      </c>
      <c r="AF419" s="208">
        <v>9.8477397496451626</v>
      </c>
      <c r="AG419" s="206">
        <v>246.193493741129</v>
      </c>
      <c r="AH419" s="110">
        <v>2</v>
      </c>
      <c r="AI419" s="393" t="s">
        <v>611</v>
      </c>
    </row>
    <row r="420" spans="1:35" hidden="1" x14ac:dyDescent="0.3">
      <c r="A420" s="151">
        <v>45324</v>
      </c>
      <c r="B420" s="189">
        <v>419</v>
      </c>
      <c r="C420" s="34" t="s">
        <v>547</v>
      </c>
      <c r="D420" s="35" t="s">
        <v>596</v>
      </c>
      <c r="E420" s="2" t="s">
        <v>589</v>
      </c>
      <c r="F420" s="2" t="s">
        <v>585</v>
      </c>
      <c r="G420" s="2" t="s">
        <v>560</v>
      </c>
      <c r="H420" s="14" t="s">
        <v>416</v>
      </c>
      <c r="I420" s="2" t="s">
        <v>524</v>
      </c>
      <c r="J420" s="12" t="s">
        <v>551</v>
      </c>
      <c r="K420" s="2" t="s">
        <v>532</v>
      </c>
      <c r="L420" s="2" t="s">
        <v>608</v>
      </c>
      <c r="M420" s="2" t="s">
        <v>531</v>
      </c>
      <c r="N420" s="2" t="s">
        <v>532</v>
      </c>
      <c r="O420" s="2" t="s">
        <v>570</v>
      </c>
      <c r="P420" s="2" t="s">
        <v>573</v>
      </c>
      <c r="Q420" s="89" t="s">
        <v>0</v>
      </c>
      <c r="R420" s="110" t="s">
        <v>519</v>
      </c>
      <c r="S420" s="166">
        <v>100</v>
      </c>
      <c r="T420" s="167" t="s">
        <v>0</v>
      </c>
      <c r="U420" s="67" t="s">
        <v>576</v>
      </c>
      <c r="V420" s="360">
        <v>200000</v>
      </c>
      <c r="W420" s="208">
        <v>236870.47043471484</v>
      </c>
      <c r="X420" s="165">
        <v>50</v>
      </c>
      <c r="Y420" s="195">
        <v>2</v>
      </c>
      <c r="Z420" s="208">
        <v>0.16107191989560607</v>
      </c>
      <c r="AA420" s="264">
        <v>4.026797997390152</v>
      </c>
      <c r="AB420" s="208">
        <v>3.2425787889348999E-3</v>
      </c>
      <c r="AC420" s="201">
        <v>20.074944690739603</v>
      </c>
      <c r="AD420" s="201">
        <v>3.2183575570763366E-2</v>
      </c>
      <c r="AE420" s="265">
        <v>1.8581196019264893E-2</v>
      </c>
      <c r="AF420" s="208">
        <v>221715.83435473416</v>
      </c>
      <c r="AG420" s="206">
        <v>5542895.858868354</v>
      </c>
      <c r="AH420" s="110" t="s">
        <v>645</v>
      </c>
      <c r="AI420" s="393" t="s">
        <v>634</v>
      </c>
    </row>
    <row r="421" spans="1:35" hidden="1" x14ac:dyDescent="0.3">
      <c r="A421" s="151">
        <v>45324</v>
      </c>
      <c r="B421" s="189">
        <v>420</v>
      </c>
      <c r="C421" s="34" t="s">
        <v>547</v>
      </c>
      <c r="D421" s="35" t="s">
        <v>596</v>
      </c>
      <c r="E421" s="2" t="s">
        <v>589</v>
      </c>
      <c r="F421" s="2" t="s">
        <v>585</v>
      </c>
      <c r="G421" s="2" t="s">
        <v>560</v>
      </c>
      <c r="H421" s="14" t="s">
        <v>417</v>
      </c>
      <c r="I421" s="2" t="s">
        <v>524</v>
      </c>
      <c r="J421" s="12" t="s">
        <v>551</v>
      </c>
      <c r="K421" s="2" t="s">
        <v>532</v>
      </c>
      <c r="L421" s="2" t="s">
        <v>608</v>
      </c>
      <c r="M421" s="2" t="s">
        <v>531</v>
      </c>
      <c r="N421" s="2" t="s">
        <v>532</v>
      </c>
      <c r="O421" s="2" t="s">
        <v>570</v>
      </c>
      <c r="P421" s="2" t="s">
        <v>574</v>
      </c>
      <c r="Q421" s="89" t="s">
        <v>0</v>
      </c>
      <c r="R421" s="110" t="s">
        <v>519</v>
      </c>
      <c r="S421" s="166">
        <v>100</v>
      </c>
      <c r="T421" s="167" t="s">
        <v>0</v>
      </c>
      <c r="U421" s="67" t="s">
        <v>576</v>
      </c>
      <c r="V421" s="360">
        <v>200000</v>
      </c>
      <c r="W421" s="208">
        <v>191142.82323683467</v>
      </c>
      <c r="X421" s="165">
        <v>50</v>
      </c>
      <c r="Y421" s="195">
        <v>2</v>
      </c>
      <c r="Z421" s="208">
        <v>0.12997711980104756</v>
      </c>
      <c r="AA421" s="264">
        <v>3.2494279950261893</v>
      </c>
      <c r="AB421" s="208">
        <v>6.5212820831820175E-3</v>
      </c>
      <c r="AC421" s="201">
        <v>20.419103583600393</v>
      </c>
      <c r="AD421" s="201">
        <v>7.9696593412767719E-2</v>
      </c>
      <c r="AE421" s="265">
        <v>4.6012849660357603E-2</v>
      </c>
      <c r="AF421" s="208">
        <v>178913.77704066609</v>
      </c>
      <c r="AG421" s="206">
        <v>4472844.426016653</v>
      </c>
      <c r="AH421" s="110" t="s">
        <v>645</v>
      </c>
      <c r="AI421" s="393" t="s">
        <v>634</v>
      </c>
    </row>
    <row r="422" spans="1:35" hidden="1" x14ac:dyDescent="0.3">
      <c r="A422" s="151">
        <v>45324</v>
      </c>
      <c r="B422" s="189">
        <v>421</v>
      </c>
      <c r="C422" s="34" t="s">
        <v>547</v>
      </c>
      <c r="D422" s="35" t="s">
        <v>596</v>
      </c>
      <c r="E422" s="2" t="s">
        <v>589</v>
      </c>
      <c r="F422" s="2" t="s">
        <v>585</v>
      </c>
      <c r="G422" s="2" t="s">
        <v>560</v>
      </c>
      <c r="H422" s="14" t="s">
        <v>418</v>
      </c>
      <c r="I422" s="2" t="s">
        <v>524</v>
      </c>
      <c r="J422" s="12" t="s">
        <v>551</v>
      </c>
      <c r="K422" s="2" t="s">
        <v>532</v>
      </c>
      <c r="L422" s="2" t="s">
        <v>608</v>
      </c>
      <c r="M422" s="2" t="s">
        <v>531</v>
      </c>
      <c r="N422" s="2" t="s">
        <v>532</v>
      </c>
      <c r="O422" s="2" t="s">
        <v>570</v>
      </c>
      <c r="P422" s="2" t="s">
        <v>503</v>
      </c>
      <c r="Q422" s="89" t="s">
        <v>0</v>
      </c>
      <c r="R422" s="110" t="s">
        <v>519</v>
      </c>
      <c r="S422" s="166">
        <v>100</v>
      </c>
      <c r="T422" s="167" t="s">
        <v>0</v>
      </c>
      <c r="U422" s="67" t="s">
        <v>576</v>
      </c>
      <c r="V422" s="360">
        <v>200000</v>
      </c>
      <c r="W422" s="208">
        <v>308082.98435002379</v>
      </c>
      <c r="X422" s="165">
        <v>50</v>
      </c>
      <c r="Y422" s="195">
        <v>2</v>
      </c>
      <c r="Z422" s="208">
        <v>0.20949642935801616</v>
      </c>
      <c r="AA422" s="264">
        <v>5.2374107339504041</v>
      </c>
      <c r="AB422" s="208">
        <v>6.910100210356717E-3</v>
      </c>
      <c r="AC422" s="201">
        <v>19.65490830525945</v>
      </c>
      <c r="AD422" s="201">
        <v>5.2296481896045369E-2</v>
      </c>
      <c r="AE422" s="265">
        <v>3.0193387900352187E-2</v>
      </c>
      <c r="AF422" s="208">
        <v>288372.27283038839</v>
      </c>
      <c r="AG422" s="206">
        <v>7209306.8207597099</v>
      </c>
      <c r="AH422" s="110" t="s">
        <v>645</v>
      </c>
      <c r="AI422" s="393" t="s">
        <v>634</v>
      </c>
    </row>
    <row r="423" spans="1:35" hidden="1" x14ac:dyDescent="0.3">
      <c r="A423" s="151">
        <v>45324</v>
      </c>
      <c r="B423" s="189">
        <v>422</v>
      </c>
      <c r="C423" s="34" t="s">
        <v>547</v>
      </c>
      <c r="D423" s="35" t="s">
        <v>596</v>
      </c>
      <c r="E423" s="2" t="s">
        <v>589</v>
      </c>
      <c r="F423" s="2" t="s">
        <v>585</v>
      </c>
      <c r="G423" s="2" t="s">
        <v>560</v>
      </c>
      <c r="H423" s="14" t="s">
        <v>419</v>
      </c>
      <c r="I423" s="2" t="s">
        <v>524</v>
      </c>
      <c r="J423" s="12" t="s">
        <v>551</v>
      </c>
      <c r="K423" s="2" t="s">
        <v>532</v>
      </c>
      <c r="L423" s="2" t="s">
        <v>608</v>
      </c>
      <c r="M423" s="2" t="s">
        <v>531</v>
      </c>
      <c r="N423" s="2" t="s">
        <v>532</v>
      </c>
      <c r="O423" s="2" t="s">
        <v>570</v>
      </c>
      <c r="P423" s="2" t="s">
        <v>575</v>
      </c>
      <c r="Q423" s="89" t="s">
        <v>0</v>
      </c>
      <c r="R423" s="110" t="s">
        <v>519</v>
      </c>
      <c r="S423" s="166">
        <v>100</v>
      </c>
      <c r="T423" s="167" t="s">
        <v>0</v>
      </c>
      <c r="U423" s="67" t="s">
        <v>576</v>
      </c>
      <c r="V423" s="360">
        <v>200000</v>
      </c>
      <c r="W423" s="208">
        <v>165853.11829489961</v>
      </c>
      <c r="X423" s="165">
        <v>50</v>
      </c>
      <c r="Y423" s="195">
        <v>2</v>
      </c>
      <c r="Z423" s="208">
        <v>0.11278012044053175</v>
      </c>
      <c r="AA423" s="264">
        <v>2.8195030110132935</v>
      </c>
      <c r="AB423" s="208">
        <v>6.7247118262646578E-3</v>
      </c>
      <c r="AC423" s="201">
        <v>20.646680664496461</v>
      </c>
      <c r="AD423" s="201">
        <v>9.6745194921938643E-2</v>
      </c>
      <c r="AE423" s="265">
        <v>5.5855864330984092E-2</v>
      </c>
      <c r="AF423" s="208">
        <v>155242.07148152351</v>
      </c>
      <c r="AG423" s="206">
        <v>3881051.7870380874</v>
      </c>
      <c r="AH423" s="110" t="s">
        <v>645</v>
      </c>
      <c r="AI423" s="393" t="s">
        <v>634</v>
      </c>
    </row>
    <row r="424" spans="1:35" x14ac:dyDescent="0.3">
      <c r="A424" s="151">
        <v>45324</v>
      </c>
      <c r="B424" s="189">
        <v>423</v>
      </c>
      <c r="C424" s="34" t="s">
        <v>547</v>
      </c>
      <c r="D424" s="35" t="s">
        <v>596</v>
      </c>
      <c r="E424" s="2" t="s">
        <v>589</v>
      </c>
      <c r="F424" s="2" t="s">
        <v>585</v>
      </c>
      <c r="G424" s="2" t="s">
        <v>560</v>
      </c>
      <c r="H424" s="14" t="s">
        <v>420</v>
      </c>
      <c r="I424" s="2" t="s">
        <v>517</v>
      </c>
      <c r="J424" s="9" t="s">
        <v>0</v>
      </c>
      <c r="K424" s="2" t="s">
        <v>531</v>
      </c>
      <c r="L424" s="42" t="s">
        <v>593</v>
      </c>
      <c r="M424" s="42" t="s">
        <v>531</v>
      </c>
      <c r="N424" s="2" t="s">
        <v>532</v>
      </c>
      <c r="O424" s="2" t="s">
        <v>570</v>
      </c>
      <c r="P424" s="2" t="s">
        <v>573</v>
      </c>
      <c r="Q424" s="89" t="s">
        <v>0</v>
      </c>
      <c r="R424" s="110" t="s">
        <v>519</v>
      </c>
      <c r="S424" s="166">
        <v>100</v>
      </c>
      <c r="T424" s="167" t="s">
        <v>0</v>
      </c>
      <c r="U424" s="67" t="s">
        <v>576</v>
      </c>
      <c r="V424" s="360">
        <v>200000</v>
      </c>
      <c r="W424" s="208">
        <v>591237.6853993577</v>
      </c>
      <c r="X424" s="165">
        <v>50</v>
      </c>
      <c r="Y424" s="195">
        <v>2</v>
      </c>
      <c r="Z424" s="208">
        <v>0.40204162607156319</v>
      </c>
      <c r="AA424" s="264">
        <v>10.05104065178908</v>
      </c>
      <c r="AB424" s="208">
        <v>2.1616744410121406E-2</v>
      </c>
      <c r="AC424" s="199">
        <v>18.613329096223733</v>
      </c>
      <c r="AD424" s="199">
        <v>8.4996838352739829E-2</v>
      </c>
      <c r="AE424" s="292">
        <v>4.9072947503221449E-2</v>
      </c>
      <c r="AF424" s="208">
        <v>553411.1384998915</v>
      </c>
      <c r="AG424" s="206">
        <v>13835278.462497286</v>
      </c>
      <c r="AH424" s="110"/>
      <c r="AI424" s="393" t="s">
        <v>752</v>
      </c>
    </row>
    <row r="425" spans="1:35" ht="16.2" thickBot="1" x14ac:dyDescent="0.35">
      <c r="A425" s="157">
        <v>45324</v>
      </c>
      <c r="B425" s="190">
        <v>424</v>
      </c>
      <c r="C425" s="142" t="s">
        <v>547</v>
      </c>
      <c r="D425" s="33" t="s">
        <v>596</v>
      </c>
      <c r="E425" s="23" t="s">
        <v>589</v>
      </c>
      <c r="F425" s="23" t="s">
        <v>585</v>
      </c>
      <c r="G425" s="23" t="s">
        <v>560</v>
      </c>
      <c r="H425" s="328" t="s">
        <v>421</v>
      </c>
      <c r="I425" s="107" t="s">
        <v>517</v>
      </c>
      <c r="J425" s="24" t="s">
        <v>0</v>
      </c>
      <c r="K425" s="23" t="s">
        <v>531</v>
      </c>
      <c r="L425" s="42" t="s">
        <v>593</v>
      </c>
      <c r="M425" s="196" t="s">
        <v>532</v>
      </c>
      <c r="N425" s="23" t="s">
        <v>532</v>
      </c>
      <c r="O425" s="23" t="s">
        <v>570</v>
      </c>
      <c r="P425" s="23" t="s">
        <v>573</v>
      </c>
      <c r="Q425" s="79" t="s">
        <v>0</v>
      </c>
      <c r="R425" s="111" t="s">
        <v>519</v>
      </c>
      <c r="S425" s="186">
        <v>100</v>
      </c>
      <c r="T425" s="167" t="s">
        <v>0</v>
      </c>
      <c r="U425" s="67" t="s">
        <v>576</v>
      </c>
      <c r="V425" s="363">
        <v>200000</v>
      </c>
      <c r="W425" s="211">
        <v>389532.75823565258</v>
      </c>
      <c r="X425" s="169">
        <v>50</v>
      </c>
      <c r="Y425" s="205">
        <v>2</v>
      </c>
      <c r="Z425" s="211">
        <v>0.26488227560024374</v>
      </c>
      <c r="AA425" s="262">
        <v>6.6220568900060934</v>
      </c>
      <c r="AB425" s="211">
        <v>2.6921724031469106E-2</v>
      </c>
      <c r="AC425" s="213">
        <v>19.284540717903344</v>
      </c>
      <c r="AD425" s="213">
        <v>0.15960307686201941</v>
      </c>
      <c r="AE425" s="287">
        <v>9.2146879389779446E-2</v>
      </c>
      <c r="AF425" s="211">
        <v>364611.0059317096</v>
      </c>
      <c r="AG425" s="248">
        <v>9115275.1482927389</v>
      </c>
      <c r="AH425" s="111"/>
      <c r="AI425" s="393" t="s">
        <v>752</v>
      </c>
    </row>
    <row r="426" spans="1:35" hidden="1" x14ac:dyDescent="0.3">
      <c r="A426" s="158">
        <v>45350</v>
      </c>
      <c r="B426" s="188">
        <v>425</v>
      </c>
      <c r="C426" s="77" t="s">
        <v>544</v>
      </c>
      <c r="D426" s="30" t="s">
        <v>552</v>
      </c>
      <c r="E426" s="28" t="s">
        <v>588</v>
      </c>
      <c r="F426" s="28" t="s">
        <v>584</v>
      </c>
      <c r="G426" s="28" t="s">
        <v>561</v>
      </c>
      <c r="H426" s="31" t="s">
        <v>422</v>
      </c>
      <c r="I426" s="117" t="s">
        <v>527</v>
      </c>
      <c r="J426" s="29" t="s">
        <v>550</v>
      </c>
      <c r="K426" s="28" t="s">
        <v>532</v>
      </c>
      <c r="L426" s="28" t="s">
        <v>608</v>
      </c>
      <c r="M426" s="28" t="s">
        <v>531</v>
      </c>
      <c r="N426" s="28" t="s">
        <v>531</v>
      </c>
      <c r="O426" s="28" t="s">
        <v>571</v>
      </c>
      <c r="P426" s="28" t="s">
        <v>573</v>
      </c>
      <c r="Q426" s="72" t="s">
        <v>496</v>
      </c>
      <c r="R426" s="117" t="s">
        <v>519</v>
      </c>
      <c r="S426" s="185">
        <v>400</v>
      </c>
      <c r="T426" s="181">
        <v>25</v>
      </c>
      <c r="U426" s="72" t="s">
        <v>0</v>
      </c>
      <c r="V426" s="164" t="s">
        <v>0</v>
      </c>
      <c r="W426" s="209">
        <v>1422.7176470588233</v>
      </c>
      <c r="X426" s="164">
        <v>50</v>
      </c>
      <c r="Y426" s="194">
        <v>2</v>
      </c>
      <c r="Z426" s="209">
        <v>9.6744799999999998E-4</v>
      </c>
      <c r="AA426" s="264">
        <v>2.4186199999999998E-2</v>
      </c>
      <c r="AB426" s="209">
        <v>5.3567599999999999E-5</v>
      </c>
      <c r="AC426" s="220">
        <v>29.27704</v>
      </c>
      <c r="AD426" s="201">
        <v>8.7132000000000001E-2</v>
      </c>
      <c r="AE426" s="265">
        <v>5.0305999999999997E-2</v>
      </c>
      <c r="AF426" s="209">
        <v>1331.6941938349009</v>
      </c>
      <c r="AG426" s="206">
        <v>33292.354845872513</v>
      </c>
      <c r="AH426" s="110" t="s">
        <v>659</v>
      </c>
      <c r="AI426" s="404" t="s">
        <v>639</v>
      </c>
    </row>
    <row r="427" spans="1:35" hidden="1" x14ac:dyDescent="0.3">
      <c r="A427" s="151">
        <v>45350</v>
      </c>
      <c r="B427" s="189">
        <v>426</v>
      </c>
      <c r="C427" s="11" t="s">
        <v>544</v>
      </c>
      <c r="D427" s="10" t="s">
        <v>552</v>
      </c>
      <c r="E427" s="2" t="s">
        <v>588</v>
      </c>
      <c r="F427" s="2" t="s">
        <v>584</v>
      </c>
      <c r="G427" s="2" t="s">
        <v>561</v>
      </c>
      <c r="H427" s="13" t="s">
        <v>423</v>
      </c>
      <c r="I427" s="110" t="s">
        <v>527</v>
      </c>
      <c r="J427" s="15" t="s">
        <v>550</v>
      </c>
      <c r="K427" s="2" t="s">
        <v>532</v>
      </c>
      <c r="L427" s="2" t="s">
        <v>608</v>
      </c>
      <c r="M427" s="2" t="s">
        <v>531</v>
      </c>
      <c r="N427" s="2" t="s">
        <v>531</v>
      </c>
      <c r="O427" s="2" t="s">
        <v>571</v>
      </c>
      <c r="P427" s="2" t="s">
        <v>573</v>
      </c>
      <c r="Q427" s="67" t="s">
        <v>497</v>
      </c>
      <c r="R427" s="110" t="s">
        <v>519</v>
      </c>
      <c r="S427" s="166">
        <v>400</v>
      </c>
      <c r="T427" s="166">
        <v>25</v>
      </c>
      <c r="U427" s="67" t="s">
        <v>0</v>
      </c>
      <c r="V427" s="165" t="s">
        <v>0</v>
      </c>
      <c r="W427" s="208">
        <v>606.17499999999995</v>
      </c>
      <c r="X427" s="165">
        <v>50</v>
      </c>
      <c r="Y427" s="195">
        <v>2</v>
      </c>
      <c r="Z427" s="208">
        <v>4.1219899999999997E-4</v>
      </c>
      <c r="AA427" s="264">
        <v>1.0304974999999999E-2</v>
      </c>
      <c r="AB427" s="208">
        <v>7.6813100000000005E-5</v>
      </c>
      <c r="AC427" s="201">
        <v>30.65549</v>
      </c>
      <c r="AD427" s="201">
        <v>0.28904999999999997</v>
      </c>
      <c r="AE427" s="265">
        <v>0.166883</v>
      </c>
      <c r="AF427" s="208">
        <v>567.3927849399164</v>
      </c>
      <c r="AG427" s="206">
        <v>14184.81962349791</v>
      </c>
      <c r="AH427" s="412" t="s">
        <v>659</v>
      </c>
      <c r="AI427" s="393" t="s">
        <v>639</v>
      </c>
    </row>
    <row r="428" spans="1:35" hidden="1" x14ac:dyDescent="0.3">
      <c r="A428" s="151">
        <v>45350</v>
      </c>
      <c r="B428" s="189">
        <v>427</v>
      </c>
      <c r="C428" s="11" t="s">
        <v>544</v>
      </c>
      <c r="D428" s="10" t="s">
        <v>552</v>
      </c>
      <c r="E428" s="2" t="s">
        <v>588</v>
      </c>
      <c r="F428" s="2" t="s">
        <v>584</v>
      </c>
      <c r="G428" s="2" t="s">
        <v>561</v>
      </c>
      <c r="H428" s="13" t="s">
        <v>424</v>
      </c>
      <c r="I428" s="110" t="s">
        <v>527</v>
      </c>
      <c r="J428" s="15" t="s">
        <v>550</v>
      </c>
      <c r="K428" s="2" t="s">
        <v>532</v>
      </c>
      <c r="L428" s="2" t="s">
        <v>608</v>
      </c>
      <c r="M428" s="2" t="s">
        <v>531</v>
      </c>
      <c r="N428" s="2" t="s">
        <v>531</v>
      </c>
      <c r="O428" s="2" t="s">
        <v>571</v>
      </c>
      <c r="P428" s="2" t="s">
        <v>573</v>
      </c>
      <c r="Q428" s="67" t="s">
        <v>498</v>
      </c>
      <c r="R428" s="110" t="s">
        <v>519</v>
      </c>
      <c r="S428" s="166">
        <v>400</v>
      </c>
      <c r="T428" s="166">
        <v>25</v>
      </c>
      <c r="U428" s="67" t="s">
        <v>0</v>
      </c>
      <c r="V428" s="165" t="s">
        <v>0</v>
      </c>
      <c r="W428" s="208">
        <v>244.92500000000001</v>
      </c>
      <c r="X428" s="165">
        <v>50</v>
      </c>
      <c r="Y428" s="195">
        <v>2</v>
      </c>
      <c r="Z428" s="208">
        <v>1.6654899999999999E-4</v>
      </c>
      <c r="AA428" s="264">
        <v>4.1637250000000001E-3</v>
      </c>
      <c r="AB428" s="208">
        <v>4.2678100000000001E-5</v>
      </c>
      <c r="AC428" s="201">
        <v>32.11936</v>
      </c>
      <c r="AD428" s="201">
        <v>0.40670000000000001</v>
      </c>
      <c r="AE428" s="265">
        <v>0.23480799999999999</v>
      </c>
      <c r="AF428" s="208">
        <v>229.2550465647858</v>
      </c>
      <c r="AG428" s="206">
        <v>5731.3761641196443</v>
      </c>
      <c r="AH428" s="412" t="s">
        <v>659</v>
      </c>
      <c r="AI428" s="393" t="s">
        <v>639</v>
      </c>
    </row>
    <row r="429" spans="1:35" hidden="1" x14ac:dyDescent="0.3">
      <c r="A429" s="151">
        <v>45350</v>
      </c>
      <c r="B429" s="189">
        <v>428</v>
      </c>
      <c r="C429" s="11" t="s">
        <v>544</v>
      </c>
      <c r="D429" s="10" t="s">
        <v>552</v>
      </c>
      <c r="E429" s="2" t="s">
        <v>588</v>
      </c>
      <c r="F429" s="2" t="s">
        <v>584</v>
      </c>
      <c r="G429" s="2" t="s">
        <v>561</v>
      </c>
      <c r="H429" s="13" t="s">
        <v>425</v>
      </c>
      <c r="I429" s="110" t="s">
        <v>527</v>
      </c>
      <c r="J429" s="15" t="s">
        <v>550</v>
      </c>
      <c r="K429" s="2" t="s">
        <v>532</v>
      </c>
      <c r="L429" s="2" t="s">
        <v>608</v>
      </c>
      <c r="M429" s="2" t="s">
        <v>531</v>
      </c>
      <c r="N429" s="2" t="s">
        <v>531</v>
      </c>
      <c r="O429" s="2" t="s">
        <v>571</v>
      </c>
      <c r="P429" s="2" t="s">
        <v>573</v>
      </c>
      <c r="Q429" s="67" t="s">
        <v>499</v>
      </c>
      <c r="R429" s="110" t="s">
        <v>519</v>
      </c>
      <c r="S429" s="166">
        <v>400</v>
      </c>
      <c r="T429" s="166">
        <v>25</v>
      </c>
      <c r="U429" s="67" t="s">
        <v>0</v>
      </c>
      <c r="V429" s="165" t="s">
        <v>0</v>
      </c>
      <c r="W429" s="208">
        <v>779.89411764705892</v>
      </c>
      <c r="X429" s="165">
        <v>50</v>
      </c>
      <c r="Y429" s="195">
        <v>2</v>
      </c>
      <c r="Z429" s="208">
        <v>5.3032800000000005E-4</v>
      </c>
      <c r="AA429" s="264">
        <v>1.3258200000000001E-2</v>
      </c>
      <c r="AB429" s="208">
        <v>3.6811699999999999E-5</v>
      </c>
      <c r="AC429" s="201">
        <v>30.237850000000002</v>
      </c>
      <c r="AD429" s="201">
        <v>0.109247</v>
      </c>
      <c r="AE429" s="265">
        <v>6.3074000000000005E-2</v>
      </c>
      <c r="AF429" s="208">
        <v>729.99760031347978</v>
      </c>
      <c r="AG429" s="206">
        <v>18249.940007836994</v>
      </c>
      <c r="AH429" s="412" t="s">
        <v>659</v>
      </c>
      <c r="AI429" s="393" t="s">
        <v>639</v>
      </c>
    </row>
    <row r="430" spans="1:35" hidden="1" x14ac:dyDescent="0.3">
      <c r="A430" s="151">
        <v>45350</v>
      </c>
      <c r="B430" s="189">
        <v>429</v>
      </c>
      <c r="C430" s="11" t="s">
        <v>544</v>
      </c>
      <c r="D430" s="10" t="s">
        <v>552</v>
      </c>
      <c r="E430" s="2" t="s">
        <v>588</v>
      </c>
      <c r="F430" s="2" t="s">
        <v>584</v>
      </c>
      <c r="G430" s="2" t="s">
        <v>561</v>
      </c>
      <c r="H430" s="13" t="s">
        <v>426</v>
      </c>
      <c r="I430" s="110" t="s">
        <v>527</v>
      </c>
      <c r="J430" s="15" t="s">
        <v>550</v>
      </c>
      <c r="K430" s="2" t="s">
        <v>532</v>
      </c>
      <c r="L430" s="2" t="s">
        <v>608</v>
      </c>
      <c r="M430" s="2" t="s">
        <v>531</v>
      </c>
      <c r="N430" s="2" t="s">
        <v>531</v>
      </c>
      <c r="O430" s="2" t="s">
        <v>571</v>
      </c>
      <c r="P430" s="2" t="s">
        <v>573</v>
      </c>
      <c r="Q430" s="67" t="s">
        <v>500</v>
      </c>
      <c r="R430" s="110" t="s">
        <v>519</v>
      </c>
      <c r="S430" s="166">
        <v>400</v>
      </c>
      <c r="T430" s="166">
        <v>25</v>
      </c>
      <c r="U430" s="67" t="s">
        <v>0</v>
      </c>
      <c r="V430" s="165" t="s">
        <v>0</v>
      </c>
      <c r="W430" s="208">
        <v>523.13235294117646</v>
      </c>
      <c r="X430" s="165">
        <v>50</v>
      </c>
      <c r="Y430" s="195">
        <v>2</v>
      </c>
      <c r="Z430" s="208">
        <v>3.5573000000000001E-4</v>
      </c>
      <c r="AA430" s="264">
        <v>8.8932500000000001E-3</v>
      </c>
      <c r="AB430" s="208">
        <v>3.9160499999999999E-5</v>
      </c>
      <c r="AC430" s="201">
        <v>30.879709999999999</v>
      </c>
      <c r="AD430" s="201">
        <v>0.182003</v>
      </c>
      <c r="AE430" s="265">
        <v>0.10507900000000001</v>
      </c>
      <c r="AF430" s="208">
        <v>489.6630884273772</v>
      </c>
      <c r="AG430" s="206">
        <v>12241.577210684432</v>
      </c>
      <c r="AH430" s="412" t="s">
        <v>659</v>
      </c>
      <c r="AI430" s="393" t="s">
        <v>639</v>
      </c>
    </row>
    <row r="431" spans="1:35" hidden="1" x14ac:dyDescent="0.3">
      <c r="A431" s="151">
        <v>45350</v>
      </c>
      <c r="B431" s="188">
        <v>430</v>
      </c>
      <c r="C431" s="11" t="s">
        <v>544</v>
      </c>
      <c r="D431" s="10" t="s">
        <v>552</v>
      </c>
      <c r="E431" s="2" t="s">
        <v>588</v>
      </c>
      <c r="F431" s="2" t="s">
        <v>584</v>
      </c>
      <c r="G431" s="2" t="s">
        <v>561</v>
      </c>
      <c r="H431" s="13" t="s">
        <v>427</v>
      </c>
      <c r="I431" s="110" t="s">
        <v>527</v>
      </c>
      <c r="J431" s="15" t="s">
        <v>550</v>
      </c>
      <c r="K431" s="2" t="s">
        <v>532</v>
      </c>
      <c r="L431" s="2" t="s">
        <v>608</v>
      </c>
      <c r="M431" s="2" t="s">
        <v>531</v>
      </c>
      <c r="N431" s="2" t="s">
        <v>531</v>
      </c>
      <c r="O431" s="2" t="s">
        <v>571</v>
      </c>
      <c r="P431" s="2" t="s">
        <v>573</v>
      </c>
      <c r="Q431" s="67" t="s">
        <v>501</v>
      </c>
      <c r="R431" s="110" t="s">
        <v>519</v>
      </c>
      <c r="S431" s="166">
        <v>400</v>
      </c>
      <c r="T431" s="166">
        <v>25</v>
      </c>
      <c r="U431" s="67" t="s">
        <v>0</v>
      </c>
      <c r="V431" s="165" t="s">
        <v>0</v>
      </c>
      <c r="W431" s="208">
        <v>885.57205882352946</v>
      </c>
      <c r="X431" s="165">
        <v>50</v>
      </c>
      <c r="Y431" s="195">
        <v>2</v>
      </c>
      <c r="Z431" s="208">
        <v>6.0218900000000004E-4</v>
      </c>
      <c r="AA431" s="264">
        <v>1.5054725000000001E-2</v>
      </c>
      <c r="AB431" s="208">
        <v>8.2963899999999994E-5</v>
      </c>
      <c r="AC431" s="201">
        <v>30.042680000000001</v>
      </c>
      <c r="AD431" s="201">
        <v>0.22225700000000001</v>
      </c>
      <c r="AE431" s="265">
        <v>0.12831999999999999</v>
      </c>
      <c r="AF431" s="208">
        <v>828.91441699320796</v>
      </c>
      <c r="AG431" s="206">
        <v>20722.8604248302</v>
      </c>
      <c r="AH431" s="412" t="s">
        <v>659</v>
      </c>
      <c r="AI431" s="393" t="s">
        <v>639</v>
      </c>
    </row>
    <row r="432" spans="1:35" hidden="1" x14ac:dyDescent="0.3">
      <c r="A432" s="151">
        <v>45350</v>
      </c>
      <c r="B432" s="189">
        <v>431</v>
      </c>
      <c r="C432" s="11" t="s">
        <v>544</v>
      </c>
      <c r="D432" s="10" t="s">
        <v>552</v>
      </c>
      <c r="E432" s="2" t="s">
        <v>588</v>
      </c>
      <c r="F432" s="2" t="s">
        <v>584</v>
      </c>
      <c r="G432" s="2" t="s">
        <v>561</v>
      </c>
      <c r="H432" s="13" t="s">
        <v>428</v>
      </c>
      <c r="I432" s="110" t="s">
        <v>527</v>
      </c>
      <c r="J432" s="15" t="s">
        <v>550</v>
      </c>
      <c r="K432" s="2" t="s">
        <v>532</v>
      </c>
      <c r="L432" s="2" t="s">
        <v>608</v>
      </c>
      <c r="M432" s="2" t="s">
        <v>531</v>
      </c>
      <c r="N432" s="2" t="s">
        <v>531</v>
      </c>
      <c r="O432" s="2" t="s">
        <v>571</v>
      </c>
      <c r="P432" s="2" t="s">
        <v>573</v>
      </c>
      <c r="Q432" s="67" t="s">
        <v>502</v>
      </c>
      <c r="R432" s="110" t="s">
        <v>519</v>
      </c>
      <c r="S432" s="166">
        <v>400</v>
      </c>
      <c r="T432" s="166">
        <v>25</v>
      </c>
      <c r="U432" s="67" t="s">
        <v>0</v>
      </c>
      <c r="V432" s="165" t="s">
        <v>0</v>
      </c>
      <c r="W432" s="208">
        <v>777.35147058823532</v>
      </c>
      <c r="X432" s="165">
        <v>50</v>
      </c>
      <c r="Y432" s="195">
        <v>2</v>
      </c>
      <c r="Z432" s="208">
        <v>5.2859900000000004E-4</v>
      </c>
      <c r="AA432" s="264">
        <v>1.3214975E-2</v>
      </c>
      <c r="AB432" s="208">
        <v>6.5491200000000001E-5</v>
      </c>
      <c r="AC432" s="201">
        <v>30.249179999999999</v>
      </c>
      <c r="AD432" s="201">
        <v>0.20599000000000001</v>
      </c>
      <c r="AE432" s="265">
        <v>0.11892800000000001</v>
      </c>
      <c r="AF432" s="208">
        <v>727.61762820010472</v>
      </c>
      <c r="AG432" s="206">
        <v>18190.440705002613</v>
      </c>
      <c r="AH432" s="412" t="s">
        <v>659</v>
      </c>
      <c r="AI432" s="393" t="s">
        <v>639</v>
      </c>
    </row>
    <row r="433" spans="1:35" hidden="1" x14ac:dyDescent="0.3">
      <c r="A433" s="151">
        <v>45350</v>
      </c>
      <c r="B433" s="189">
        <v>432</v>
      </c>
      <c r="C433" s="11" t="s">
        <v>544</v>
      </c>
      <c r="D433" s="10" t="s">
        <v>552</v>
      </c>
      <c r="E433" s="2" t="s">
        <v>588</v>
      </c>
      <c r="F433" s="2" t="s">
        <v>584</v>
      </c>
      <c r="G433" s="2" t="s">
        <v>561</v>
      </c>
      <c r="H433" s="13" t="s">
        <v>429</v>
      </c>
      <c r="I433" s="110" t="s">
        <v>527</v>
      </c>
      <c r="J433" s="12" t="s">
        <v>551</v>
      </c>
      <c r="K433" s="2" t="s">
        <v>532</v>
      </c>
      <c r="L433" s="2" t="s">
        <v>608</v>
      </c>
      <c r="M433" s="2" t="s">
        <v>531</v>
      </c>
      <c r="N433" s="2" t="s">
        <v>531</v>
      </c>
      <c r="O433" s="2" t="s">
        <v>571</v>
      </c>
      <c r="P433" s="2" t="s">
        <v>573</v>
      </c>
      <c r="Q433" s="67" t="s">
        <v>496</v>
      </c>
      <c r="R433" s="110" t="s">
        <v>519</v>
      </c>
      <c r="S433" s="166">
        <v>400</v>
      </c>
      <c r="T433" s="166">
        <v>25</v>
      </c>
      <c r="U433" s="67" t="s">
        <v>0</v>
      </c>
      <c r="V433" s="165" t="s">
        <v>0</v>
      </c>
      <c r="W433" s="208">
        <v>381.16764705882355</v>
      </c>
      <c r="X433" s="165">
        <v>50</v>
      </c>
      <c r="Y433" s="195">
        <v>2</v>
      </c>
      <c r="Z433" s="208">
        <v>2.5919400000000003E-4</v>
      </c>
      <c r="AA433" s="264">
        <v>6.4798500000000005E-3</v>
      </c>
      <c r="AB433" s="208">
        <v>4.8272100000000002E-5</v>
      </c>
      <c r="AC433" s="201">
        <v>31.398330000000001</v>
      </c>
      <c r="AD433" s="201">
        <v>0.31390099999999999</v>
      </c>
      <c r="AE433" s="265">
        <v>0.181231</v>
      </c>
      <c r="AF433" s="208">
        <v>356.78108268025085</v>
      </c>
      <c r="AG433" s="206">
        <v>8919.527067006271</v>
      </c>
      <c r="AH433" s="412" t="s">
        <v>659</v>
      </c>
      <c r="AI433" s="393" t="s">
        <v>640</v>
      </c>
    </row>
    <row r="434" spans="1:35" hidden="1" x14ac:dyDescent="0.3">
      <c r="A434" s="151">
        <v>45350</v>
      </c>
      <c r="B434" s="189">
        <v>433</v>
      </c>
      <c r="C434" s="11" t="s">
        <v>544</v>
      </c>
      <c r="D434" s="10" t="s">
        <v>552</v>
      </c>
      <c r="E434" s="2" t="s">
        <v>588</v>
      </c>
      <c r="F434" s="2" t="s">
        <v>584</v>
      </c>
      <c r="G434" s="2" t="s">
        <v>561</v>
      </c>
      <c r="H434" s="13" t="s">
        <v>430</v>
      </c>
      <c r="I434" s="110" t="s">
        <v>527</v>
      </c>
      <c r="J434" s="12" t="s">
        <v>551</v>
      </c>
      <c r="K434" s="2" t="s">
        <v>532</v>
      </c>
      <c r="L434" s="2" t="s">
        <v>608</v>
      </c>
      <c r="M434" s="2" t="s">
        <v>531</v>
      </c>
      <c r="N434" s="2" t="s">
        <v>531</v>
      </c>
      <c r="O434" s="2" t="s">
        <v>571</v>
      </c>
      <c r="P434" s="2" t="s">
        <v>573</v>
      </c>
      <c r="Q434" s="67" t="s">
        <v>497</v>
      </c>
      <c r="R434" s="110" t="s">
        <v>519</v>
      </c>
      <c r="S434" s="166">
        <v>400</v>
      </c>
      <c r="T434" s="166">
        <v>25</v>
      </c>
      <c r="U434" s="67" t="s">
        <v>0</v>
      </c>
      <c r="V434" s="165" t="s">
        <v>0</v>
      </c>
      <c r="W434" s="208">
        <v>407.14558823529416</v>
      </c>
      <c r="X434" s="165">
        <v>50</v>
      </c>
      <c r="Y434" s="195">
        <v>2</v>
      </c>
      <c r="Z434" s="208">
        <v>2.7685900000000001E-4</v>
      </c>
      <c r="AA434" s="264">
        <v>6.9214750000000007E-3</v>
      </c>
      <c r="AB434" s="208">
        <v>3.0649099999999998E-5</v>
      </c>
      <c r="AC434" s="201">
        <v>31.27994</v>
      </c>
      <c r="AD434" s="201">
        <v>0.18134800000000001</v>
      </c>
      <c r="AE434" s="265">
        <v>0.104701</v>
      </c>
      <c r="AF434" s="208">
        <v>381.09699209770116</v>
      </c>
      <c r="AG434" s="206">
        <v>9527.4248024425306</v>
      </c>
      <c r="AH434" s="412" t="s">
        <v>659</v>
      </c>
      <c r="AI434" s="393" t="s">
        <v>640</v>
      </c>
    </row>
    <row r="435" spans="1:35" hidden="1" x14ac:dyDescent="0.3">
      <c r="A435" s="151">
        <v>45350</v>
      </c>
      <c r="B435" s="189">
        <v>434</v>
      </c>
      <c r="C435" s="11" t="s">
        <v>544</v>
      </c>
      <c r="D435" s="10" t="s">
        <v>552</v>
      </c>
      <c r="E435" s="2" t="s">
        <v>588</v>
      </c>
      <c r="F435" s="2" t="s">
        <v>584</v>
      </c>
      <c r="G435" s="2" t="s">
        <v>561</v>
      </c>
      <c r="H435" s="13" t="s">
        <v>431</v>
      </c>
      <c r="I435" s="110" t="s">
        <v>527</v>
      </c>
      <c r="J435" s="12" t="s">
        <v>551</v>
      </c>
      <c r="K435" s="2" t="s">
        <v>532</v>
      </c>
      <c r="L435" s="2" t="s">
        <v>608</v>
      </c>
      <c r="M435" s="2" t="s">
        <v>531</v>
      </c>
      <c r="N435" s="2" t="s">
        <v>531</v>
      </c>
      <c r="O435" s="2" t="s">
        <v>571</v>
      </c>
      <c r="P435" s="2" t="s">
        <v>573</v>
      </c>
      <c r="Q435" s="67" t="s">
        <v>498</v>
      </c>
      <c r="R435" s="110" t="s">
        <v>519</v>
      </c>
      <c r="S435" s="166">
        <v>400</v>
      </c>
      <c r="T435" s="166">
        <v>25</v>
      </c>
      <c r="U435" s="67" t="s">
        <v>0</v>
      </c>
      <c r="V435" s="165" t="s">
        <v>0</v>
      </c>
      <c r="W435" s="208">
        <v>272.10735294117649</v>
      </c>
      <c r="X435" s="165">
        <v>50</v>
      </c>
      <c r="Y435" s="195">
        <v>2</v>
      </c>
      <c r="Z435" s="208">
        <v>1.85033E-4</v>
      </c>
      <c r="AA435" s="264">
        <v>4.6258250000000001E-3</v>
      </c>
      <c r="AB435" s="208">
        <v>1.3098000000000001E-5</v>
      </c>
      <c r="AC435" s="201">
        <v>31.919370000000001</v>
      </c>
      <c r="AD435" s="201">
        <v>0.115343</v>
      </c>
      <c r="AE435" s="265">
        <v>6.6592999999999999E-2</v>
      </c>
      <c r="AF435" s="208">
        <v>254.69831119383491</v>
      </c>
      <c r="AG435" s="206">
        <v>6367.4577798458731</v>
      </c>
      <c r="AH435" s="412" t="s">
        <v>659</v>
      </c>
      <c r="AI435" s="393" t="s">
        <v>640</v>
      </c>
    </row>
    <row r="436" spans="1:35" hidden="1" x14ac:dyDescent="0.3">
      <c r="A436" s="151">
        <v>45350</v>
      </c>
      <c r="B436" s="189">
        <v>435</v>
      </c>
      <c r="C436" s="11" t="s">
        <v>544</v>
      </c>
      <c r="D436" s="10" t="s">
        <v>552</v>
      </c>
      <c r="E436" s="2" t="s">
        <v>588</v>
      </c>
      <c r="F436" s="2" t="s">
        <v>584</v>
      </c>
      <c r="G436" s="2" t="s">
        <v>561</v>
      </c>
      <c r="H436" s="13" t="s">
        <v>432</v>
      </c>
      <c r="I436" s="110" t="s">
        <v>527</v>
      </c>
      <c r="J436" s="12" t="s">
        <v>551</v>
      </c>
      <c r="K436" s="2" t="s">
        <v>532</v>
      </c>
      <c r="L436" s="2" t="s">
        <v>608</v>
      </c>
      <c r="M436" s="2" t="s">
        <v>531</v>
      </c>
      <c r="N436" s="2" t="s">
        <v>531</v>
      </c>
      <c r="O436" s="2" t="s">
        <v>571</v>
      </c>
      <c r="P436" s="2" t="s">
        <v>573</v>
      </c>
      <c r="Q436" s="67" t="s">
        <v>499</v>
      </c>
      <c r="R436" s="110" t="s">
        <v>519</v>
      </c>
      <c r="S436" s="166">
        <v>400</v>
      </c>
      <c r="T436" s="166">
        <v>25</v>
      </c>
      <c r="U436" s="67" t="s">
        <v>0</v>
      </c>
      <c r="V436" s="165" t="s">
        <v>0</v>
      </c>
      <c r="W436" s="208">
        <v>507.50294117647064</v>
      </c>
      <c r="X436" s="165">
        <v>50</v>
      </c>
      <c r="Y436" s="195">
        <v>2</v>
      </c>
      <c r="Z436" s="208">
        <v>3.4510200000000002E-4</v>
      </c>
      <c r="AA436" s="264">
        <v>8.6275500000000012E-3</v>
      </c>
      <c r="AB436" s="208">
        <v>3.2481100000000003E-5</v>
      </c>
      <c r="AC436" s="201">
        <v>30.926159999999999</v>
      </c>
      <c r="AD436" s="201">
        <v>0.151671</v>
      </c>
      <c r="AE436" s="265">
        <v>8.7567000000000006E-2</v>
      </c>
      <c r="AF436" s="208">
        <v>475.03362421630095</v>
      </c>
      <c r="AG436" s="206">
        <v>11875.840605407526</v>
      </c>
      <c r="AH436" s="412" t="s">
        <v>659</v>
      </c>
      <c r="AI436" s="393" t="s">
        <v>640</v>
      </c>
    </row>
    <row r="437" spans="1:35" hidden="1" x14ac:dyDescent="0.3">
      <c r="A437" s="151">
        <v>45350</v>
      </c>
      <c r="B437" s="189">
        <v>436</v>
      </c>
      <c r="C437" s="11" t="s">
        <v>544</v>
      </c>
      <c r="D437" s="10" t="s">
        <v>552</v>
      </c>
      <c r="E437" s="2" t="s">
        <v>588</v>
      </c>
      <c r="F437" s="2" t="s">
        <v>584</v>
      </c>
      <c r="G437" s="2" t="s">
        <v>561</v>
      </c>
      <c r="H437" s="13" t="s">
        <v>433</v>
      </c>
      <c r="I437" s="110" t="s">
        <v>527</v>
      </c>
      <c r="J437" s="12" t="s">
        <v>551</v>
      </c>
      <c r="K437" s="2" t="s">
        <v>532</v>
      </c>
      <c r="L437" s="2" t="s">
        <v>608</v>
      </c>
      <c r="M437" s="2" t="s">
        <v>531</v>
      </c>
      <c r="N437" s="2" t="s">
        <v>531</v>
      </c>
      <c r="O437" s="2" t="s">
        <v>571</v>
      </c>
      <c r="P437" s="2" t="s">
        <v>573</v>
      </c>
      <c r="Q437" s="67" t="s">
        <v>500</v>
      </c>
      <c r="R437" s="110" t="s">
        <v>519</v>
      </c>
      <c r="S437" s="166">
        <v>400</v>
      </c>
      <c r="T437" s="166">
        <v>25</v>
      </c>
      <c r="U437" s="67" t="s">
        <v>0</v>
      </c>
      <c r="V437" s="165" t="s">
        <v>0</v>
      </c>
      <c r="W437" s="208">
        <v>613.30588235294124</v>
      </c>
      <c r="X437" s="165">
        <v>50</v>
      </c>
      <c r="Y437" s="195">
        <v>2</v>
      </c>
      <c r="Z437" s="208">
        <v>4.17048E-4</v>
      </c>
      <c r="AA437" s="264">
        <v>1.04262E-2</v>
      </c>
      <c r="AB437" s="208">
        <v>7.3253199999999999E-5</v>
      </c>
      <c r="AC437" s="201">
        <v>30.634620000000002</v>
      </c>
      <c r="AD437" s="201">
        <v>0.26963399999999998</v>
      </c>
      <c r="AE437" s="265">
        <v>0.15567300000000001</v>
      </c>
      <c r="AF437" s="208">
        <v>574.06744357366767</v>
      </c>
      <c r="AG437" s="206">
        <v>14351.686089341692</v>
      </c>
      <c r="AH437" s="412" t="s">
        <v>659</v>
      </c>
      <c r="AI437" s="393" t="s">
        <v>640</v>
      </c>
    </row>
    <row r="438" spans="1:35" hidden="1" x14ac:dyDescent="0.3">
      <c r="A438" s="151">
        <v>45350</v>
      </c>
      <c r="B438" s="189">
        <v>437</v>
      </c>
      <c r="C438" s="11" t="s">
        <v>544</v>
      </c>
      <c r="D438" s="10" t="s">
        <v>552</v>
      </c>
      <c r="E438" s="2" t="s">
        <v>588</v>
      </c>
      <c r="F438" s="2" t="s">
        <v>584</v>
      </c>
      <c r="G438" s="2" t="s">
        <v>561</v>
      </c>
      <c r="H438" s="13" t="s">
        <v>434</v>
      </c>
      <c r="I438" s="110" t="s">
        <v>527</v>
      </c>
      <c r="J438" s="12" t="s">
        <v>551</v>
      </c>
      <c r="K438" s="2" t="s">
        <v>532</v>
      </c>
      <c r="L438" s="2" t="s">
        <v>608</v>
      </c>
      <c r="M438" s="2" t="s">
        <v>531</v>
      </c>
      <c r="N438" s="2" t="s">
        <v>531</v>
      </c>
      <c r="O438" s="2" t="s">
        <v>571</v>
      </c>
      <c r="P438" s="2" t="s">
        <v>573</v>
      </c>
      <c r="Q438" s="67" t="s">
        <v>501</v>
      </c>
      <c r="R438" s="110" t="s">
        <v>519</v>
      </c>
      <c r="S438" s="166">
        <v>400</v>
      </c>
      <c r="T438" s="166">
        <v>25</v>
      </c>
      <c r="U438" s="67" t="s">
        <v>0</v>
      </c>
      <c r="V438" s="165" t="s">
        <v>0</v>
      </c>
      <c r="W438" s="208">
        <v>382.18529411764712</v>
      </c>
      <c r="X438" s="165">
        <v>50</v>
      </c>
      <c r="Y438" s="195">
        <v>2</v>
      </c>
      <c r="Z438" s="208">
        <v>2.5988600000000003E-4</v>
      </c>
      <c r="AA438" s="264">
        <v>6.497150000000001E-3</v>
      </c>
      <c r="AB438" s="208">
        <v>1.5249799999999999E-5</v>
      </c>
      <c r="AC438" s="201">
        <v>31.376080000000002</v>
      </c>
      <c r="AD438" s="201">
        <v>9.4881999999999994E-2</v>
      </c>
      <c r="AE438" s="265">
        <v>5.4780000000000002E-2</v>
      </c>
      <c r="AF438" s="208">
        <v>357.73362212643679</v>
      </c>
      <c r="AG438" s="206">
        <v>8943.3405531609205</v>
      </c>
      <c r="AH438" s="412" t="s">
        <v>659</v>
      </c>
      <c r="AI438" s="393" t="s">
        <v>640</v>
      </c>
    </row>
    <row r="439" spans="1:35" hidden="1" x14ac:dyDescent="0.3">
      <c r="A439" s="151">
        <v>45350</v>
      </c>
      <c r="B439" s="189">
        <v>438</v>
      </c>
      <c r="C439" s="11" t="s">
        <v>544</v>
      </c>
      <c r="D439" s="10" t="s">
        <v>552</v>
      </c>
      <c r="E439" s="2" t="s">
        <v>588</v>
      </c>
      <c r="F439" s="2" t="s">
        <v>584</v>
      </c>
      <c r="G439" s="2" t="s">
        <v>561</v>
      </c>
      <c r="H439" s="13" t="s">
        <v>435</v>
      </c>
      <c r="I439" s="110" t="s">
        <v>527</v>
      </c>
      <c r="J439" s="12" t="s">
        <v>551</v>
      </c>
      <c r="K439" s="2" t="s">
        <v>532</v>
      </c>
      <c r="L439" s="2" t="s">
        <v>608</v>
      </c>
      <c r="M439" s="2" t="s">
        <v>531</v>
      </c>
      <c r="N439" s="2" t="s">
        <v>531</v>
      </c>
      <c r="O439" s="2" t="s">
        <v>571</v>
      </c>
      <c r="P439" s="2" t="s">
        <v>573</v>
      </c>
      <c r="Q439" s="67" t="s">
        <v>502</v>
      </c>
      <c r="R439" s="110" t="s">
        <v>519</v>
      </c>
      <c r="S439" s="166">
        <v>400</v>
      </c>
      <c r="T439" s="166">
        <v>25</v>
      </c>
      <c r="U439" s="67" t="s">
        <v>0</v>
      </c>
      <c r="V439" s="165" t="s">
        <v>0</v>
      </c>
      <c r="W439" s="208">
        <v>546.78676470588232</v>
      </c>
      <c r="X439" s="165">
        <v>50</v>
      </c>
      <c r="Y439" s="195">
        <v>2</v>
      </c>
      <c r="Z439" s="208">
        <v>3.71815E-4</v>
      </c>
      <c r="AA439" s="264">
        <v>9.2953749999999998E-3</v>
      </c>
      <c r="AB439" s="208">
        <v>1.14821E-4</v>
      </c>
      <c r="AC439" s="201">
        <v>30.8505</v>
      </c>
      <c r="AD439" s="201">
        <v>0.47342499999999998</v>
      </c>
      <c r="AE439" s="265">
        <v>0.27333200000000002</v>
      </c>
      <c r="AF439" s="208">
        <v>511.80412454284226</v>
      </c>
      <c r="AG439" s="206">
        <v>12795.103113571055</v>
      </c>
      <c r="AH439" s="412" t="s">
        <v>659</v>
      </c>
      <c r="AI439" s="393" t="s">
        <v>640</v>
      </c>
    </row>
    <row r="440" spans="1:35" hidden="1" x14ac:dyDescent="0.3">
      <c r="A440" s="151">
        <v>45350</v>
      </c>
      <c r="B440" s="189">
        <v>439</v>
      </c>
      <c r="C440" s="11" t="s">
        <v>544</v>
      </c>
      <c r="D440" s="10" t="s">
        <v>552</v>
      </c>
      <c r="E440" s="2" t="s">
        <v>588</v>
      </c>
      <c r="F440" s="2" t="s">
        <v>584</v>
      </c>
      <c r="G440" s="2" t="s">
        <v>561</v>
      </c>
      <c r="H440" s="13" t="s">
        <v>436</v>
      </c>
      <c r="I440" s="2" t="s">
        <v>526</v>
      </c>
      <c r="J440" s="15" t="s">
        <v>550</v>
      </c>
      <c r="K440" s="2" t="s">
        <v>531</v>
      </c>
      <c r="L440" s="2" t="s">
        <v>535</v>
      </c>
      <c r="M440" s="2" t="s">
        <v>531</v>
      </c>
      <c r="N440" s="2" t="s">
        <v>532</v>
      </c>
      <c r="O440" s="2" t="s">
        <v>571</v>
      </c>
      <c r="P440" s="2" t="s">
        <v>573</v>
      </c>
      <c r="Q440" s="67" t="s">
        <v>0</v>
      </c>
      <c r="R440" s="110" t="s">
        <v>519</v>
      </c>
      <c r="S440" s="166">
        <v>400</v>
      </c>
      <c r="T440" s="166" t="s">
        <v>0</v>
      </c>
      <c r="U440" s="67" t="s">
        <v>0</v>
      </c>
      <c r="V440" s="165" t="s">
        <v>0</v>
      </c>
      <c r="W440" s="208">
        <v>13.777397058823531</v>
      </c>
      <c r="X440" s="165">
        <v>50</v>
      </c>
      <c r="Y440" s="195">
        <v>2</v>
      </c>
      <c r="Z440" s="208">
        <v>9.3686300000000008E-6</v>
      </c>
      <c r="AA440" s="264">
        <v>2.3421575000000003E-4</v>
      </c>
      <c r="AB440" s="208">
        <v>6.5125900000000003E-6</v>
      </c>
      <c r="AC440" s="201">
        <v>36.937170040822167</v>
      </c>
      <c r="AD440" s="201">
        <v>1.1056690177448711</v>
      </c>
      <c r="AE440" s="265">
        <v>0.63835830502963054</v>
      </c>
      <c r="AF440" s="208">
        <v>12.895938774164057</v>
      </c>
      <c r="AG440" s="206">
        <v>322.39846935410139</v>
      </c>
      <c r="AH440" s="110">
        <v>2</v>
      </c>
      <c r="AI440" s="393" t="s">
        <v>610</v>
      </c>
    </row>
    <row r="441" spans="1:35" hidden="1" x14ac:dyDescent="0.3">
      <c r="A441" s="151">
        <v>45350</v>
      </c>
      <c r="B441" s="189">
        <v>440</v>
      </c>
      <c r="C441" s="11" t="s">
        <v>544</v>
      </c>
      <c r="D441" s="10" t="s">
        <v>552</v>
      </c>
      <c r="E441" s="2" t="s">
        <v>588</v>
      </c>
      <c r="F441" s="2" t="s">
        <v>584</v>
      </c>
      <c r="G441" s="2" t="s">
        <v>561</v>
      </c>
      <c r="H441" s="13" t="s">
        <v>437</v>
      </c>
      <c r="I441" s="110" t="s">
        <v>529</v>
      </c>
      <c r="J441" s="9" t="s">
        <v>0</v>
      </c>
      <c r="K441" s="2" t="s">
        <v>531</v>
      </c>
      <c r="L441" s="2" t="s">
        <v>538</v>
      </c>
      <c r="M441" s="2" t="s">
        <v>531</v>
      </c>
      <c r="N441" s="2" t="s">
        <v>532</v>
      </c>
      <c r="O441" s="2" t="s">
        <v>571</v>
      </c>
      <c r="P441" s="2" t="s">
        <v>573</v>
      </c>
      <c r="Q441" s="67" t="s">
        <v>0</v>
      </c>
      <c r="R441" s="110" t="s">
        <v>519</v>
      </c>
      <c r="S441" s="166">
        <v>400</v>
      </c>
      <c r="T441" s="166" t="s">
        <v>0</v>
      </c>
      <c r="U441" s="67" t="s">
        <v>0</v>
      </c>
      <c r="V441" s="165" t="s">
        <v>0</v>
      </c>
      <c r="W441" s="208">
        <v>20.152352941176471</v>
      </c>
      <c r="X441" s="165">
        <v>50</v>
      </c>
      <c r="Y441" s="195">
        <v>2</v>
      </c>
      <c r="Z441" s="208">
        <v>1.37036E-5</v>
      </c>
      <c r="AA441" s="264">
        <v>3.4258999999999998E-4</v>
      </c>
      <c r="AB441" s="208">
        <v>2.24199E-6</v>
      </c>
      <c r="AC441" s="201">
        <v>36.087923226090311</v>
      </c>
      <c r="AD441" s="201">
        <v>0.27418286471164577</v>
      </c>
      <c r="AE441" s="265">
        <v>0.15829955074845142</v>
      </c>
      <c r="AF441" s="208">
        <v>18.863034038662491</v>
      </c>
      <c r="AG441" s="206">
        <v>471.57585096656214</v>
      </c>
      <c r="AH441" s="110"/>
      <c r="AI441" s="393"/>
    </row>
    <row r="442" spans="1:35" hidden="1" x14ac:dyDescent="0.3">
      <c r="A442" s="151">
        <v>45350</v>
      </c>
      <c r="B442" s="189">
        <v>441</v>
      </c>
      <c r="C442" s="11" t="s">
        <v>544</v>
      </c>
      <c r="D442" s="10" t="s">
        <v>552</v>
      </c>
      <c r="E442" s="2" t="s">
        <v>588</v>
      </c>
      <c r="F442" s="2" t="s">
        <v>584</v>
      </c>
      <c r="G442" s="2" t="s">
        <v>561</v>
      </c>
      <c r="H442" s="13" t="s">
        <v>438</v>
      </c>
      <c r="I442" s="110" t="s">
        <v>528</v>
      </c>
      <c r="J442" s="121" t="s">
        <v>550</v>
      </c>
      <c r="K442" s="2" t="s">
        <v>531</v>
      </c>
      <c r="L442" s="2" t="s">
        <v>534</v>
      </c>
      <c r="M442" s="2" t="s">
        <v>531</v>
      </c>
      <c r="N442" s="2" t="s">
        <v>531</v>
      </c>
      <c r="O442" s="2" t="s">
        <v>571</v>
      </c>
      <c r="P442" s="2" t="s">
        <v>573</v>
      </c>
      <c r="Q442" s="67" t="s">
        <v>0</v>
      </c>
      <c r="R442" s="110" t="s">
        <v>519</v>
      </c>
      <c r="S442" s="166">
        <v>400</v>
      </c>
      <c r="T442" s="166" t="s">
        <v>0</v>
      </c>
      <c r="U442" s="67" t="s">
        <v>0</v>
      </c>
      <c r="V442" s="165" t="s">
        <v>0</v>
      </c>
      <c r="W442" s="208">
        <v>32.136470588235291</v>
      </c>
      <c r="X442" s="165">
        <v>50</v>
      </c>
      <c r="Y442" s="195">
        <v>2</v>
      </c>
      <c r="Z442" s="208">
        <v>2.1852799999999999E-5</v>
      </c>
      <c r="AA442" s="264">
        <v>5.4631999999999999E-4</v>
      </c>
      <c r="AB442" s="208">
        <v>6.7649600000000002E-6</v>
      </c>
      <c r="AC442" s="201">
        <v>35.380167816729333</v>
      </c>
      <c r="AD442" s="201">
        <v>0.50586076445293882</v>
      </c>
      <c r="AE442" s="265">
        <v>0.29205884852937414</v>
      </c>
      <c r="AF442" s="208">
        <v>30.080424869383492</v>
      </c>
      <c r="AG442" s="206">
        <v>752.01062173458729</v>
      </c>
      <c r="AH442" s="110">
        <v>2</v>
      </c>
      <c r="AI442" s="394" t="s">
        <v>617</v>
      </c>
    </row>
    <row r="443" spans="1:35" hidden="1" x14ac:dyDescent="0.3">
      <c r="A443" s="151">
        <v>45350</v>
      </c>
      <c r="B443" s="189">
        <v>442</v>
      </c>
      <c r="C443" s="11" t="s">
        <v>544</v>
      </c>
      <c r="D443" s="10" t="s">
        <v>552</v>
      </c>
      <c r="E443" s="2" t="s">
        <v>588</v>
      </c>
      <c r="F443" s="2" t="s">
        <v>584</v>
      </c>
      <c r="G443" s="2" t="s">
        <v>561</v>
      </c>
      <c r="H443" s="13" t="s">
        <v>439</v>
      </c>
      <c r="I443" s="110" t="s">
        <v>528</v>
      </c>
      <c r="J443" s="122" t="s">
        <v>551</v>
      </c>
      <c r="K443" s="2" t="s">
        <v>531</v>
      </c>
      <c r="L443" s="2" t="s">
        <v>534</v>
      </c>
      <c r="M443" s="2" t="s">
        <v>531</v>
      </c>
      <c r="N443" s="2" t="s">
        <v>531</v>
      </c>
      <c r="O443" s="2" t="s">
        <v>571</v>
      </c>
      <c r="P443" s="2" t="s">
        <v>573</v>
      </c>
      <c r="Q443" s="67" t="s">
        <v>0</v>
      </c>
      <c r="R443" s="110" t="s">
        <v>519</v>
      </c>
      <c r="S443" s="166">
        <v>400</v>
      </c>
      <c r="T443" s="166" t="s">
        <v>0</v>
      </c>
      <c r="U443" s="67" t="s">
        <v>0</v>
      </c>
      <c r="V443" s="165" t="s">
        <v>0</v>
      </c>
      <c r="W443" s="208">
        <v>16.434411764705882</v>
      </c>
      <c r="X443" s="165">
        <v>50</v>
      </c>
      <c r="Y443" s="195">
        <v>2</v>
      </c>
      <c r="Z443" s="208">
        <v>1.11754E-5</v>
      </c>
      <c r="AA443" s="264">
        <v>2.79385E-4</v>
      </c>
      <c r="AB443" s="208">
        <v>5.0374100000000001E-6</v>
      </c>
      <c r="AC443" s="217">
        <v>36.541769923937046</v>
      </c>
      <c r="AD443" s="217">
        <v>0.88416836892864914</v>
      </c>
      <c r="AE443" s="202">
        <v>0.51047484580990798</v>
      </c>
      <c r="AF443" s="208">
        <v>15.382961455067921</v>
      </c>
      <c r="AG443" s="206">
        <v>384.57403637669802</v>
      </c>
      <c r="AH443" s="110">
        <v>2</v>
      </c>
      <c r="AI443" s="394" t="s">
        <v>618</v>
      </c>
    </row>
    <row r="444" spans="1:35" hidden="1" x14ac:dyDescent="0.3">
      <c r="A444" s="151">
        <v>45350</v>
      </c>
      <c r="B444" s="188">
        <v>443</v>
      </c>
      <c r="C444" s="11" t="s">
        <v>544</v>
      </c>
      <c r="D444" s="10" t="s">
        <v>552</v>
      </c>
      <c r="E444" s="2" t="s">
        <v>588</v>
      </c>
      <c r="F444" s="2" t="s">
        <v>584</v>
      </c>
      <c r="G444" s="2" t="s">
        <v>561</v>
      </c>
      <c r="H444" s="13" t="s">
        <v>440</v>
      </c>
      <c r="I444" s="110" t="s">
        <v>526</v>
      </c>
      <c r="J444" s="122" t="s">
        <v>551</v>
      </c>
      <c r="K444" s="2" t="s">
        <v>531</v>
      </c>
      <c r="L444" s="2" t="s">
        <v>535</v>
      </c>
      <c r="M444" s="2" t="s">
        <v>531</v>
      </c>
      <c r="N444" s="2" t="s">
        <v>532</v>
      </c>
      <c r="O444" s="2" t="s">
        <v>571</v>
      </c>
      <c r="P444" s="2" t="s">
        <v>573</v>
      </c>
      <c r="Q444" s="67" t="s">
        <v>0</v>
      </c>
      <c r="R444" s="110" t="s">
        <v>519</v>
      </c>
      <c r="S444" s="166">
        <v>400</v>
      </c>
      <c r="T444" s="166" t="s">
        <v>0</v>
      </c>
      <c r="U444" s="67" t="s">
        <v>0</v>
      </c>
      <c r="V444" s="165" t="s">
        <v>0</v>
      </c>
      <c r="W444" s="208">
        <v>28.029411764705884</v>
      </c>
      <c r="X444" s="165">
        <v>50</v>
      </c>
      <c r="Y444" s="195">
        <v>2</v>
      </c>
      <c r="Z444" s="208">
        <v>1.906E-5</v>
      </c>
      <c r="AA444" s="264">
        <v>4.7650000000000004E-4</v>
      </c>
      <c r="AB444" s="208">
        <v>6.4356800000000004E-6</v>
      </c>
      <c r="AC444" s="216">
        <v>35.603164502216593</v>
      </c>
      <c r="AD444" s="208">
        <v>0.51530742131242424</v>
      </c>
      <c r="AE444" s="270">
        <v>0.29751287841014007</v>
      </c>
      <c r="AF444" s="208">
        <v>26.236129832810867</v>
      </c>
      <c r="AG444" s="206">
        <v>655.90324582027176</v>
      </c>
      <c r="AH444" s="110">
        <v>2</v>
      </c>
      <c r="AI444" s="393" t="s">
        <v>611</v>
      </c>
    </row>
    <row r="445" spans="1:35" hidden="1" x14ac:dyDescent="0.3">
      <c r="A445" s="151">
        <v>45350</v>
      </c>
      <c r="B445" s="189">
        <v>444</v>
      </c>
      <c r="C445" s="11" t="s">
        <v>544</v>
      </c>
      <c r="D445" s="10" t="s">
        <v>552</v>
      </c>
      <c r="E445" s="2" t="s">
        <v>588</v>
      </c>
      <c r="F445" s="2" t="s">
        <v>584</v>
      </c>
      <c r="G445" s="2" t="s">
        <v>561</v>
      </c>
      <c r="H445" s="13" t="s">
        <v>441</v>
      </c>
      <c r="I445" s="110" t="s">
        <v>529</v>
      </c>
      <c r="J445" s="9" t="s">
        <v>0</v>
      </c>
      <c r="K445" s="2" t="s">
        <v>531</v>
      </c>
      <c r="L445" s="2" t="s">
        <v>538</v>
      </c>
      <c r="M445" s="2" t="s">
        <v>531</v>
      </c>
      <c r="N445" s="2" t="s">
        <v>532</v>
      </c>
      <c r="O445" s="2" t="s">
        <v>571</v>
      </c>
      <c r="P445" s="2" t="s">
        <v>573</v>
      </c>
      <c r="Q445" s="67" t="s">
        <v>0</v>
      </c>
      <c r="R445" s="110" t="s">
        <v>519</v>
      </c>
      <c r="S445" s="166">
        <v>400</v>
      </c>
      <c r="T445" s="166" t="s">
        <v>0</v>
      </c>
      <c r="U445" s="67" t="s">
        <v>0</v>
      </c>
      <c r="V445" s="165" t="s">
        <v>0</v>
      </c>
      <c r="W445" s="208">
        <v>19.878970588235294</v>
      </c>
      <c r="X445" s="165">
        <v>50</v>
      </c>
      <c r="Y445" s="195">
        <v>2</v>
      </c>
      <c r="Z445" s="208">
        <v>1.3517699999999999E-5</v>
      </c>
      <c r="AA445" s="264">
        <v>3.3794249999999999E-4</v>
      </c>
      <c r="AB445" s="208">
        <v>6.8694699999999996E-6</v>
      </c>
      <c r="AC445" s="216">
        <v>36.230583261883808</v>
      </c>
      <c r="AD445" s="208">
        <v>0.80408759802931085</v>
      </c>
      <c r="AE445" s="270">
        <v>0.46424019117426224</v>
      </c>
      <c r="AF445" s="208">
        <v>18.607142300156742</v>
      </c>
      <c r="AG445" s="206">
        <v>465.17855750391851</v>
      </c>
      <c r="AH445" s="110"/>
      <c r="AI445" s="393"/>
    </row>
    <row r="446" spans="1:35" hidden="1" x14ac:dyDescent="0.3">
      <c r="A446" s="151">
        <v>45350</v>
      </c>
      <c r="B446" s="189">
        <v>445</v>
      </c>
      <c r="C446" s="11" t="s">
        <v>544</v>
      </c>
      <c r="D446" s="10" t="s">
        <v>552</v>
      </c>
      <c r="E446" s="2" t="s">
        <v>588</v>
      </c>
      <c r="F446" s="2" t="s">
        <v>584</v>
      </c>
      <c r="G446" s="2" t="s">
        <v>561</v>
      </c>
      <c r="H446" s="13" t="s">
        <v>442</v>
      </c>
      <c r="I446" s="110" t="s">
        <v>520</v>
      </c>
      <c r="J446" s="9" t="s">
        <v>0</v>
      </c>
      <c r="K446" s="2" t="s">
        <v>531</v>
      </c>
      <c r="L446" s="2" t="s">
        <v>530</v>
      </c>
      <c r="M446" s="2" t="s">
        <v>531</v>
      </c>
      <c r="N446" s="2" t="s">
        <v>531</v>
      </c>
      <c r="O446" s="2" t="s">
        <v>571</v>
      </c>
      <c r="P446" s="2" t="s">
        <v>573</v>
      </c>
      <c r="Q446" s="67" t="s">
        <v>0</v>
      </c>
      <c r="R446" s="110" t="s">
        <v>519</v>
      </c>
      <c r="S446" s="166">
        <v>400</v>
      </c>
      <c r="T446" s="166" t="s">
        <v>0</v>
      </c>
      <c r="U446" s="67" t="s">
        <v>0</v>
      </c>
      <c r="V446" s="165" t="s">
        <v>0</v>
      </c>
      <c r="W446" s="208" t="s">
        <v>0</v>
      </c>
      <c r="X446" s="165">
        <v>50</v>
      </c>
      <c r="Y446" s="195">
        <v>2</v>
      </c>
      <c r="Z446" s="293" t="s">
        <v>0</v>
      </c>
      <c r="AA446" s="294" t="s">
        <v>0</v>
      </c>
      <c r="AB446" s="293" t="s">
        <v>0</v>
      </c>
      <c r="AC446" s="216">
        <v>36.917522755753204</v>
      </c>
      <c r="AD446" s="208">
        <v>1.2688225858391264</v>
      </c>
      <c r="AE446" s="270">
        <v>0.8971930545694965</v>
      </c>
      <c r="AF446" s="293" t="s">
        <v>0</v>
      </c>
      <c r="AG446" s="382" t="s">
        <v>0</v>
      </c>
      <c r="AH446" s="400">
        <v>2</v>
      </c>
      <c r="AI446" s="393" t="s">
        <v>619</v>
      </c>
    </row>
    <row r="447" spans="1:35" hidden="1" x14ac:dyDescent="0.3">
      <c r="A447" s="151">
        <v>45350</v>
      </c>
      <c r="B447" s="189">
        <v>446</v>
      </c>
      <c r="C447" s="11" t="s">
        <v>544</v>
      </c>
      <c r="D447" s="10" t="s">
        <v>552</v>
      </c>
      <c r="E447" s="2" t="s">
        <v>588</v>
      </c>
      <c r="F447" s="2" t="s">
        <v>584</v>
      </c>
      <c r="G447" s="2" t="s">
        <v>561</v>
      </c>
      <c r="H447" s="13" t="s">
        <v>443</v>
      </c>
      <c r="I447" s="110" t="s">
        <v>520</v>
      </c>
      <c r="J447" s="9" t="s">
        <v>0</v>
      </c>
      <c r="K447" s="2" t="s">
        <v>531</v>
      </c>
      <c r="L447" s="2" t="s">
        <v>530</v>
      </c>
      <c r="M447" s="2" t="s">
        <v>531</v>
      </c>
      <c r="N447" s="2" t="s">
        <v>531</v>
      </c>
      <c r="O447" s="2" t="s">
        <v>571</v>
      </c>
      <c r="P447" s="2" t="s">
        <v>574</v>
      </c>
      <c r="Q447" s="67" t="s">
        <v>0</v>
      </c>
      <c r="R447" s="110" t="s">
        <v>519</v>
      </c>
      <c r="S447" s="166">
        <v>400</v>
      </c>
      <c r="T447" s="166" t="s">
        <v>0</v>
      </c>
      <c r="U447" s="67" t="s">
        <v>0</v>
      </c>
      <c r="V447" s="165" t="s">
        <v>0</v>
      </c>
      <c r="W447" s="208">
        <v>25.485588235294117</v>
      </c>
      <c r="X447" s="165">
        <v>50</v>
      </c>
      <c r="Y447" s="195">
        <v>2</v>
      </c>
      <c r="Z447" s="208">
        <v>1.7330199999999999E-5</v>
      </c>
      <c r="AA447" s="264">
        <v>4.3325499999999996E-4</v>
      </c>
      <c r="AB447" s="208">
        <v>8.7787600000000003E-6</v>
      </c>
      <c r="AC447" s="216">
        <v>35.8242064546724</v>
      </c>
      <c r="AD447" s="208">
        <v>0.75948529950254162</v>
      </c>
      <c r="AE447" s="270">
        <v>0.43848904211335599</v>
      </c>
      <c r="AF447" s="208">
        <v>23.855056517763845</v>
      </c>
      <c r="AG447" s="206">
        <v>596.37641294409616</v>
      </c>
      <c r="AH447" s="110">
        <v>2</v>
      </c>
      <c r="AI447" s="393" t="s">
        <v>619</v>
      </c>
    </row>
    <row r="448" spans="1:35" hidden="1" x14ac:dyDescent="0.3">
      <c r="A448" s="151">
        <v>45350</v>
      </c>
      <c r="B448" s="189">
        <v>447</v>
      </c>
      <c r="C448" s="11" t="s">
        <v>544</v>
      </c>
      <c r="D448" s="10" t="s">
        <v>552</v>
      </c>
      <c r="E448" s="2" t="s">
        <v>588</v>
      </c>
      <c r="F448" s="2" t="s">
        <v>584</v>
      </c>
      <c r="G448" s="2" t="s">
        <v>561</v>
      </c>
      <c r="H448" s="13" t="s">
        <v>444</v>
      </c>
      <c r="I448" s="110" t="s">
        <v>517</v>
      </c>
      <c r="J448" s="9" t="s">
        <v>0</v>
      </c>
      <c r="K448" s="2" t="s">
        <v>531</v>
      </c>
      <c r="L448" s="2" t="s">
        <v>593</v>
      </c>
      <c r="M448" s="2" t="s">
        <v>531</v>
      </c>
      <c r="N448" s="2" t="s">
        <v>532</v>
      </c>
      <c r="O448" s="2" t="s">
        <v>571</v>
      </c>
      <c r="P448" s="23" t="s">
        <v>573</v>
      </c>
      <c r="Q448" s="67" t="s">
        <v>0</v>
      </c>
      <c r="R448" s="110" t="s">
        <v>519</v>
      </c>
      <c r="S448" s="166">
        <v>400</v>
      </c>
      <c r="T448" s="166" t="s">
        <v>0</v>
      </c>
      <c r="U448" s="67" t="s">
        <v>576</v>
      </c>
      <c r="V448" s="360">
        <v>200000</v>
      </c>
      <c r="W448" s="208">
        <v>167979.74852941177</v>
      </c>
      <c r="X448" s="165">
        <v>50</v>
      </c>
      <c r="Y448" s="195">
        <v>2</v>
      </c>
      <c r="Z448" s="208">
        <v>0.114226229</v>
      </c>
      <c r="AA448" s="264">
        <v>2.8556557250000001</v>
      </c>
      <c r="AB448" s="208">
        <v>3.1602365E-2</v>
      </c>
      <c r="AC448" s="216">
        <v>21.704085113378937</v>
      </c>
      <c r="AD448" s="208">
        <v>0.49115741751547537</v>
      </c>
      <c r="AE448" s="270">
        <v>0.28356986721704114</v>
      </c>
      <c r="AF448" s="208">
        <v>157232.642935802</v>
      </c>
      <c r="AG448" s="206">
        <v>3930816.0733950501</v>
      </c>
      <c r="AH448" s="110"/>
      <c r="AI448" s="393"/>
    </row>
    <row r="449" spans="1:35" ht="16.2" hidden="1" thickBot="1" x14ac:dyDescent="0.35">
      <c r="A449" s="157">
        <v>45350</v>
      </c>
      <c r="B449" s="190">
        <v>448</v>
      </c>
      <c r="C449" s="26" t="s">
        <v>544</v>
      </c>
      <c r="D449" s="25" t="s">
        <v>552</v>
      </c>
      <c r="E449" s="23" t="s">
        <v>588</v>
      </c>
      <c r="F449" s="23" t="s">
        <v>584</v>
      </c>
      <c r="G449" s="23" t="s">
        <v>561</v>
      </c>
      <c r="H449" s="134" t="s">
        <v>445</v>
      </c>
      <c r="I449" s="111" t="s">
        <v>517</v>
      </c>
      <c r="J449" s="116" t="s">
        <v>0</v>
      </c>
      <c r="K449" s="23" t="s">
        <v>531</v>
      </c>
      <c r="L449" s="2" t="s">
        <v>593</v>
      </c>
      <c r="M449" s="23" t="s">
        <v>531</v>
      </c>
      <c r="N449" s="23" t="s">
        <v>532</v>
      </c>
      <c r="O449" s="23" t="s">
        <v>571</v>
      </c>
      <c r="P449" s="111" t="s">
        <v>574</v>
      </c>
      <c r="Q449" s="140" t="s">
        <v>0</v>
      </c>
      <c r="R449" s="111" t="s">
        <v>519</v>
      </c>
      <c r="S449" s="186">
        <v>400</v>
      </c>
      <c r="T449" s="166" t="s">
        <v>0</v>
      </c>
      <c r="U449" s="118" t="s">
        <v>576</v>
      </c>
      <c r="V449" s="363">
        <v>200000</v>
      </c>
      <c r="W449" s="211">
        <v>263301.98235294118</v>
      </c>
      <c r="X449" s="169">
        <v>50</v>
      </c>
      <c r="Y449" s="205">
        <v>2</v>
      </c>
      <c r="Z449" s="211">
        <v>0.17904534799999999</v>
      </c>
      <c r="AA449" s="262">
        <v>4.4761337000000001</v>
      </c>
      <c r="AB449" s="211">
        <v>1.523762E-2</v>
      </c>
      <c r="AC449" s="236">
        <v>20.943103378531667</v>
      </c>
      <c r="AD449" s="211">
        <v>0.13300928809682416</v>
      </c>
      <c r="AE449" s="285">
        <v>7.6792948287421919E-2</v>
      </c>
      <c r="AF449" s="211">
        <v>246456.29570245557</v>
      </c>
      <c r="AG449" s="248">
        <v>6161407.3925613901</v>
      </c>
      <c r="AH449" s="111"/>
      <c r="AI449" s="408"/>
    </row>
    <row r="450" spans="1:35" hidden="1" x14ac:dyDescent="0.3">
      <c r="A450" s="159">
        <v>45352</v>
      </c>
      <c r="B450" s="188">
        <v>449</v>
      </c>
      <c r="C450" s="21" t="s">
        <v>544</v>
      </c>
      <c r="D450" s="20" t="s">
        <v>552</v>
      </c>
      <c r="E450" s="17" t="s">
        <v>588</v>
      </c>
      <c r="F450" s="17" t="s">
        <v>584</v>
      </c>
      <c r="G450" s="18" t="s">
        <v>562</v>
      </c>
      <c r="H450" s="133" t="s">
        <v>446</v>
      </c>
      <c r="I450" s="117" t="s">
        <v>527</v>
      </c>
      <c r="J450" s="128" t="s">
        <v>550</v>
      </c>
      <c r="K450" s="36" t="s">
        <v>532</v>
      </c>
      <c r="L450" s="17" t="s">
        <v>608</v>
      </c>
      <c r="M450" s="17" t="s">
        <v>531</v>
      </c>
      <c r="N450" s="17" t="s">
        <v>531</v>
      </c>
      <c r="O450" s="17" t="s">
        <v>571</v>
      </c>
      <c r="P450" s="117" t="s">
        <v>573</v>
      </c>
      <c r="Q450" s="136" t="s">
        <v>496</v>
      </c>
      <c r="R450" s="117" t="s">
        <v>519</v>
      </c>
      <c r="S450" s="181">
        <v>400</v>
      </c>
      <c r="T450" s="181">
        <v>25</v>
      </c>
      <c r="U450" s="136" t="s">
        <v>0</v>
      </c>
      <c r="V450" s="164" t="s">
        <v>0</v>
      </c>
      <c r="W450" s="209">
        <v>567.11289503913611</v>
      </c>
      <c r="X450" s="164">
        <v>50</v>
      </c>
      <c r="Y450" s="194">
        <v>2</v>
      </c>
      <c r="Z450" s="209">
        <v>3.8563676862661252E-4</v>
      </c>
      <c r="AA450" s="279">
        <v>9.6409192156653133E-3</v>
      </c>
      <c r="AB450" s="209">
        <v>3.3721107824321416E-5</v>
      </c>
      <c r="AC450" s="232">
        <v>30.374777406206899</v>
      </c>
      <c r="AD450" s="209">
        <v>0.13668321596652258</v>
      </c>
      <c r="AE450" s="279">
        <v>7.8914091531975566E-2</v>
      </c>
      <c r="AF450" s="209">
        <v>530.82981794299326</v>
      </c>
      <c r="AG450" s="206">
        <v>13270.745448574829</v>
      </c>
      <c r="AH450" s="117" t="s">
        <v>659</v>
      </c>
      <c r="AI450" s="404" t="s">
        <v>639</v>
      </c>
    </row>
    <row r="451" spans="1:35" hidden="1" x14ac:dyDescent="0.3">
      <c r="A451" s="151">
        <v>45352</v>
      </c>
      <c r="B451" s="189">
        <v>450</v>
      </c>
      <c r="C451" s="11" t="s">
        <v>544</v>
      </c>
      <c r="D451" s="10" t="s">
        <v>552</v>
      </c>
      <c r="E451" s="2" t="s">
        <v>588</v>
      </c>
      <c r="F451" s="2" t="s">
        <v>584</v>
      </c>
      <c r="G451" s="67" t="s">
        <v>562</v>
      </c>
      <c r="H451" s="132" t="s">
        <v>447</v>
      </c>
      <c r="I451" s="110" t="s">
        <v>527</v>
      </c>
      <c r="J451" s="95" t="s">
        <v>550</v>
      </c>
      <c r="K451" s="2" t="s">
        <v>532</v>
      </c>
      <c r="L451" s="2" t="s">
        <v>608</v>
      </c>
      <c r="M451" s="2" t="s">
        <v>531</v>
      </c>
      <c r="N451" s="2" t="s">
        <v>531</v>
      </c>
      <c r="O451" s="2" t="s">
        <v>571</v>
      </c>
      <c r="P451" s="110" t="s">
        <v>573</v>
      </c>
      <c r="Q451" s="137" t="s">
        <v>497</v>
      </c>
      <c r="R451" s="110" t="s">
        <v>519</v>
      </c>
      <c r="S451" s="166">
        <v>400</v>
      </c>
      <c r="T451" s="166">
        <v>25</v>
      </c>
      <c r="U451" s="89" t="s">
        <v>0</v>
      </c>
      <c r="V451" s="165" t="s">
        <v>0</v>
      </c>
      <c r="W451" s="208">
        <v>764.61847983343932</v>
      </c>
      <c r="X451" s="165">
        <v>50</v>
      </c>
      <c r="Y451" s="195">
        <v>2</v>
      </c>
      <c r="Z451" s="208">
        <v>5.1994056628673873E-4</v>
      </c>
      <c r="AA451" s="264">
        <v>1.2998514157168468E-2</v>
      </c>
      <c r="AB451" s="208">
        <v>4.1794601376305375E-5</v>
      </c>
      <c r="AC451" s="216">
        <v>29.898048573759212</v>
      </c>
      <c r="AD451" s="208">
        <v>0.12833331433341766</v>
      </c>
      <c r="AE451" s="270">
        <v>7.4093273576395544E-2</v>
      </c>
      <c r="AF451" s="208">
        <v>715.69927609885019</v>
      </c>
      <c r="AG451" s="206">
        <v>17892.481902471256</v>
      </c>
      <c r="AH451" s="110" t="s">
        <v>659</v>
      </c>
      <c r="AI451" s="393" t="s">
        <v>639</v>
      </c>
    </row>
    <row r="452" spans="1:35" hidden="1" x14ac:dyDescent="0.3">
      <c r="A452" s="151">
        <v>45352</v>
      </c>
      <c r="B452" s="189">
        <v>451</v>
      </c>
      <c r="C452" s="11" t="s">
        <v>544</v>
      </c>
      <c r="D452" s="10" t="s">
        <v>552</v>
      </c>
      <c r="E452" s="2" t="s">
        <v>588</v>
      </c>
      <c r="F452" s="2" t="s">
        <v>584</v>
      </c>
      <c r="G452" s="2" t="s">
        <v>562</v>
      </c>
      <c r="H452" s="131" t="s">
        <v>448</v>
      </c>
      <c r="I452" s="88" t="s">
        <v>527</v>
      </c>
      <c r="J452" s="15" t="s">
        <v>550</v>
      </c>
      <c r="K452" s="2" t="s">
        <v>532</v>
      </c>
      <c r="L452" s="2" t="s">
        <v>608</v>
      </c>
      <c r="M452" s="2" t="s">
        <v>531</v>
      </c>
      <c r="N452" s="2" t="s">
        <v>531</v>
      </c>
      <c r="O452" s="2" t="s">
        <v>571</v>
      </c>
      <c r="P452" s="75" t="s">
        <v>573</v>
      </c>
      <c r="Q452" s="89" t="s">
        <v>498</v>
      </c>
      <c r="R452" s="110" t="s">
        <v>519</v>
      </c>
      <c r="S452" s="166">
        <v>400</v>
      </c>
      <c r="T452" s="166">
        <v>25</v>
      </c>
      <c r="U452" s="67" t="s">
        <v>0</v>
      </c>
      <c r="V452" s="165" t="s">
        <v>0</v>
      </c>
      <c r="W452" s="208">
        <v>764.76171453389202</v>
      </c>
      <c r="X452" s="165">
        <v>50</v>
      </c>
      <c r="Y452" s="195">
        <v>2</v>
      </c>
      <c r="Z452" s="208">
        <v>5.2003796588304661E-4</v>
      </c>
      <c r="AA452" s="264">
        <v>1.3000949147076165E-2</v>
      </c>
      <c r="AB452" s="208">
        <v>7.9075135833818366E-5</v>
      </c>
      <c r="AC452" s="216">
        <v>29.907332427886484</v>
      </c>
      <c r="AD452" s="208">
        <v>0.2530881010765596</v>
      </c>
      <c r="AE452" s="270">
        <v>0.14612048328524291</v>
      </c>
      <c r="AF452" s="208">
        <v>715.83334684671979</v>
      </c>
      <c r="AG452" s="206">
        <v>17895.833671167995</v>
      </c>
      <c r="AH452" s="110" t="s">
        <v>659</v>
      </c>
      <c r="AI452" s="393" t="s">
        <v>639</v>
      </c>
    </row>
    <row r="453" spans="1:35" hidden="1" x14ac:dyDescent="0.3">
      <c r="A453" s="151">
        <v>45352</v>
      </c>
      <c r="B453" s="189">
        <v>452</v>
      </c>
      <c r="C453" s="11" t="s">
        <v>544</v>
      </c>
      <c r="D453" s="10" t="s">
        <v>552</v>
      </c>
      <c r="E453" s="2" t="s">
        <v>588</v>
      </c>
      <c r="F453" s="2" t="s">
        <v>584</v>
      </c>
      <c r="G453" s="2" t="s">
        <v>562</v>
      </c>
      <c r="H453" s="14" t="s">
        <v>449</v>
      </c>
      <c r="I453" s="65" t="s">
        <v>527</v>
      </c>
      <c r="J453" s="15" t="s">
        <v>550</v>
      </c>
      <c r="K453" s="2" t="s">
        <v>532</v>
      </c>
      <c r="L453" s="2" t="s">
        <v>608</v>
      </c>
      <c r="M453" s="2" t="s">
        <v>531</v>
      </c>
      <c r="N453" s="2" t="s">
        <v>531</v>
      </c>
      <c r="O453" s="2" t="s">
        <v>571</v>
      </c>
      <c r="P453" s="110" t="s">
        <v>573</v>
      </c>
      <c r="Q453" s="137" t="s">
        <v>499</v>
      </c>
      <c r="R453" s="110" t="s">
        <v>519</v>
      </c>
      <c r="S453" s="166">
        <v>400</v>
      </c>
      <c r="T453" s="166">
        <v>25</v>
      </c>
      <c r="U453" s="67" t="s">
        <v>0</v>
      </c>
      <c r="V453" s="165" t="s">
        <v>0</v>
      </c>
      <c r="W453" s="208">
        <v>1020.8214134086139</v>
      </c>
      <c r="X453" s="165">
        <v>50</v>
      </c>
      <c r="Y453" s="195">
        <v>2</v>
      </c>
      <c r="Z453" s="208">
        <v>6.9415856111785742E-4</v>
      </c>
      <c r="AA453" s="264">
        <v>1.7353964027946436E-2</v>
      </c>
      <c r="AB453" s="208">
        <v>7.451874450357639E-5</v>
      </c>
      <c r="AC453" s="216">
        <v>29.439978524071353</v>
      </c>
      <c r="AD453" s="208">
        <v>0.16659616263897717</v>
      </c>
      <c r="AE453" s="270">
        <v>9.6184339345572148E-2</v>
      </c>
      <c r="AF453" s="208">
        <v>955.51071007582823</v>
      </c>
      <c r="AG453" s="206">
        <v>23887.767751895706</v>
      </c>
      <c r="AH453" s="110" t="s">
        <v>659</v>
      </c>
      <c r="AI453" s="393" t="s">
        <v>639</v>
      </c>
    </row>
    <row r="454" spans="1:35" hidden="1" x14ac:dyDescent="0.3">
      <c r="A454" s="151">
        <v>45352</v>
      </c>
      <c r="B454" s="189">
        <v>453</v>
      </c>
      <c r="C454" s="11" t="s">
        <v>544</v>
      </c>
      <c r="D454" s="10" t="s">
        <v>552</v>
      </c>
      <c r="E454" s="2" t="s">
        <v>588</v>
      </c>
      <c r="F454" s="2" t="s">
        <v>584</v>
      </c>
      <c r="G454" s="2" t="s">
        <v>562</v>
      </c>
      <c r="H454" s="14" t="s">
        <v>450</v>
      </c>
      <c r="I454" s="65" t="s">
        <v>527</v>
      </c>
      <c r="J454" s="15" t="s">
        <v>550</v>
      </c>
      <c r="K454" s="2" t="s">
        <v>532</v>
      </c>
      <c r="L454" s="2" t="s">
        <v>608</v>
      </c>
      <c r="M454" s="2" t="s">
        <v>531</v>
      </c>
      <c r="N454" s="2" t="s">
        <v>531</v>
      </c>
      <c r="O454" s="2" t="s">
        <v>571</v>
      </c>
      <c r="P454" s="75" t="s">
        <v>573</v>
      </c>
      <c r="Q454" s="89" t="s">
        <v>500</v>
      </c>
      <c r="R454" s="110" t="s">
        <v>519</v>
      </c>
      <c r="S454" s="166">
        <v>400</v>
      </c>
      <c r="T454" s="166">
        <v>25</v>
      </c>
      <c r="U454" s="67" t="s">
        <v>0</v>
      </c>
      <c r="V454" s="165" t="s">
        <v>0</v>
      </c>
      <c r="W454" s="208">
        <v>615.93594994658065</v>
      </c>
      <c r="X454" s="165">
        <v>50</v>
      </c>
      <c r="Y454" s="195">
        <v>2</v>
      </c>
      <c r="Z454" s="208">
        <v>4.188364459636748E-4</v>
      </c>
      <c r="AA454" s="264">
        <v>1.047091114909187E-2</v>
      </c>
      <c r="AB454" s="208">
        <v>3.7676115369365215E-5</v>
      </c>
      <c r="AC454" s="216">
        <v>30.243442444556859</v>
      </c>
      <c r="AD454" s="208">
        <v>0.14174660038952894</v>
      </c>
      <c r="AE454" s="270">
        <v>8.1837437891608855E-2</v>
      </c>
      <c r="AF454" s="208">
        <v>576.52924318027522</v>
      </c>
      <c r="AG454" s="206">
        <v>14413.231079506881</v>
      </c>
      <c r="AH454" s="110" t="s">
        <v>659</v>
      </c>
      <c r="AI454" s="393" t="s">
        <v>639</v>
      </c>
    </row>
    <row r="455" spans="1:35" hidden="1" x14ac:dyDescent="0.3">
      <c r="A455" s="151">
        <v>45352</v>
      </c>
      <c r="B455" s="189">
        <v>454</v>
      </c>
      <c r="C455" s="11" t="s">
        <v>544</v>
      </c>
      <c r="D455" s="10" t="s">
        <v>552</v>
      </c>
      <c r="E455" s="2" t="s">
        <v>588</v>
      </c>
      <c r="F455" s="2" t="s">
        <v>584</v>
      </c>
      <c r="G455" s="2" t="s">
        <v>562</v>
      </c>
      <c r="H455" s="14" t="s">
        <v>451</v>
      </c>
      <c r="I455" s="65" t="s">
        <v>527</v>
      </c>
      <c r="J455" s="15" t="s">
        <v>550</v>
      </c>
      <c r="K455" s="2" t="s">
        <v>532</v>
      </c>
      <c r="L455" s="2" t="s">
        <v>608</v>
      </c>
      <c r="M455" s="2" t="s">
        <v>531</v>
      </c>
      <c r="N455" s="2" t="s">
        <v>531</v>
      </c>
      <c r="O455" s="2" t="s">
        <v>571</v>
      </c>
      <c r="P455" s="110" t="s">
        <v>573</v>
      </c>
      <c r="Q455" s="137" t="s">
        <v>501</v>
      </c>
      <c r="R455" s="110" t="s">
        <v>519</v>
      </c>
      <c r="S455" s="166">
        <v>400</v>
      </c>
      <c r="T455" s="166">
        <v>25</v>
      </c>
      <c r="U455" s="67" t="s">
        <v>0</v>
      </c>
      <c r="V455" s="165" t="s">
        <v>0</v>
      </c>
      <c r="W455" s="208">
        <v>735.03808596776958</v>
      </c>
      <c r="X455" s="165">
        <v>50</v>
      </c>
      <c r="Y455" s="195">
        <v>2</v>
      </c>
      <c r="Z455" s="208">
        <v>4.9982589845808329E-4</v>
      </c>
      <c r="AA455" s="264">
        <v>1.2495647461452082E-2</v>
      </c>
      <c r="AB455" s="208">
        <v>8.823737843460675E-6</v>
      </c>
      <c r="AC455" s="216">
        <v>29.957651108131881</v>
      </c>
      <c r="AD455" s="208">
        <v>2.8257908922180875E-2</v>
      </c>
      <c r="AE455" s="270">
        <v>1.6314711322957056E-2</v>
      </c>
      <c r="AF455" s="208">
        <v>688.0113937957824</v>
      </c>
      <c r="AG455" s="206">
        <v>17200.284844894562</v>
      </c>
      <c r="AH455" s="110" t="s">
        <v>659</v>
      </c>
      <c r="AI455" s="393" t="s">
        <v>639</v>
      </c>
    </row>
    <row r="456" spans="1:35" hidden="1" x14ac:dyDescent="0.3">
      <c r="A456" s="151">
        <v>45352</v>
      </c>
      <c r="B456" s="189">
        <v>455</v>
      </c>
      <c r="C456" s="11" t="s">
        <v>544</v>
      </c>
      <c r="D456" s="10" t="s">
        <v>552</v>
      </c>
      <c r="E456" s="2" t="s">
        <v>588</v>
      </c>
      <c r="F456" s="2" t="s">
        <v>584</v>
      </c>
      <c r="G456" s="2" t="s">
        <v>562</v>
      </c>
      <c r="H456" s="14" t="s">
        <v>452</v>
      </c>
      <c r="I456" s="65" t="s">
        <v>527</v>
      </c>
      <c r="J456" s="15" t="s">
        <v>550</v>
      </c>
      <c r="K456" s="2" t="s">
        <v>532</v>
      </c>
      <c r="L456" s="2" t="s">
        <v>608</v>
      </c>
      <c r="M456" s="2" t="s">
        <v>531</v>
      </c>
      <c r="N456" s="2" t="s">
        <v>531</v>
      </c>
      <c r="O456" s="2" t="s">
        <v>571</v>
      </c>
      <c r="P456" s="75" t="s">
        <v>573</v>
      </c>
      <c r="Q456" s="89" t="s">
        <v>502</v>
      </c>
      <c r="R456" s="110" t="s">
        <v>519</v>
      </c>
      <c r="S456" s="166">
        <v>400</v>
      </c>
      <c r="T456" s="166">
        <v>25</v>
      </c>
      <c r="U456" s="67" t="s">
        <v>0</v>
      </c>
      <c r="V456" s="165" t="s">
        <v>0</v>
      </c>
      <c r="W456" s="208">
        <v>147.37400875584734</v>
      </c>
      <c r="X456" s="165">
        <v>50</v>
      </c>
      <c r="Y456" s="195">
        <v>2</v>
      </c>
      <c r="Z456" s="208">
        <v>1.0021432595397619E-4</v>
      </c>
      <c r="AA456" s="264">
        <v>2.5053581488494047E-3</v>
      </c>
      <c r="AB456" s="208">
        <v>1.7649061688724993E-5</v>
      </c>
      <c r="AC456" s="216">
        <v>32.536262634059675</v>
      </c>
      <c r="AD456" s="208">
        <v>0.29808300945853922</v>
      </c>
      <c r="AE456" s="270">
        <v>0.1720983057517414</v>
      </c>
      <c r="AF456" s="208">
        <v>137.94522910997625</v>
      </c>
      <c r="AG456" s="206">
        <v>3448.6307277494061</v>
      </c>
      <c r="AH456" s="110" t="s">
        <v>659</v>
      </c>
      <c r="AI456" s="393" t="s">
        <v>639</v>
      </c>
    </row>
    <row r="457" spans="1:35" hidden="1" x14ac:dyDescent="0.3">
      <c r="A457" s="151">
        <v>45352</v>
      </c>
      <c r="B457" s="188">
        <v>456</v>
      </c>
      <c r="C457" s="11" t="s">
        <v>544</v>
      </c>
      <c r="D457" s="10" t="s">
        <v>552</v>
      </c>
      <c r="E457" s="2" t="s">
        <v>588</v>
      </c>
      <c r="F457" s="2" t="s">
        <v>584</v>
      </c>
      <c r="G457" s="2" t="s">
        <v>562</v>
      </c>
      <c r="H457" s="14" t="s">
        <v>453</v>
      </c>
      <c r="I457" s="65" t="s">
        <v>527</v>
      </c>
      <c r="J457" s="15" t="s">
        <v>550</v>
      </c>
      <c r="K457" s="2" t="s">
        <v>532</v>
      </c>
      <c r="L457" s="2" t="s">
        <v>608</v>
      </c>
      <c r="M457" s="2" t="s">
        <v>531</v>
      </c>
      <c r="N457" s="2" t="s">
        <v>531</v>
      </c>
      <c r="O457" s="2" t="s">
        <v>571</v>
      </c>
      <c r="P457" s="110" t="s">
        <v>573</v>
      </c>
      <c r="Q457" s="137" t="s">
        <v>504</v>
      </c>
      <c r="R457" s="110" t="s">
        <v>519</v>
      </c>
      <c r="S457" s="166">
        <v>400</v>
      </c>
      <c r="T457" s="166">
        <v>25</v>
      </c>
      <c r="U457" s="67" t="s">
        <v>0</v>
      </c>
      <c r="V457" s="165" t="s">
        <v>0</v>
      </c>
      <c r="W457" s="208">
        <v>323.25002362768959</v>
      </c>
      <c r="X457" s="165">
        <v>50</v>
      </c>
      <c r="Y457" s="195">
        <v>2</v>
      </c>
      <c r="Z457" s="208">
        <v>2.1981001606682891E-4</v>
      </c>
      <c r="AA457" s="264">
        <v>5.4952504016707229E-3</v>
      </c>
      <c r="AB457" s="208">
        <v>9.5480808768266463E-6</v>
      </c>
      <c r="AC457" s="216">
        <v>31.267659650086767</v>
      </c>
      <c r="AD457" s="208">
        <v>6.92529256728147E-2</v>
      </c>
      <c r="AE457" s="270">
        <v>3.9983195279368715E-2</v>
      </c>
      <c r="AF457" s="208">
        <v>302.56894648906433</v>
      </c>
      <c r="AG457" s="206">
        <v>7564.2236622266082</v>
      </c>
      <c r="AH457" s="110" t="s">
        <v>659</v>
      </c>
      <c r="AI457" s="393" t="s">
        <v>639</v>
      </c>
    </row>
    <row r="458" spans="1:35" hidden="1" x14ac:dyDescent="0.3">
      <c r="A458" s="151">
        <v>45352</v>
      </c>
      <c r="B458" s="189">
        <v>457</v>
      </c>
      <c r="C458" s="11" t="s">
        <v>544</v>
      </c>
      <c r="D458" s="10" t="s">
        <v>552</v>
      </c>
      <c r="E458" s="2" t="s">
        <v>588</v>
      </c>
      <c r="F458" s="2" t="s">
        <v>584</v>
      </c>
      <c r="G458" s="2" t="s">
        <v>562</v>
      </c>
      <c r="H458" s="14" t="s">
        <v>454</v>
      </c>
      <c r="I458" s="65" t="s">
        <v>527</v>
      </c>
      <c r="J458" s="15" t="s">
        <v>550</v>
      </c>
      <c r="K458" s="2" t="s">
        <v>532</v>
      </c>
      <c r="L458" s="2" t="s">
        <v>608</v>
      </c>
      <c r="M458" s="2" t="s">
        <v>531</v>
      </c>
      <c r="N458" s="2" t="s">
        <v>531</v>
      </c>
      <c r="O458" s="2" t="s">
        <v>571</v>
      </c>
      <c r="P458" s="75" t="s">
        <v>573</v>
      </c>
      <c r="Q458" s="89" t="s">
        <v>505</v>
      </c>
      <c r="R458" s="110" t="s">
        <v>519</v>
      </c>
      <c r="S458" s="166">
        <v>400</v>
      </c>
      <c r="T458" s="166">
        <v>25</v>
      </c>
      <c r="U458" s="67" t="s">
        <v>0</v>
      </c>
      <c r="V458" s="165" t="s">
        <v>0</v>
      </c>
      <c r="W458" s="208">
        <v>793.75971418748202</v>
      </c>
      <c r="X458" s="165">
        <v>50</v>
      </c>
      <c r="Y458" s="195">
        <v>2</v>
      </c>
      <c r="Z458" s="208">
        <v>5.3975660564748774E-4</v>
      </c>
      <c r="AA458" s="264">
        <v>1.3493915141187194E-2</v>
      </c>
      <c r="AB458" s="208">
        <v>4.4312022698839084E-5</v>
      </c>
      <c r="AC458" s="237">
        <v>29.27965</v>
      </c>
      <c r="AD458" s="208">
        <v>0.13292399999999999</v>
      </c>
      <c r="AE458" s="270">
        <v>7.6744000000000007E-2</v>
      </c>
      <c r="AF458" s="208">
        <v>742.97609569175142</v>
      </c>
      <c r="AG458" s="206">
        <v>18574.402392293789</v>
      </c>
      <c r="AH458" s="110" t="s">
        <v>659</v>
      </c>
      <c r="AI458" s="393" t="s">
        <v>639</v>
      </c>
    </row>
    <row r="459" spans="1:35" hidden="1" x14ac:dyDescent="0.3">
      <c r="A459" s="151">
        <v>45352</v>
      </c>
      <c r="B459" s="189">
        <v>458</v>
      </c>
      <c r="C459" s="11" t="s">
        <v>544</v>
      </c>
      <c r="D459" s="10" t="s">
        <v>552</v>
      </c>
      <c r="E459" s="2" t="s">
        <v>588</v>
      </c>
      <c r="F459" s="2" t="s">
        <v>584</v>
      </c>
      <c r="G459" s="2" t="s">
        <v>562</v>
      </c>
      <c r="H459" s="14" t="s">
        <v>455</v>
      </c>
      <c r="I459" s="65" t="s">
        <v>527</v>
      </c>
      <c r="J459" s="15" t="s">
        <v>550</v>
      </c>
      <c r="K459" s="2" t="s">
        <v>532</v>
      </c>
      <c r="L459" s="2" t="s">
        <v>608</v>
      </c>
      <c r="M459" s="2" t="s">
        <v>531</v>
      </c>
      <c r="N459" s="2" t="s">
        <v>531</v>
      </c>
      <c r="O459" s="2" t="s">
        <v>571</v>
      </c>
      <c r="P459" s="110" t="s">
        <v>573</v>
      </c>
      <c r="Q459" s="137" t="s">
        <v>506</v>
      </c>
      <c r="R459" s="110" t="s">
        <v>519</v>
      </c>
      <c r="S459" s="166">
        <v>400</v>
      </c>
      <c r="T459" s="166">
        <v>25</v>
      </c>
      <c r="U459" s="67" t="s">
        <v>0</v>
      </c>
      <c r="V459" s="165" t="s">
        <v>0</v>
      </c>
      <c r="W459" s="208">
        <v>577.19053404684439</v>
      </c>
      <c r="X459" s="165">
        <v>50</v>
      </c>
      <c r="Y459" s="195">
        <v>2</v>
      </c>
      <c r="Z459" s="208">
        <v>3.9248956315185424E-4</v>
      </c>
      <c r="AA459" s="264">
        <v>9.8122390787963552E-3</v>
      </c>
      <c r="AB459" s="208">
        <v>2.5437161100584042E-5</v>
      </c>
      <c r="AC459" s="201">
        <v>29.796700000000001</v>
      </c>
      <c r="AD459" s="201">
        <v>0.105513</v>
      </c>
      <c r="AE459" s="265">
        <v>6.0918E-2</v>
      </c>
      <c r="AF459" s="208">
        <v>540.26270392839808</v>
      </c>
      <c r="AG459" s="206">
        <v>13506.567598209953</v>
      </c>
      <c r="AH459" s="110" t="s">
        <v>659</v>
      </c>
      <c r="AI459" s="393" t="s">
        <v>639</v>
      </c>
    </row>
    <row r="460" spans="1:35" hidden="1" x14ac:dyDescent="0.3">
      <c r="A460" s="151">
        <v>45352</v>
      </c>
      <c r="B460" s="189">
        <v>459</v>
      </c>
      <c r="C460" s="11" t="s">
        <v>544</v>
      </c>
      <c r="D460" s="10" t="s">
        <v>552</v>
      </c>
      <c r="E460" s="2" t="s">
        <v>588</v>
      </c>
      <c r="F460" s="2" t="s">
        <v>584</v>
      </c>
      <c r="G460" s="2" t="s">
        <v>562</v>
      </c>
      <c r="H460" s="14" t="s">
        <v>456</v>
      </c>
      <c r="I460" s="65" t="s">
        <v>527</v>
      </c>
      <c r="J460" s="15" t="s">
        <v>550</v>
      </c>
      <c r="K460" s="2" t="s">
        <v>532</v>
      </c>
      <c r="L460" s="2" t="s">
        <v>608</v>
      </c>
      <c r="M460" s="2" t="s">
        <v>531</v>
      </c>
      <c r="N460" s="2" t="s">
        <v>531</v>
      </c>
      <c r="O460" s="2" t="s">
        <v>571</v>
      </c>
      <c r="P460" s="75" t="s">
        <v>573</v>
      </c>
      <c r="Q460" s="89" t="s">
        <v>507</v>
      </c>
      <c r="R460" s="110" t="s">
        <v>519</v>
      </c>
      <c r="S460" s="166">
        <v>400</v>
      </c>
      <c r="T460" s="166">
        <v>25</v>
      </c>
      <c r="U460" s="67" t="s">
        <v>0</v>
      </c>
      <c r="V460" s="165" t="s">
        <v>0</v>
      </c>
      <c r="W460" s="208">
        <v>1134.8939571488825</v>
      </c>
      <c r="X460" s="165">
        <v>50</v>
      </c>
      <c r="Y460" s="195">
        <v>2</v>
      </c>
      <c r="Z460" s="208">
        <v>7.7172789086124008E-4</v>
      </c>
      <c r="AA460" s="264">
        <v>1.9293197271531001E-2</v>
      </c>
      <c r="AB460" s="208">
        <v>2.7458572773245903E-5</v>
      </c>
      <c r="AC460" s="201">
        <v>28.695</v>
      </c>
      <c r="AD460" s="201">
        <v>5.7582000000000001E-2</v>
      </c>
      <c r="AE460" s="265">
        <v>3.3244999999999997E-2</v>
      </c>
      <c r="AF460" s="208">
        <v>1062.2850545769566</v>
      </c>
      <c r="AG460" s="206">
        <v>26557.126364423912</v>
      </c>
      <c r="AH460" s="110" t="s">
        <v>659</v>
      </c>
      <c r="AI460" s="393" t="s">
        <v>639</v>
      </c>
    </row>
    <row r="461" spans="1:35" hidden="1" x14ac:dyDescent="0.3">
      <c r="A461" s="151">
        <v>45352</v>
      </c>
      <c r="B461" s="189">
        <v>460</v>
      </c>
      <c r="C461" s="11" t="s">
        <v>544</v>
      </c>
      <c r="D461" s="10" t="s">
        <v>552</v>
      </c>
      <c r="E461" s="2" t="s">
        <v>588</v>
      </c>
      <c r="F461" s="2" t="s">
        <v>584</v>
      </c>
      <c r="G461" s="2" t="s">
        <v>562</v>
      </c>
      <c r="H461" s="14" t="s">
        <v>457</v>
      </c>
      <c r="I461" s="65" t="s">
        <v>527</v>
      </c>
      <c r="J461" s="15" t="s">
        <v>550</v>
      </c>
      <c r="K461" s="2" t="s">
        <v>532</v>
      </c>
      <c r="L461" s="2" t="s">
        <v>608</v>
      </c>
      <c r="M461" s="2" t="s">
        <v>531</v>
      </c>
      <c r="N461" s="2" t="s">
        <v>531</v>
      </c>
      <c r="O461" s="2" t="s">
        <v>571</v>
      </c>
      <c r="P461" s="110" t="s">
        <v>573</v>
      </c>
      <c r="Q461" s="137" t="s">
        <v>508</v>
      </c>
      <c r="R461" s="110" t="s">
        <v>519</v>
      </c>
      <c r="S461" s="166">
        <v>400</v>
      </c>
      <c r="T461" s="166">
        <v>25</v>
      </c>
      <c r="U461" s="67" t="s">
        <v>0</v>
      </c>
      <c r="V461" s="165" t="s">
        <v>0</v>
      </c>
      <c r="W461" s="208">
        <v>974.85966820494741</v>
      </c>
      <c r="X461" s="165">
        <v>50</v>
      </c>
      <c r="Y461" s="195">
        <v>2</v>
      </c>
      <c r="Z461" s="208">
        <v>6.6290457437936424E-4</v>
      </c>
      <c r="AA461" s="264">
        <v>1.6572614359484105E-2</v>
      </c>
      <c r="AB461" s="208">
        <v>5.2379722756503634E-5</v>
      </c>
      <c r="AC461" s="201">
        <v>28.944980000000001</v>
      </c>
      <c r="AD461" s="201">
        <v>0.12736900000000001</v>
      </c>
      <c r="AE461" s="265">
        <v>7.3537000000000005E-2</v>
      </c>
      <c r="AF461" s="208">
        <v>912.48953201370568</v>
      </c>
      <c r="AG461" s="206">
        <v>22812.23830034264</v>
      </c>
      <c r="AH461" s="110" t="s">
        <v>659</v>
      </c>
      <c r="AI461" s="393" t="s">
        <v>639</v>
      </c>
    </row>
    <row r="462" spans="1:35" hidden="1" x14ac:dyDescent="0.3">
      <c r="A462" s="151">
        <v>45352</v>
      </c>
      <c r="B462" s="189">
        <v>461</v>
      </c>
      <c r="C462" s="11" t="s">
        <v>544</v>
      </c>
      <c r="D462" s="10" t="s">
        <v>552</v>
      </c>
      <c r="E462" s="2" t="s">
        <v>588</v>
      </c>
      <c r="F462" s="2" t="s">
        <v>584</v>
      </c>
      <c r="G462" s="2" t="s">
        <v>562</v>
      </c>
      <c r="H462" s="14" t="s">
        <v>458</v>
      </c>
      <c r="I462" s="65" t="s">
        <v>527</v>
      </c>
      <c r="J462" s="15" t="s">
        <v>550</v>
      </c>
      <c r="K462" s="2" t="s">
        <v>532</v>
      </c>
      <c r="L462" s="2" t="s">
        <v>608</v>
      </c>
      <c r="M462" s="2" t="s">
        <v>531</v>
      </c>
      <c r="N462" s="2" t="s">
        <v>531</v>
      </c>
      <c r="O462" s="2" t="s">
        <v>571</v>
      </c>
      <c r="P462" s="75" t="s">
        <v>573</v>
      </c>
      <c r="Q462" s="89" t="s">
        <v>509</v>
      </c>
      <c r="R462" s="110" t="s">
        <v>519</v>
      </c>
      <c r="S462" s="166">
        <v>400</v>
      </c>
      <c r="T462" s="166">
        <v>25</v>
      </c>
      <c r="U462" s="67" t="s">
        <v>0</v>
      </c>
      <c r="V462" s="165" t="s">
        <v>0</v>
      </c>
      <c r="W462" s="208">
        <v>751.48168116967076</v>
      </c>
      <c r="X462" s="165">
        <v>50</v>
      </c>
      <c r="Y462" s="195">
        <v>2</v>
      </c>
      <c r="Z462" s="208">
        <v>5.1100754319537611E-4</v>
      </c>
      <c r="AA462" s="264">
        <v>1.2775188579884402E-2</v>
      </c>
      <c r="AB462" s="208">
        <v>5.4394175935307096E-5</v>
      </c>
      <c r="AC462" s="201">
        <v>29.371359999999999</v>
      </c>
      <c r="AD462" s="201">
        <v>0.17616899999999999</v>
      </c>
      <c r="AE462" s="265">
        <v>0.101711</v>
      </c>
      <c r="AF462" s="208">
        <v>703.40295114478465</v>
      </c>
      <c r="AG462" s="206">
        <v>17585.073778619619</v>
      </c>
      <c r="AH462" s="110" t="s">
        <v>659</v>
      </c>
      <c r="AI462" s="393" t="s">
        <v>639</v>
      </c>
    </row>
    <row r="463" spans="1:35" hidden="1" x14ac:dyDescent="0.3">
      <c r="A463" s="151">
        <v>45352</v>
      </c>
      <c r="B463" s="189">
        <v>462</v>
      </c>
      <c r="C463" s="11" t="s">
        <v>544</v>
      </c>
      <c r="D463" s="10" t="s">
        <v>552</v>
      </c>
      <c r="E463" s="2" t="s">
        <v>588</v>
      </c>
      <c r="F463" s="2" t="s">
        <v>584</v>
      </c>
      <c r="G463" s="2" t="s">
        <v>562</v>
      </c>
      <c r="H463" s="14" t="s">
        <v>459</v>
      </c>
      <c r="I463" s="65" t="s">
        <v>527</v>
      </c>
      <c r="J463" s="15" t="s">
        <v>550</v>
      </c>
      <c r="K463" s="2" t="s">
        <v>532</v>
      </c>
      <c r="L463" s="2" t="s">
        <v>608</v>
      </c>
      <c r="M463" s="2" t="s">
        <v>531</v>
      </c>
      <c r="N463" s="2" t="s">
        <v>531</v>
      </c>
      <c r="O463" s="2" t="s">
        <v>571</v>
      </c>
      <c r="P463" s="110" t="s">
        <v>573</v>
      </c>
      <c r="Q463" s="137" t="s">
        <v>510</v>
      </c>
      <c r="R463" s="110" t="s">
        <v>519</v>
      </c>
      <c r="S463" s="166">
        <v>400</v>
      </c>
      <c r="T463" s="166">
        <v>25</v>
      </c>
      <c r="U463" s="67" t="s">
        <v>0</v>
      </c>
      <c r="V463" s="165" t="s">
        <v>0</v>
      </c>
      <c r="W463" s="208">
        <v>718.52994624059863</v>
      </c>
      <c r="X463" s="165">
        <v>50</v>
      </c>
      <c r="Y463" s="195">
        <v>2</v>
      </c>
      <c r="Z463" s="208">
        <v>4.8860036344360708E-4</v>
      </c>
      <c r="AA463" s="264">
        <v>1.2215009086090177E-2</v>
      </c>
      <c r="AB463" s="208">
        <v>2.8423511314287516E-5</v>
      </c>
      <c r="AC463" s="201">
        <v>29.439830000000001</v>
      </c>
      <c r="AD463" s="201">
        <v>9.3168000000000001E-2</v>
      </c>
      <c r="AE463" s="265">
        <v>5.3790999999999999E-2</v>
      </c>
      <c r="AF463" s="208">
        <v>672.55942138851276</v>
      </c>
      <c r="AG463" s="206">
        <v>16813.985534712821</v>
      </c>
      <c r="AH463" s="110" t="s">
        <v>659</v>
      </c>
      <c r="AI463" s="393" t="s">
        <v>639</v>
      </c>
    </row>
    <row r="464" spans="1:35" hidden="1" x14ac:dyDescent="0.3">
      <c r="A464" s="151">
        <v>45352</v>
      </c>
      <c r="B464" s="189">
        <v>463</v>
      </c>
      <c r="C464" s="11" t="s">
        <v>544</v>
      </c>
      <c r="D464" s="10" t="s">
        <v>552</v>
      </c>
      <c r="E464" s="2" t="s">
        <v>588</v>
      </c>
      <c r="F464" s="2" t="s">
        <v>584</v>
      </c>
      <c r="G464" s="2" t="s">
        <v>562</v>
      </c>
      <c r="H464" s="14" t="s">
        <v>460</v>
      </c>
      <c r="I464" s="65" t="s">
        <v>527</v>
      </c>
      <c r="J464" s="15" t="s">
        <v>550</v>
      </c>
      <c r="K464" s="2" t="s">
        <v>532</v>
      </c>
      <c r="L464" s="2" t="s">
        <v>608</v>
      </c>
      <c r="M464" s="2" t="s">
        <v>531</v>
      </c>
      <c r="N464" s="2" t="s">
        <v>531</v>
      </c>
      <c r="O464" s="2" t="s">
        <v>571</v>
      </c>
      <c r="P464" s="75" t="s">
        <v>573</v>
      </c>
      <c r="Q464" s="89" t="s">
        <v>511</v>
      </c>
      <c r="R464" s="110" t="s">
        <v>519</v>
      </c>
      <c r="S464" s="166">
        <v>400</v>
      </c>
      <c r="T464" s="166">
        <v>25</v>
      </c>
      <c r="U464" s="67" t="s">
        <v>0</v>
      </c>
      <c r="V464" s="165" t="s">
        <v>0</v>
      </c>
      <c r="W464" s="208">
        <v>764.28489893849132</v>
      </c>
      <c r="X464" s="165">
        <v>50</v>
      </c>
      <c r="Y464" s="195">
        <v>2</v>
      </c>
      <c r="Z464" s="208">
        <v>5.1971373127817407E-4</v>
      </c>
      <c r="AA464" s="264">
        <v>1.2992843281954353E-2</v>
      </c>
      <c r="AB464" s="208">
        <v>2.9941033576644063E-5</v>
      </c>
      <c r="AC464" s="201">
        <v>29.339400000000001</v>
      </c>
      <c r="AD464" s="201">
        <v>9.4078999999999996E-2</v>
      </c>
      <c r="AE464" s="265">
        <v>5.4316000000000003E-2</v>
      </c>
      <c r="AF464" s="208">
        <v>715.38703723550657</v>
      </c>
      <c r="AG464" s="206">
        <v>17884.675930887661</v>
      </c>
      <c r="AH464" s="110" t="s">
        <v>659</v>
      </c>
      <c r="AI464" s="393" t="s">
        <v>639</v>
      </c>
    </row>
    <row r="465" spans="1:35" hidden="1" x14ac:dyDescent="0.3">
      <c r="A465" s="151">
        <v>45352</v>
      </c>
      <c r="B465" s="189">
        <v>464</v>
      </c>
      <c r="C465" s="11" t="s">
        <v>544</v>
      </c>
      <c r="D465" s="10" t="s">
        <v>552</v>
      </c>
      <c r="E465" s="2" t="s">
        <v>588</v>
      </c>
      <c r="F465" s="2" t="s">
        <v>584</v>
      </c>
      <c r="G465" s="2" t="s">
        <v>562</v>
      </c>
      <c r="H465" s="14" t="s">
        <v>461</v>
      </c>
      <c r="I465" s="65" t="s">
        <v>527</v>
      </c>
      <c r="J465" s="15" t="s">
        <v>550</v>
      </c>
      <c r="K465" s="2" t="s">
        <v>532</v>
      </c>
      <c r="L465" s="2" t="s">
        <v>608</v>
      </c>
      <c r="M465" s="2" t="s">
        <v>531</v>
      </c>
      <c r="N465" s="2" t="s">
        <v>531</v>
      </c>
      <c r="O465" s="2" t="s">
        <v>571</v>
      </c>
      <c r="P465" s="110" t="s">
        <v>573</v>
      </c>
      <c r="Q465" s="137" t="s">
        <v>512</v>
      </c>
      <c r="R465" s="110" t="s">
        <v>519</v>
      </c>
      <c r="S465" s="166">
        <v>400</v>
      </c>
      <c r="T465" s="166">
        <v>25</v>
      </c>
      <c r="U465" s="67" t="s">
        <v>0</v>
      </c>
      <c r="V465" s="165" t="s">
        <v>0</v>
      </c>
      <c r="W465" s="208">
        <v>879.00446870580117</v>
      </c>
      <c r="X465" s="165">
        <v>50</v>
      </c>
      <c r="Y465" s="195">
        <v>2</v>
      </c>
      <c r="Z465" s="208">
        <v>5.9772303871994477E-4</v>
      </c>
      <c r="AA465" s="264">
        <v>1.4943075967998619E-2</v>
      </c>
      <c r="AB465" s="208">
        <v>5.687688754110884E-5</v>
      </c>
      <c r="AC465" s="201">
        <v>29.114830000000001</v>
      </c>
      <c r="AD465" s="201">
        <v>0.151972</v>
      </c>
      <c r="AE465" s="265">
        <v>8.7741E-2</v>
      </c>
      <c r="AF465" s="208">
        <v>822.76701195795954</v>
      </c>
      <c r="AG465" s="206">
        <v>20569.175298948987</v>
      </c>
      <c r="AH465" s="110" t="s">
        <v>659</v>
      </c>
      <c r="AI465" s="393" t="s">
        <v>639</v>
      </c>
    </row>
    <row r="466" spans="1:35" hidden="1" x14ac:dyDescent="0.3">
      <c r="A466" s="151">
        <v>45352</v>
      </c>
      <c r="B466" s="189">
        <v>465</v>
      </c>
      <c r="C466" s="11" t="s">
        <v>544</v>
      </c>
      <c r="D466" s="10" t="s">
        <v>552</v>
      </c>
      <c r="E466" s="2" t="s">
        <v>588</v>
      </c>
      <c r="F466" s="2" t="s">
        <v>584</v>
      </c>
      <c r="G466" s="2" t="s">
        <v>562</v>
      </c>
      <c r="H466" s="14" t="s">
        <v>462</v>
      </c>
      <c r="I466" s="65" t="s">
        <v>527</v>
      </c>
      <c r="J466" s="12" t="s">
        <v>551</v>
      </c>
      <c r="K466" s="2" t="s">
        <v>532</v>
      </c>
      <c r="L466" s="2" t="s">
        <v>608</v>
      </c>
      <c r="M466" s="2" t="s">
        <v>531</v>
      </c>
      <c r="N466" s="2" t="s">
        <v>531</v>
      </c>
      <c r="O466" s="2" t="s">
        <v>571</v>
      </c>
      <c r="P466" s="75" t="s">
        <v>573</v>
      </c>
      <c r="Q466" s="67" t="s">
        <v>496</v>
      </c>
      <c r="R466" s="110" t="s">
        <v>519</v>
      </c>
      <c r="S466" s="166">
        <v>400</v>
      </c>
      <c r="T466" s="166">
        <v>25</v>
      </c>
      <c r="U466" s="67" t="s">
        <v>0</v>
      </c>
      <c r="V466" s="165" t="s">
        <v>0</v>
      </c>
      <c r="W466" s="208">
        <v>595.72870862139735</v>
      </c>
      <c r="X466" s="165">
        <v>50</v>
      </c>
      <c r="Y466" s="195">
        <v>2</v>
      </c>
      <c r="Z466" s="208">
        <v>4.0509552186255025E-4</v>
      </c>
      <c r="AA466" s="264">
        <v>1.0127388046563756E-2</v>
      </c>
      <c r="AB466" s="208">
        <v>5.716795100004113E-5</v>
      </c>
      <c r="AC466" s="220">
        <v>30.302489999999999</v>
      </c>
      <c r="AD466" s="201">
        <v>0.217471</v>
      </c>
      <c r="AE466" s="265">
        <v>0.125557</v>
      </c>
      <c r="AF466" s="208">
        <v>557.61483243841246</v>
      </c>
      <c r="AG466" s="206">
        <v>13940.37081096031</v>
      </c>
      <c r="AH466" s="110" t="s">
        <v>659</v>
      </c>
      <c r="AI466" s="393" t="s">
        <v>640</v>
      </c>
    </row>
    <row r="467" spans="1:35" hidden="1" x14ac:dyDescent="0.3">
      <c r="A467" s="151">
        <v>45352</v>
      </c>
      <c r="B467" s="189">
        <v>466</v>
      </c>
      <c r="C467" s="11" t="s">
        <v>544</v>
      </c>
      <c r="D467" s="10" t="s">
        <v>552</v>
      </c>
      <c r="E467" s="2" t="s">
        <v>588</v>
      </c>
      <c r="F467" s="2" t="s">
        <v>584</v>
      </c>
      <c r="G467" s="2" t="s">
        <v>562</v>
      </c>
      <c r="H467" s="14" t="s">
        <v>463</v>
      </c>
      <c r="I467" s="65" t="s">
        <v>527</v>
      </c>
      <c r="J467" s="12" t="s">
        <v>551</v>
      </c>
      <c r="K467" s="2" t="s">
        <v>532</v>
      </c>
      <c r="L467" s="2" t="s">
        <v>608</v>
      </c>
      <c r="M467" s="2" t="s">
        <v>531</v>
      </c>
      <c r="N467" s="2" t="s">
        <v>531</v>
      </c>
      <c r="O467" s="2" t="s">
        <v>571</v>
      </c>
      <c r="P467" s="110" t="s">
        <v>573</v>
      </c>
      <c r="Q467" s="137" t="s">
        <v>497</v>
      </c>
      <c r="R467" s="110" t="s">
        <v>519</v>
      </c>
      <c r="S467" s="166">
        <v>400</v>
      </c>
      <c r="T467" s="166">
        <v>25</v>
      </c>
      <c r="U467" s="67" t="s">
        <v>0</v>
      </c>
      <c r="V467" s="165" t="s">
        <v>0</v>
      </c>
      <c r="W467" s="208">
        <v>473.41318759266989</v>
      </c>
      <c r="X467" s="165">
        <v>50</v>
      </c>
      <c r="Y467" s="195">
        <v>2</v>
      </c>
      <c r="Z467" s="208">
        <v>3.219209675630155E-4</v>
      </c>
      <c r="AA467" s="264">
        <v>8.0480241890753881E-3</v>
      </c>
      <c r="AB467" s="208">
        <v>2.9486062449583111E-5</v>
      </c>
      <c r="AC467" s="201">
        <v>30.66301</v>
      </c>
      <c r="AD467" s="201">
        <v>0.14443600000000001</v>
      </c>
      <c r="AE467" s="265">
        <v>8.3390000000000006E-2</v>
      </c>
      <c r="AF467" s="208">
        <v>443.12488462158296</v>
      </c>
      <c r="AG467" s="206">
        <v>11078.122115539576</v>
      </c>
      <c r="AH467" s="110" t="s">
        <v>659</v>
      </c>
      <c r="AI467" s="393" t="s">
        <v>640</v>
      </c>
    </row>
    <row r="468" spans="1:35" hidden="1" x14ac:dyDescent="0.3">
      <c r="A468" s="151">
        <v>45352</v>
      </c>
      <c r="B468" s="189">
        <v>467</v>
      </c>
      <c r="C468" s="11" t="s">
        <v>544</v>
      </c>
      <c r="D468" s="10" t="s">
        <v>552</v>
      </c>
      <c r="E468" s="2" t="s">
        <v>588</v>
      </c>
      <c r="F468" s="2" t="s">
        <v>584</v>
      </c>
      <c r="G468" s="2" t="s">
        <v>562</v>
      </c>
      <c r="H468" s="14" t="s">
        <v>464</v>
      </c>
      <c r="I468" s="65" t="s">
        <v>527</v>
      </c>
      <c r="J468" s="12" t="s">
        <v>551</v>
      </c>
      <c r="K468" s="2" t="s">
        <v>532</v>
      </c>
      <c r="L468" s="2" t="s">
        <v>608</v>
      </c>
      <c r="M468" s="2" t="s">
        <v>531</v>
      </c>
      <c r="N468" s="2" t="s">
        <v>531</v>
      </c>
      <c r="O468" s="2" t="s">
        <v>571</v>
      </c>
      <c r="P468" s="75" t="s">
        <v>573</v>
      </c>
      <c r="Q468" s="89" t="s">
        <v>498</v>
      </c>
      <c r="R468" s="110" t="s">
        <v>519</v>
      </c>
      <c r="S468" s="166">
        <v>400</v>
      </c>
      <c r="T468" s="166">
        <v>25</v>
      </c>
      <c r="U468" s="67" t="s">
        <v>0</v>
      </c>
      <c r="V468" s="165" t="s">
        <v>0</v>
      </c>
      <c r="W468" s="208">
        <v>395.06733332480081</v>
      </c>
      <c r="X468" s="165">
        <v>50</v>
      </c>
      <c r="Y468" s="195">
        <v>2</v>
      </c>
      <c r="Z468" s="208">
        <v>2.6864578666086457E-4</v>
      </c>
      <c r="AA468" s="264">
        <v>6.7161446665216142E-3</v>
      </c>
      <c r="AB468" s="208">
        <v>1.6779447684908239E-6</v>
      </c>
      <c r="AC468" s="201">
        <v>30.946940000000001</v>
      </c>
      <c r="AD468" s="201">
        <v>9.9699999999999997E-3</v>
      </c>
      <c r="AE468" s="265">
        <v>5.7559999999999998E-3</v>
      </c>
      <c r="AF468" s="208">
        <v>369.79148677188107</v>
      </c>
      <c r="AG468" s="206">
        <v>9244.7871692970257</v>
      </c>
      <c r="AH468" s="110" t="s">
        <v>659</v>
      </c>
      <c r="AI468" s="393" t="s">
        <v>640</v>
      </c>
    </row>
    <row r="469" spans="1:35" hidden="1" x14ac:dyDescent="0.3">
      <c r="A469" s="151">
        <v>45352</v>
      </c>
      <c r="B469" s="189">
        <v>468</v>
      </c>
      <c r="C469" s="11" t="s">
        <v>544</v>
      </c>
      <c r="D469" s="10" t="s">
        <v>552</v>
      </c>
      <c r="E469" s="2" t="s">
        <v>588</v>
      </c>
      <c r="F469" s="2" t="s">
        <v>584</v>
      </c>
      <c r="G469" s="2" t="s">
        <v>562</v>
      </c>
      <c r="H469" s="14" t="s">
        <v>465</v>
      </c>
      <c r="I469" s="65" t="s">
        <v>527</v>
      </c>
      <c r="J469" s="12" t="s">
        <v>551</v>
      </c>
      <c r="K469" s="2" t="s">
        <v>532</v>
      </c>
      <c r="L469" s="2" t="s">
        <v>608</v>
      </c>
      <c r="M469" s="2" t="s">
        <v>531</v>
      </c>
      <c r="N469" s="2" t="s">
        <v>531</v>
      </c>
      <c r="O469" s="2" t="s">
        <v>571</v>
      </c>
      <c r="P469" s="110" t="s">
        <v>573</v>
      </c>
      <c r="Q469" s="137" t="s">
        <v>499</v>
      </c>
      <c r="R469" s="110" t="s">
        <v>519</v>
      </c>
      <c r="S469" s="166">
        <v>400</v>
      </c>
      <c r="T469" s="166">
        <v>25</v>
      </c>
      <c r="U469" s="67" t="s">
        <v>0</v>
      </c>
      <c r="V469" s="165" t="s">
        <v>0</v>
      </c>
      <c r="W469" s="208">
        <v>327.36143431148184</v>
      </c>
      <c r="X469" s="165">
        <v>50</v>
      </c>
      <c r="Y469" s="195">
        <v>2</v>
      </c>
      <c r="Z469" s="208">
        <v>2.2260577533180764E-4</v>
      </c>
      <c r="AA469" s="264">
        <v>5.5651443832951909E-3</v>
      </c>
      <c r="AB469" s="208">
        <v>1.8194589733987083E-5</v>
      </c>
      <c r="AC469" s="201">
        <v>31.249970000000001</v>
      </c>
      <c r="AD469" s="201">
        <v>0.12759100000000001</v>
      </c>
      <c r="AE469" s="265">
        <v>7.3664999999999994E-2</v>
      </c>
      <c r="AF469" s="208">
        <v>306.41731496006463</v>
      </c>
      <c r="AG469" s="206">
        <v>7660.4328740016153</v>
      </c>
      <c r="AH469" s="110" t="s">
        <v>659</v>
      </c>
      <c r="AI469" s="393" t="s">
        <v>640</v>
      </c>
    </row>
    <row r="470" spans="1:35" hidden="1" x14ac:dyDescent="0.3">
      <c r="A470" s="151">
        <v>45352</v>
      </c>
      <c r="B470" s="188">
        <v>469</v>
      </c>
      <c r="C470" s="11" t="s">
        <v>544</v>
      </c>
      <c r="D470" s="10" t="s">
        <v>552</v>
      </c>
      <c r="E470" s="2" t="s">
        <v>588</v>
      </c>
      <c r="F470" s="2" t="s">
        <v>584</v>
      </c>
      <c r="G470" s="2" t="s">
        <v>562</v>
      </c>
      <c r="H470" s="14" t="s">
        <v>466</v>
      </c>
      <c r="I470" s="65" t="s">
        <v>527</v>
      </c>
      <c r="J470" s="12" t="s">
        <v>551</v>
      </c>
      <c r="K470" s="2" t="s">
        <v>532</v>
      </c>
      <c r="L470" s="2" t="s">
        <v>608</v>
      </c>
      <c r="M470" s="2" t="s">
        <v>531</v>
      </c>
      <c r="N470" s="2" t="s">
        <v>531</v>
      </c>
      <c r="O470" s="2" t="s">
        <v>571</v>
      </c>
      <c r="P470" s="75" t="s">
        <v>573</v>
      </c>
      <c r="Q470" s="89" t="s">
        <v>500</v>
      </c>
      <c r="R470" s="110" t="s">
        <v>519</v>
      </c>
      <c r="S470" s="166">
        <v>400</v>
      </c>
      <c r="T470" s="166">
        <v>25</v>
      </c>
      <c r="U470" s="67" t="s">
        <v>0</v>
      </c>
      <c r="V470" s="165" t="s">
        <v>0</v>
      </c>
      <c r="W470" s="208">
        <v>305.80097087631032</v>
      </c>
      <c r="X470" s="165">
        <v>50</v>
      </c>
      <c r="Y470" s="195">
        <v>2</v>
      </c>
      <c r="Z470" s="208">
        <v>2.0794466019589101E-4</v>
      </c>
      <c r="AA470" s="264">
        <v>5.1986165048972756E-3</v>
      </c>
      <c r="AB470" s="208">
        <v>1.8063417936270526E-6</v>
      </c>
      <c r="AC470" s="201">
        <v>31.355129999999999</v>
      </c>
      <c r="AD470" s="201">
        <v>1.3816999999999999E-2</v>
      </c>
      <c r="AE470" s="265">
        <v>7.9769999999999997E-3</v>
      </c>
      <c r="AF470" s="208">
        <v>286.23625933573635</v>
      </c>
      <c r="AG470" s="206">
        <v>7155.906483393409</v>
      </c>
      <c r="AH470" s="110" t="s">
        <v>659</v>
      </c>
      <c r="AI470" s="393" t="s">
        <v>640</v>
      </c>
    </row>
    <row r="471" spans="1:35" hidden="1" x14ac:dyDescent="0.3">
      <c r="A471" s="151">
        <v>45352</v>
      </c>
      <c r="B471" s="189">
        <v>470</v>
      </c>
      <c r="C471" s="11" t="s">
        <v>544</v>
      </c>
      <c r="D471" s="10" t="s">
        <v>552</v>
      </c>
      <c r="E471" s="2" t="s">
        <v>588</v>
      </c>
      <c r="F471" s="2" t="s">
        <v>584</v>
      </c>
      <c r="G471" s="2" t="s">
        <v>562</v>
      </c>
      <c r="H471" s="14" t="s">
        <v>467</v>
      </c>
      <c r="I471" s="65" t="s">
        <v>527</v>
      </c>
      <c r="J471" s="12" t="s">
        <v>551</v>
      </c>
      <c r="K471" s="2" t="s">
        <v>532</v>
      </c>
      <c r="L471" s="2" t="s">
        <v>608</v>
      </c>
      <c r="M471" s="2" t="s">
        <v>531</v>
      </c>
      <c r="N471" s="2" t="s">
        <v>531</v>
      </c>
      <c r="O471" s="2" t="s">
        <v>571</v>
      </c>
      <c r="P471" s="110" t="s">
        <v>573</v>
      </c>
      <c r="Q471" s="137" t="s">
        <v>501</v>
      </c>
      <c r="R471" s="110" t="s">
        <v>519</v>
      </c>
      <c r="S471" s="166">
        <v>400</v>
      </c>
      <c r="T471" s="166">
        <v>25</v>
      </c>
      <c r="U471" s="67" t="s">
        <v>0</v>
      </c>
      <c r="V471" s="165" t="s">
        <v>0</v>
      </c>
      <c r="W471" s="208">
        <v>298.54049094010759</v>
      </c>
      <c r="X471" s="165">
        <v>50</v>
      </c>
      <c r="Y471" s="195">
        <v>2</v>
      </c>
      <c r="Z471" s="208">
        <v>2.0300753383927316E-4</v>
      </c>
      <c r="AA471" s="264">
        <v>5.0751883459818287E-3</v>
      </c>
      <c r="AB471" s="208">
        <v>2.5100098340082321E-5</v>
      </c>
      <c r="AC471" s="201">
        <v>31.40136</v>
      </c>
      <c r="AD471" s="201">
        <v>0.194332</v>
      </c>
      <c r="AE471" s="265">
        <v>0.11219800000000001</v>
      </c>
      <c r="AF471" s="208">
        <v>279.44029458792846</v>
      </c>
      <c r="AG471" s="206">
        <v>6986.0073646982109</v>
      </c>
      <c r="AH471" s="110" t="s">
        <v>659</v>
      </c>
      <c r="AI471" s="393" t="s">
        <v>640</v>
      </c>
    </row>
    <row r="472" spans="1:35" hidden="1" x14ac:dyDescent="0.3">
      <c r="A472" s="151">
        <v>45352</v>
      </c>
      <c r="B472" s="189">
        <v>471</v>
      </c>
      <c r="C472" s="11" t="s">
        <v>544</v>
      </c>
      <c r="D472" s="10" t="s">
        <v>552</v>
      </c>
      <c r="E472" s="2" t="s">
        <v>588</v>
      </c>
      <c r="F472" s="2" t="s">
        <v>584</v>
      </c>
      <c r="G472" s="2" t="s">
        <v>562</v>
      </c>
      <c r="H472" s="14" t="s">
        <v>468</v>
      </c>
      <c r="I472" s="65" t="s">
        <v>527</v>
      </c>
      <c r="J472" s="12" t="s">
        <v>551</v>
      </c>
      <c r="K472" s="2" t="s">
        <v>532</v>
      </c>
      <c r="L472" s="2" t="s">
        <v>608</v>
      </c>
      <c r="M472" s="2" t="s">
        <v>531</v>
      </c>
      <c r="N472" s="2" t="s">
        <v>531</v>
      </c>
      <c r="O472" s="2" t="s">
        <v>571</v>
      </c>
      <c r="P472" s="75" t="s">
        <v>573</v>
      </c>
      <c r="Q472" s="89" t="s">
        <v>502</v>
      </c>
      <c r="R472" s="110" t="s">
        <v>519</v>
      </c>
      <c r="S472" s="166">
        <v>400</v>
      </c>
      <c r="T472" s="166">
        <v>25</v>
      </c>
      <c r="U472" s="67" t="s">
        <v>0</v>
      </c>
      <c r="V472" s="165" t="s">
        <v>0</v>
      </c>
      <c r="W472" s="208">
        <v>329.55992149639667</v>
      </c>
      <c r="X472" s="165">
        <v>50</v>
      </c>
      <c r="Y472" s="195">
        <v>2</v>
      </c>
      <c r="Z472" s="208">
        <v>2.2410074661754971E-4</v>
      </c>
      <c r="AA472" s="264">
        <v>5.6025186654387431E-3</v>
      </c>
      <c r="AB472" s="208">
        <v>2.8069805211321975E-5</v>
      </c>
      <c r="AC472" s="201">
        <v>31.243939999999998</v>
      </c>
      <c r="AD472" s="201">
        <v>0.19511899999999999</v>
      </c>
      <c r="AE472" s="265">
        <v>0.112652</v>
      </c>
      <c r="AF472" s="208">
        <v>308.47514605917553</v>
      </c>
      <c r="AG472" s="206">
        <v>7711.8786514793883</v>
      </c>
      <c r="AH472" s="110" t="s">
        <v>659</v>
      </c>
      <c r="AI472" s="393" t="s">
        <v>640</v>
      </c>
    </row>
    <row r="473" spans="1:35" hidden="1" x14ac:dyDescent="0.3">
      <c r="A473" s="151">
        <v>45352</v>
      </c>
      <c r="B473" s="189">
        <v>472</v>
      </c>
      <c r="C473" s="11" t="s">
        <v>544</v>
      </c>
      <c r="D473" s="10" t="s">
        <v>552</v>
      </c>
      <c r="E473" s="2" t="s">
        <v>588</v>
      </c>
      <c r="F473" s="2" t="s">
        <v>584</v>
      </c>
      <c r="G473" s="2" t="s">
        <v>562</v>
      </c>
      <c r="H473" s="14" t="s">
        <v>469</v>
      </c>
      <c r="I473" s="65" t="s">
        <v>527</v>
      </c>
      <c r="J473" s="12" t="s">
        <v>551</v>
      </c>
      <c r="K473" s="2" t="s">
        <v>532</v>
      </c>
      <c r="L473" s="2" t="s">
        <v>608</v>
      </c>
      <c r="M473" s="2" t="s">
        <v>531</v>
      </c>
      <c r="N473" s="2" t="s">
        <v>531</v>
      </c>
      <c r="O473" s="2" t="s">
        <v>571</v>
      </c>
      <c r="P473" s="110" t="s">
        <v>573</v>
      </c>
      <c r="Q473" s="137" t="s">
        <v>504</v>
      </c>
      <c r="R473" s="110" t="s">
        <v>519</v>
      </c>
      <c r="S473" s="166">
        <v>400</v>
      </c>
      <c r="T473" s="166">
        <v>25</v>
      </c>
      <c r="U473" s="67" t="s">
        <v>0</v>
      </c>
      <c r="V473" s="165" t="s">
        <v>0</v>
      </c>
      <c r="W473" s="208">
        <v>227.06400221517384</v>
      </c>
      <c r="X473" s="165">
        <v>50</v>
      </c>
      <c r="Y473" s="195">
        <v>2</v>
      </c>
      <c r="Z473" s="208">
        <v>1.544035215063182E-4</v>
      </c>
      <c r="AA473" s="264">
        <v>3.8600880376579551E-3</v>
      </c>
      <c r="AB473" s="208">
        <v>1.6463968804128465E-5</v>
      </c>
      <c r="AC473" s="201">
        <v>31.8355</v>
      </c>
      <c r="AD473" s="201">
        <v>0.168547</v>
      </c>
      <c r="AE473" s="265">
        <v>9.7310999999999995E-2</v>
      </c>
      <c r="AF473" s="208">
        <v>212.5367700358326</v>
      </c>
      <c r="AG473" s="206">
        <v>5313.4192508958149</v>
      </c>
      <c r="AH473" s="110" t="s">
        <v>659</v>
      </c>
      <c r="AI473" s="393" t="s">
        <v>640</v>
      </c>
    </row>
    <row r="474" spans="1:35" hidden="1" x14ac:dyDescent="0.3">
      <c r="A474" s="151">
        <v>45352</v>
      </c>
      <c r="B474" s="189">
        <v>473</v>
      </c>
      <c r="C474" s="11" t="s">
        <v>544</v>
      </c>
      <c r="D474" s="10" t="s">
        <v>552</v>
      </c>
      <c r="E474" s="2" t="s">
        <v>588</v>
      </c>
      <c r="F474" s="2" t="s">
        <v>584</v>
      </c>
      <c r="G474" s="2" t="s">
        <v>562</v>
      </c>
      <c r="H474" s="14" t="s">
        <v>470</v>
      </c>
      <c r="I474" s="65" t="s">
        <v>527</v>
      </c>
      <c r="J474" s="12" t="s">
        <v>551</v>
      </c>
      <c r="K474" s="2" t="s">
        <v>532</v>
      </c>
      <c r="L474" s="2" t="s">
        <v>608</v>
      </c>
      <c r="M474" s="2" t="s">
        <v>531</v>
      </c>
      <c r="N474" s="2" t="s">
        <v>531</v>
      </c>
      <c r="O474" s="2" t="s">
        <v>571</v>
      </c>
      <c r="P474" s="75" t="s">
        <v>573</v>
      </c>
      <c r="Q474" s="89" t="s">
        <v>505</v>
      </c>
      <c r="R474" s="110" t="s">
        <v>519</v>
      </c>
      <c r="S474" s="166">
        <v>400</v>
      </c>
      <c r="T474" s="166">
        <v>25</v>
      </c>
      <c r="U474" s="67" t="s">
        <v>0</v>
      </c>
      <c r="V474" s="165" t="s">
        <v>0</v>
      </c>
      <c r="W474" s="208">
        <v>386.05435845265242</v>
      </c>
      <c r="X474" s="165">
        <v>50</v>
      </c>
      <c r="Y474" s="195">
        <v>2</v>
      </c>
      <c r="Z474" s="208">
        <v>2.6251696374780364E-4</v>
      </c>
      <c r="AA474" s="264">
        <v>6.5629240936950911E-3</v>
      </c>
      <c r="AB474" s="208">
        <v>6.3317741666433635E-5</v>
      </c>
      <c r="AC474" s="220">
        <v>30.4817</v>
      </c>
      <c r="AD474" s="201">
        <v>0.40468700000000002</v>
      </c>
      <c r="AE474" s="265">
        <v>0.23364599999999999</v>
      </c>
      <c r="AF474" s="208">
        <v>361.35514922364541</v>
      </c>
      <c r="AG474" s="206">
        <v>9033.8787305911337</v>
      </c>
      <c r="AH474" s="110" t="s">
        <v>659</v>
      </c>
      <c r="AI474" s="393" t="s">
        <v>640</v>
      </c>
    </row>
    <row r="475" spans="1:35" hidden="1" x14ac:dyDescent="0.3">
      <c r="A475" s="151">
        <v>45352</v>
      </c>
      <c r="B475" s="189">
        <v>474</v>
      </c>
      <c r="C475" s="11" t="s">
        <v>544</v>
      </c>
      <c r="D475" s="10" t="s">
        <v>552</v>
      </c>
      <c r="E475" s="2" t="s">
        <v>588</v>
      </c>
      <c r="F475" s="2" t="s">
        <v>584</v>
      </c>
      <c r="G475" s="2" t="s">
        <v>562</v>
      </c>
      <c r="H475" s="14" t="s">
        <v>471</v>
      </c>
      <c r="I475" s="65" t="s">
        <v>527</v>
      </c>
      <c r="J475" s="12" t="s">
        <v>551</v>
      </c>
      <c r="K475" s="2" t="s">
        <v>532</v>
      </c>
      <c r="L475" s="2" t="s">
        <v>608</v>
      </c>
      <c r="M475" s="2" t="s">
        <v>531</v>
      </c>
      <c r="N475" s="2" t="s">
        <v>531</v>
      </c>
      <c r="O475" s="2" t="s">
        <v>571</v>
      </c>
      <c r="P475" s="110" t="s">
        <v>573</v>
      </c>
      <c r="Q475" s="137" t="s">
        <v>506</v>
      </c>
      <c r="R475" s="110" t="s">
        <v>519</v>
      </c>
      <c r="S475" s="166">
        <v>400</v>
      </c>
      <c r="T475" s="166">
        <v>25</v>
      </c>
      <c r="U475" s="67" t="s">
        <v>0</v>
      </c>
      <c r="V475" s="165" t="s">
        <v>0</v>
      </c>
      <c r="W475" s="208">
        <v>348.33859967471011</v>
      </c>
      <c r="X475" s="165">
        <v>50</v>
      </c>
      <c r="Y475" s="195">
        <v>2</v>
      </c>
      <c r="Z475" s="208">
        <v>2.3687024777880287E-4</v>
      </c>
      <c r="AA475" s="264">
        <v>5.9217561944700722E-3</v>
      </c>
      <c r="AB475" s="208">
        <v>3.8156477787823084E-5</v>
      </c>
      <c r="AC475" s="201">
        <v>30.629490000000001</v>
      </c>
      <c r="AD475" s="201">
        <v>0.25237199999999999</v>
      </c>
      <c r="AE475" s="265">
        <v>0.145707</v>
      </c>
      <c r="AF475" s="208">
        <v>326.05239109416334</v>
      </c>
      <c r="AG475" s="206">
        <v>8151.3097773540831</v>
      </c>
      <c r="AH475" s="110" t="s">
        <v>659</v>
      </c>
      <c r="AI475" s="393" t="s">
        <v>640</v>
      </c>
    </row>
    <row r="476" spans="1:35" hidden="1" x14ac:dyDescent="0.3">
      <c r="A476" s="151">
        <v>45352</v>
      </c>
      <c r="B476" s="189">
        <v>475</v>
      </c>
      <c r="C476" s="11" t="s">
        <v>544</v>
      </c>
      <c r="D476" s="10" t="s">
        <v>552</v>
      </c>
      <c r="E476" s="2" t="s">
        <v>588</v>
      </c>
      <c r="F476" s="2" t="s">
        <v>584</v>
      </c>
      <c r="G476" s="2" t="s">
        <v>562</v>
      </c>
      <c r="H476" s="14" t="s">
        <v>472</v>
      </c>
      <c r="I476" s="65" t="s">
        <v>527</v>
      </c>
      <c r="J476" s="12" t="s">
        <v>551</v>
      </c>
      <c r="K476" s="2" t="s">
        <v>532</v>
      </c>
      <c r="L476" s="2" t="s">
        <v>608</v>
      </c>
      <c r="M476" s="2" t="s">
        <v>531</v>
      </c>
      <c r="N476" s="2" t="s">
        <v>531</v>
      </c>
      <c r="O476" s="2" t="s">
        <v>571</v>
      </c>
      <c r="P476" s="75" t="s">
        <v>573</v>
      </c>
      <c r="Q476" s="89" t="s">
        <v>507</v>
      </c>
      <c r="R476" s="110" t="s">
        <v>519</v>
      </c>
      <c r="S476" s="166">
        <v>400</v>
      </c>
      <c r="T476" s="166">
        <v>25</v>
      </c>
      <c r="U476" s="67" t="s">
        <v>0</v>
      </c>
      <c r="V476" s="165" t="s">
        <v>0</v>
      </c>
      <c r="W476" s="208">
        <v>222.60799916790538</v>
      </c>
      <c r="X476" s="165">
        <v>50</v>
      </c>
      <c r="Y476" s="195">
        <v>2</v>
      </c>
      <c r="Z476" s="208">
        <v>1.5137343943417565E-4</v>
      </c>
      <c r="AA476" s="264">
        <v>3.7843359858543914E-3</v>
      </c>
      <c r="AB476" s="208">
        <v>3.973433207544096E-5</v>
      </c>
      <c r="AC476" s="201">
        <v>31.380849999999999</v>
      </c>
      <c r="AD476" s="201">
        <v>0.41689100000000001</v>
      </c>
      <c r="AE476" s="265">
        <v>0.24069199999999999</v>
      </c>
      <c r="AF476" s="208">
        <v>208.36585573106845</v>
      </c>
      <c r="AG476" s="206">
        <v>5209.1463932767119</v>
      </c>
      <c r="AH476" s="110" t="s">
        <v>659</v>
      </c>
      <c r="AI476" s="393" t="s">
        <v>640</v>
      </c>
    </row>
    <row r="477" spans="1:35" hidden="1" x14ac:dyDescent="0.3">
      <c r="A477" s="151">
        <v>45352</v>
      </c>
      <c r="B477" s="189">
        <v>476</v>
      </c>
      <c r="C477" s="11" t="s">
        <v>544</v>
      </c>
      <c r="D477" s="10" t="s">
        <v>552</v>
      </c>
      <c r="E477" s="2" t="s">
        <v>588</v>
      </c>
      <c r="F477" s="2" t="s">
        <v>584</v>
      </c>
      <c r="G477" s="2" t="s">
        <v>562</v>
      </c>
      <c r="H477" s="14" t="s">
        <v>473</v>
      </c>
      <c r="I477" s="65" t="s">
        <v>527</v>
      </c>
      <c r="J477" s="12" t="s">
        <v>551</v>
      </c>
      <c r="K477" s="2" t="s">
        <v>532</v>
      </c>
      <c r="L477" s="2" t="s">
        <v>608</v>
      </c>
      <c r="M477" s="2" t="s">
        <v>531</v>
      </c>
      <c r="N477" s="2" t="s">
        <v>531</v>
      </c>
      <c r="O477" s="2" t="s">
        <v>571</v>
      </c>
      <c r="P477" s="110" t="s">
        <v>573</v>
      </c>
      <c r="Q477" s="137" t="s">
        <v>508</v>
      </c>
      <c r="R477" s="110" t="s">
        <v>519</v>
      </c>
      <c r="S477" s="166">
        <v>400</v>
      </c>
      <c r="T477" s="166">
        <v>25</v>
      </c>
      <c r="U477" s="67" t="s">
        <v>0</v>
      </c>
      <c r="V477" s="165" t="s">
        <v>0</v>
      </c>
      <c r="W477" s="208">
        <v>269.00719067177101</v>
      </c>
      <c r="X477" s="165">
        <v>50</v>
      </c>
      <c r="Y477" s="195">
        <v>2</v>
      </c>
      <c r="Z477" s="208">
        <v>1.8292488965680428E-4</v>
      </c>
      <c r="AA477" s="264">
        <v>4.5731222414201068E-3</v>
      </c>
      <c r="AB477" s="208">
        <v>6.6954048183695501E-6</v>
      </c>
      <c r="AC477" s="201">
        <v>31.037310000000002</v>
      </c>
      <c r="AD477" s="201">
        <v>5.9070999999999999E-2</v>
      </c>
      <c r="AE477" s="265">
        <v>3.4104000000000002E-2</v>
      </c>
      <c r="AF477" s="208">
        <v>251.79649290076173</v>
      </c>
      <c r="AG477" s="206">
        <v>6294.9123225190442</v>
      </c>
      <c r="AH477" s="110" t="s">
        <v>659</v>
      </c>
      <c r="AI477" s="393" t="s">
        <v>640</v>
      </c>
    </row>
    <row r="478" spans="1:35" hidden="1" x14ac:dyDescent="0.3">
      <c r="A478" s="151">
        <v>45352</v>
      </c>
      <c r="B478" s="189">
        <v>477</v>
      </c>
      <c r="C478" s="11" t="s">
        <v>544</v>
      </c>
      <c r="D478" s="10" t="s">
        <v>552</v>
      </c>
      <c r="E478" s="2" t="s">
        <v>588</v>
      </c>
      <c r="F478" s="2" t="s">
        <v>584</v>
      </c>
      <c r="G478" s="2" t="s">
        <v>562</v>
      </c>
      <c r="H478" s="14" t="s">
        <v>474</v>
      </c>
      <c r="I478" s="65" t="s">
        <v>527</v>
      </c>
      <c r="J478" s="12" t="s">
        <v>551</v>
      </c>
      <c r="K478" s="2" t="s">
        <v>532</v>
      </c>
      <c r="L478" s="2" t="s">
        <v>608</v>
      </c>
      <c r="M478" s="2" t="s">
        <v>531</v>
      </c>
      <c r="N478" s="2" t="s">
        <v>531</v>
      </c>
      <c r="O478" s="2" t="s">
        <v>571</v>
      </c>
      <c r="P478" s="75" t="s">
        <v>573</v>
      </c>
      <c r="Q478" s="89" t="s">
        <v>509</v>
      </c>
      <c r="R478" s="110" t="s">
        <v>519</v>
      </c>
      <c r="S478" s="166">
        <v>400</v>
      </c>
      <c r="T478" s="166">
        <v>25</v>
      </c>
      <c r="U478" s="67" t="s">
        <v>0</v>
      </c>
      <c r="V478" s="165" t="s">
        <v>0</v>
      </c>
      <c r="W478" s="208">
        <v>225.14864718238016</v>
      </c>
      <c r="X478" s="165">
        <v>50</v>
      </c>
      <c r="Y478" s="195">
        <v>2</v>
      </c>
      <c r="Z478" s="208">
        <v>1.5310108008401851E-4</v>
      </c>
      <c r="AA478" s="264">
        <v>3.8275270021004629E-3</v>
      </c>
      <c r="AB478" s="208">
        <v>1.3953609250831676E-5</v>
      </c>
      <c r="AC478" s="201">
        <v>31.33071</v>
      </c>
      <c r="AD478" s="201">
        <v>0.14901600000000001</v>
      </c>
      <c r="AE478" s="265">
        <v>8.6035E-2</v>
      </c>
      <c r="AF478" s="208">
        <v>210.74395669611141</v>
      </c>
      <c r="AG478" s="206">
        <v>5268.5989174027864</v>
      </c>
      <c r="AH478" s="110" t="s">
        <v>659</v>
      </c>
      <c r="AI478" s="393" t="s">
        <v>640</v>
      </c>
    </row>
    <row r="479" spans="1:35" hidden="1" x14ac:dyDescent="0.3">
      <c r="A479" s="151">
        <v>45352</v>
      </c>
      <c r="B479" s="189">
        <v>478</v>
      </c>
      <c r="C479" s="11" t="s">
        <v>544</v>
      </c>
      <c r="D479" s="10" t="s">
        <v>552</v>
      </c>
      <c r="E479" s="2" t="s">
        <v>588</v>
      </c>
      <c r="F479" s="2" t="s">
        <v>584</v>
      </c>
      <c r="G479" s="2" t="s">
        <v>562</v>
      </c>
      <c r="H479" s="14" t="s">
        <v>475</v>
      </c>
      <c r="I479" s="65" t="s">
        <v>527</v>
      </c>
      <c r="J479" s="12" t="s">
        <v>551</v>
      </c>
      <c r="K479" s="2" t="s">
        <v>532</v>
      </c>
      <c r="L479" s="2" t="s">
        <v>608</v>
      </c>
      <c r="M479" s="2" t="s">
        <v>531</v>
      </c>
      <c r="N479" s="2" t="s">
        <v>531</v>
      </c>
      <c r="O479" s="2" t="s">
        <v>571</v>
      </c>
      <c r="P479" s="110" t="s">
        <v>573</v>
      </c>
      <c r="Q479" s="137" t="s">
        <v>510</v>
      </c>
      <c r="R479" s="110" t="s">
        <v>519</v>
      </c>
      <c r="S479" s="166">
        <v>400</v>
      </c>
      <c r="T479" s="166">
        <v>25</v>
      </c>
      <c r="U479" s="67" t="s">
        <v>0</v>
      </c>
      <c r="V479" s="165" t="s">
        <v>0</v>
      </c>
      <c r="W479" s="208">
        <v>220.20620710797701</v>
      </c>
      <c r="X479" s="165">
        <v>50</v>
      </c>
      <c r="Y479" s="195">
        <v>2</v>
      </c>
      <c r="Z479" s="208">
        <v>1.4974022083342437E-4</v>
      </c>
      <c r="AA479" s="264">
        <v>3.7435055208356093E-3</v>
      </c>
      <c r="AB479" s="208">
        <v>8.8067744413996166E-6</v>
      </c>
      <c r="AC479" s="201">
        <v>31.364139999999999</v>
      </c>
      <c r="AD479" s="201">
        <v>9.4548999999999994E-2</v>
      </c>
      <c r="AE479" s="265">
        <v>5.4587999999999998E-2</v>
      </c>
      <c r="AF479" s="208">
        <v>206.11772691392932</v>
      </c>
      <c r="AG479" s="206">
        <v>5152.9431728482332</v>
      </c>
      <c r="AH479" s="110" t="s">
        <v>659</v>
      </c>
      <c r="AI479" s="393" t="s">
        <v>640</v>
      </c>
    </row>
    <row r="480" spans="1:35" hidden="1" x14ac:dyDescent="0.3">
      <c r="A480" s="151">
        <v>45352</v>
      </c>
      <c r="B480" s="189">
        <v>479</v>
      </c>
      <c r="C480" s="11" t="s">
        <v>544</v>
      </c>
      <c r="D480" s="10" t="s">
        <v>552</v>
      </c>
      <c r="E480" s="2" t="s">
        <v>588</v>
      </c>
      <c r="F480" s="2" t="s">
        <v>584</v>
      </c>
      <c r="G480" s="2" t="s">
        <v>562</v>
      </c>
      <c r="H480" s="14" t="s">
        <v>476</v>
      </c>
      <c r="I480" s="65" t="s">
        <v>527</v>
      </c>
      <c r="J480" s="12" t="s">
        <v>551</v>
      </c>
      <c r="K480" s="2" t="s">
        <v>532</v>
      </c>
      <c r="L480" s="2" t="s">
        <v>608</v>
      </c>
      <c r="M480" s="2" t="s">
        <v>531</v>
      </c>
      <c r="N480" s="2" t="s">
        <v>531</v>
      </c>
      <c r="O480" s="2" t="s">
        <v>571</v>
      </c>
      <c r="P480" s="75" t="s">
        <v>573</v>
      </c>
      <c r="Q480" s="89" t="s">
        <v>511</v>
      </c>
      <c r="R480" s="110" t="s">
        <v>519</v>
      </c>
      <c r="S480" s="166">
        <v>400</v>
      </c>
      <c r="T480" s="166">
        <v>25</v>
      </c>
      <c r="U480" s="67" t="s">
        <v>0</v>
      </c>
      <c r="V480" s="165" t="s">
        <v>0</v>
      </c>
      <c r="W480" s="208">
        <v>350.38151881147053</v>
      </c>
      <c r="X480" s="165">
        <v>50</v>
      </c>
      <c r="Y480" s="195">
        <v>2</v>
      </c>
      <c r="Z480" s="208">
        <v>2.3825943279179998E-4</v>
      </c>
      <c r="AA480" s="264">
        <v>5.9564858197949993E-3</v>
      </c>
      <c r="AB480" s="208">
        <v>3.8862467840976756E-5</v>
      </c>
      <c r="AC480" s="201">
        <v>30.621600000000001</v>
      </c>
      <c r="AD480" s="201">
        <v>0.27345599999999998</v>
      </c>
      <c r="AE480" s="265">
        <v>0.15787999999999999</v>
      </c>
      <c r="AF480" s="208">
        <v>327.96460716776176</v>
      </c>
      <c r="AG480" s="206">
        <v>8199.1151791940447</v>
      </c>
      <c r="AH480" s="110" t="s">
        <v>659</v>
      </c>
      <c r="AI480" s="393" t="s">
        <v>640</v>
      </c>
    </row>
    <row r="481" spans="1:35" hidden="1" x14ac:dyDescent="0.3">
      <c r="A481" s="151">
        <v>45352</v>
      </c>
      <c r="B481" s="189">
        <v>480</v>
      </c>
      <c r="C481" s="11" t="s">
        <v>544</v>
      </c>
      <c r="D481" s="10" t="s">
        <v>552</v>
      </c>
      <c r="E481" s="2" t="s">
        <v>588</v>
      </c>
      <c r="F481" s="2" t="s">
        <v>584</v>
      </c>
      <c r="G481" s="2" t="s">
        <v>562</v>
      </c>
      <c r="H481" s="14" t="s">
        <v>477</v>
      </c>
      <c r="I481" s="65" t="s">
        <v>527</v>
      </c>
      <c r="J481" s="12" t="s">
        <v>551</v>
      </c>
      <c r="K481" s="2" t="s">
        <v>532</v>
      </c>
      <c r="L481" s="2" t="s">
        <v>608</v>
      </c>
      <c r="M481" s="2" t="s">
        <v>531</v>
      </c>
      <c r="N481" s="2" t="s">
        <v>531</v>
      </c>
      <c r="O481" s="2" t="s">
        <v>571</v>
      </c>
      <c r="P481" s="110" t="s">
        <v>573</v>
      </c>
      <c r="Q481" s="137" t="s">
        <v>512</v>
      </c>
      <c r="R481" s="110" t="s">
        <v>519</v>
      </c>
      <c r="S481" s="166">
        <v>400</v>
      </c>
      <c r="T481" s="166">
        <v>25</v>
      </c>
      <c r="U481" s="67" t="s">
        <v>0</v>
      </c>
      <c r="V481" s="165" t="s">
        <v>0</v>
      </c>
      <c r="W481" s="208">
        <v>372.10429067525558</v>
      </c>
      <c r="X481" s="165">
        <v>50</v>
      </c>
      <c r="Y481" s="195">
        <v>2</v>
      </c>
      <c r="Z481" s="208">
        <v>2.5303091765917381E-4</v>
      </c>
      <c r="AA481" s="264">
        <v>6.3257729414793453E-3</v>
      </c>
      <c r="AB481" s="208">
        <v>3.4340270444981839E-5</v>
      </c>
      <c r="AC481" s="201">
        <v>30.51857</v>
      </c>
      <c r="AD481" s="201">
        <v>0.21862599999999999</v>
      </c>
      <c r="AE481" s="265">
        <v>0.126224</v>
      </c>
      <c r="AF481" s="208">
        <v>348.29758695809869</v>
      </c>
      <c r="AG481" s="206">
        <v>8707.4396739524673</v>
      </c>
      <c r="AH481" s="110" t="s">
        <v>659</v>
      </c>
      <c r="AI481" s="393" t="s">
        <v>640</v>
      </c>
    </row>
    <row r="482" spans="1:35" hidden="1" x14ac:dyDescent="0.3">
      <c r="A482" s="151">
        <v>45352</v>
      </c>
      <c r="B482" s="189">
        <v>481</v>
      </c>
      <c r="C482" s="11" t="s">
        <v>544</v>
      </c>
      <c r="D482" s="10" t="s">
        <v>552</v>
      </c>
      <c r="E482" s="2" t="s">
        <v>588</v>
      </c>
      <c r="F482" s="2" t="s">
        <v>584</v>
      </c>
      <c r="G482" s="2" t="s">
        <v>562</v>
      </c>
      <c r="H482" s="14" t="s">
        <v>478</v>
      </c>
      <c r="I482" s="2" t="s">
        <v>526</v>
      </c>
      <c r="J482" s="15" t="s">
        <v>550</v>
      </c>
      <c r="K482" s="2" t="s">
        <v>531</v>
      </c>
      <c r="L482" s="2" t="s">
        <v>535</v>
      </c>
      <c r="M482" s="2" t="s">
        <v>531</v>
      </c>
      <c r="N482" s="2" t="s">
        <v>532</v>
      </c>
      <c r="O482" s="2" t="s">
        <v>571</v>
      </c>
      <c r="P482" s="75" t="s">
        <v>573</v>
      </c>
      <c r="Q482" s="67" t="s">
        <v>0</v>
      </c>
      <c r="R482" s="110" t="s">
        <v>519</v>
      </c>
      <c r="S482" s="166">
        <v>400</v>
      </c>
      <c r="T482" s="166" t="s">
        <v>0</v>
      </c>
      <c r="U482" s="67" t="s">
        <v>0</v>
      </c>
      <c r="V482" s="165" t="s">
        <v>0</v>
      </c>
      <c r="W482" s="208">
        <v>10.787072402530182</v>
      </c>
      <c r="X482" s="165">
        <v>50</v>
      </c>
      <c r="Y482" s="195">
        <v>2</v>
      </c>
      <c r="Z482" s="208">
        <v>7.3352092337205239E-6</v>
      </c>
      <c r="AA482" s="266">
        <v>1.833802308430131E-4</v>
      </c>
      <c r="AB482" s="208">
        <v>3.2535945718547451E-6</v>
      </c>
      <c r="AC482" s="201">
        <v>36.779789953246159</v>
      </c>
      <c r="AD482" s="201">
        <v>0.65271548737163709</v>
      </c>
      <c r="AE482" s="265">
        <v>0.3768454623382525</v>
      </c>
      <c r="AF482" s="208">
        <v>10.096930839807177</v>
      </c>
      <c r="AG482" s="1">
        <v>252.42327099517942</v>
      </c>
      <c r="AH482" s="110">
        <v>2</v>
      </c>
      <c r="AI482" s="393" t="s">
        <v>610</v>
      </c>
    </row>
    <row r="483" spans="1:35" hidden="1" x14ac:dyDescent="0.3">
      <c r="A483" s="151">
        <v>45352</v>
      </c>
      <c r="B483" s="188">
        <v>482</v>
      </c>
      <c r="C483" s="11" t="s">
        <v>544</v>
      </c>
      <c r="D483" s="10" t="s">
        <v>552</v>
      </c>
      <c r="E483" s="2" t="s">
        <v>588</v>
      </c>
      <c r="F483" s="2" t="s">
        <v>584</v>
      </c>
      <c r="G483" s="2" t="s">
        <v>562</v>
      </c>
      <c r="H483" s="14" t="s">
        <v>479</v>
      </c>
      <c r="I483" s="2" t="s">
        <v>529</v>
      </c>
      <c r="J483" s="15" t="s">
        <v>550</v>
      </c>
      <c r="K483" s="2" t="s">
        <v>531</v>
      </c>
      <c r="L483" s="2" t="s">
        <v>538</v>
      </c>
      <c r="M483" s="2" t="s">
        <v>531</v>
      </c>
      <c r="N483" s="2" t="s">
        <v>532</v>
      </c>
      <c r="O483" s="2" t="s">
        <v>571</v>
      </c>
      <c r="P483" s="110" t="s">
        <v>573</v>
      </c>
      <c r="Q483" s="67" t="s">
        <v>0</v>
      </c>
      <c r="R483" s="110" t="s">
        <v>519</v>
      </c>
      <c r="S483" s="166">
        <v>400</v>
      </c>
      <c r="T483" s="166" t="s">
        <v>0</v>
      </c>
      <c r="U483" s="67" t="s">
        <v>0</v>
      </c>
      <c r="V483" s="165" t="s">
        <v>0</v>
      </c>
      <c r="W483" s="208" t="s">
        <v>0</v>
      </c>
      <c r="X483" s="165">
        <v>50</v>
      </c>
      <c r="Y483" s="195">
        <v>2</v>
      </c>
      <c r="Z483" s="293" t="s">
        <v>0</v>
      </c>
      <c r="AA483" s="299" t="s">
        <v>0</v>
      </c>
      <c r="AB483" s="293" t="s">
        <v>0</v>
      </c>
      <c r="AC483" s="201">
        <v>37.143095204647921</v>
      </c>
      <c r="AD483" s="201">
        <v>0.30639523945466213</v>
      </c>
      <c r="AE483" s="265">
        <v>0.21665415154166759</v>
      </c>
      <c r="AF483" s="293" t="s">
        <v>0</v>
      </c>
      <c r="AG483" s="381" t="s">
        <v>0</v>
      </c>
      <c r="AH483" s="400"/>
      <c r="AI483" s="393"/>
    </row>
    <row r="484" spans="1:35" hidden="1" x14ac:dyDescent="0.3">
      <c r="A484" s="151">
        <v>45352</v>
      </c>
      <c r="B484" s="189">
        <v>483</v>
      </c>
      <c r="C484" s="11" t="s">
        <v>544</v>
      </c>
      <c r="D484" s="10" t="s">
        <v>552</v>
      </c>
      <c r="E484" s="2" t="s">
        <v>588</v>
      </c>
      <c r="F484" s="2" t="s">
        <v>584</v>
      </c>
      <c r="G484" s="2" t="s">
        <v>562</v>
      </c>
      <c r="H484" s="14" t="s">
        <v>480</v>
      </c>
      <c r="I484" s="2" t="s">
        <v>528</v>
      </c>
      <c r="J484" s="15" t="s">
        <v>550</v>
      </c>
      <c r="K484" s="2" t="s">
        <v>531</v>
      </c>
      <c r="L484" s="2" t="s">
        <v>534</v>
      </c>
      <c r="M484" s="2" t="s">
        <v>531</v>
      </c>
      <c r="N484" s="2" t="s">
        <v>531</v>
      </c>
      <c r="O484" s="2" t="s">
        <v>571</v>
      </c>
      <c r="P484" s="75" t="s">
        <v>573</v>
      </c>
      <c r="Q484" s="67" t="s">
        <v>0</v>
      </c>
      <c r="R484" s="110" t="s">
        <v>519</v>
      </c>
      <c r="S484" s="166">
        <v>400</v>
      </c>
      <c r="T484" s="166" t="s">
        <v>0</v>
      </c>
      <c r="U484" s="67" t="s">
        <v>0</v>
      </c>
      <c r="V484" s="165" t="s">
        <v>0</v>
      </c>
      <c r="W484" s="208" t="s">
        <v>0</v>
      </c>
      <c r="X484" s="165">
        <v>50</v>
      </c>
      <c r="Y484" s="195">
        <v>2</v>
      </c>
      <c r="Z484" s="300" t="s">
        <v>0</v>
      </c>
      <c r="AA484" s="301" t="s">
        <v>0</v>
      </c>
      <c r="AB484" s="302" t="s">
        <v>0</v>
      </c>
      <c r="AC484" s="204">
        <v>36.294112547781587</v>
      </c>
      <c r="AD484" s="204">
        <v>0.86760953746344016</v>
      </c>
      <c r="AE484" s="291">
        <v>0.61349258736252243</v>
      </c>
      <c r="AF484" s="302" t="s">
        <v>0</v>
      </c>
      <c r="AG484" s="381" t="s">
        <v>0</v>
      </c>
      <c r="AH484" s="400"/>
      <c r="AI484" s="394"/>
    </row>
    <row r="485" spans="1:35" hidden="1" x14ac:dyDescent="0.3">
      <c r="A485" s="151">
        <v>45352</v>
      </c>
      <c r="B485" s="189">
        <v>484</v>
      </c>
      <c r="C485" s="11" t="s">
        <v>544</v>
      </c>
      <c r="D485" s="10" t="s">
        <v>552</v>
      </c>
      <c r="E485" s="2" t="s">
        <v>588</v>
      </c>
      <c r="F485" s="2" t="s">
        <v>584</v>
      </c>
      <c r="G485" s="2" t="s">
        <v>562</v>
      </c>
      <c r="H485" s="14" t="s">
        <v>481</v>
      </c>
      <c r="I485" s="2" t="s">
        <v>520</v>
      </c>
      <c r="J485" s="9" t="s">
        <v>0</v>
      </c>
      <c r="K485" s="2" t="s">
        <v>531</v>
      </c>
      <c r="L485" s="2" t="s">
        <v>530</v>
      </c>
      <c r="M485" s="2" t="s">
        <v>531</v>
      </c>
      <c r="N485" s="2" t="s">
        <v>532</v>
      </c>
      <c r="O485" s="2" t="s">
        <v>571</v>
      </c>
      <c r="P485" s="110" t="s">
        <v>573</v>
      </c>
      <c r="Q485" s="67" t="s">
        <v>0</v>
      </c>
      <c r="R485" s="110" t="s">
        <v>519</v>
      </c>
      <c r="S485" s="166">
        <v>400</v>
      </c>
      <c r="T485" s="166" t="s">
        <v>0</v>
      </c>
      <c r="U485" s="67" t="s">
        <v>0</v>
      </c>
      <c r="V485" s="165" t="s">
        <v>0</v>
      </c>
      <c r="W485" s="208" t="s">
        <v>0</v>
      </c>
      <c r="X485" s="165">
        <v>50</v>
      </c>
      <c r="Y485" s="195">
        <v>2</v>
      </c>
      <c r="Z485" s="293" t="s">
        <v>0</v>
      </c>
      <c r="AA485" s="299" t="s">
        <v>0</v>
      </c>
      <c r="AB485" s="293" t="s">
        <v>0</v>
      </c>
      <c r="AC485" s="201">
        <v>37.608339828902075</v>
      </c>
      <c r="AD485" s="201">
        <v>0.12429180276296622</v>
      </c>
      <c r="AE485" s="265">
        <v>8.788757657959427E-2</v>
      </c>
      <c r="AF485" s="293" t="s">
        <v>0</v>
      </c>
      <c r="AG485" s="381" t="s">
        <v>0</v>
      </c>
      <c r="AH485" s="400">
        <v>2</v>
      </c>
      <c r="AI485" s="393" t="s">
        <v>619</v>
      </c>
    </row>
    <row r="486" spans="1:35" hidden="1" x14ac:dyDescent="0.3">
      <c r="A486" s="151">
        <v>45352</v>
      </c>
      <c r="B486" s="189">
        <v>485</v>
      </c>
      <c r="C486" s="11" t="s">
        <v>544</v>
      </c>
      <c r="D486" s="10" t="s">
        <v>552</v>
      </c>
      <c r="E486" s="2" t="s">
        <v>588</v>
      </c>
      <c r="F486" s="2" t="s">
        <v>584</v>
      </c>
      <c r="G486" s="2" t="s">
        <v>562</v>
      </c>
      <c r="H486" s="14" t="s">
        <v>482</v>
      </c>
      <c r="I486" s="2" t="s">
        <v>517</v>
      </c>
      <c r="J486" s="9" t="s">
        <v>0</v>
      </c>
      <c r="K486" s="2" t="s">
        <v>531</v>
      </c>
      <c r="L486" s="2" t="s">
        <v>593</v>
      </c>
      <c r="M486" s="2" t="s">
        <v>531</v>
      </c>
      <c r="N486" s="2" t="s">
        <v>532</v>
      </c>
      <c r="O486" s="2" t="s">
        <v>571</v>
      </c>
      <c r="P486" s="75" t="s">
        <v>573</v>
      </c>
      <c r="Q486" s="67" t="s">
        <v>0</v>
      </c>
      <c r="R486" s="110" t="s">
        <v>519</v>
      </c>
      <c r="S486" s="166">
        <v>400</v>
      </c>
      <c r="T486" s="166" t="s">
        <v>0</v>
      </c>
      <c r="U486" s="67" t="s">
        <v>576</v>
      </c>
      <c r="V486" s="360">
        <v>200000</v>
      </c>
      <c r="W486" s="208">
        <v>353271.7903026017</v>
      </c>
      <c r="X486" s="165">
        <v>50</v>
      </c>
      <c r="Y486" s="195">
        <v>2</v>
      </c>
      <c r="Z486" s="208">
        <v>0.24022481740576915</v>
      </c>
      <c r="AA486" s="270">
        <v>6.0056204351442286</v>
      </c>
      <c r="AB486" s="208">
        <v>5.4606563369926593E-2</v>
      </c>
      <c r="AC486" s="201">
        <v>20.143180014271866</v>
      </c>
      <c r="AD486" s="201">
        <v>0.35323281031750642</v>
      </c>
      <c r="AE486" s="265">
        <v>0.20393905812342036</v>
      </c>
      <c r="AF486" s="208">
        <v>330669.96319627721</v>
      </c>
      <c r="AG486" s="378">
        <v>8266749.0799069311</v>
      </c>
      <c r="AH486" s="110"/>
      <c r="AI486" s="393"/>
    </row>
    <row r="487" spans="1:35" hidden="1" x14ac:dyDescent="0.3">
      <c r="A487" s="151">
        <v>45352</v>
      </c>
      <c r="B487" s="189">
        <v>486</v>
      </c>
      <c r="C487" s="11" t="s">
        <v>544</v>
      </c>
      <c r="D487" s="10" t="s">
        <v>552</v>
      </c>
      <c r="E487" s="2" t="s">
        <v>588</v>
      </c>
      <c r="F487" s="2" t="s">
        <v>584</v>
      </c>
      <c r="G487" s="2" t="s">
        <v>562</v>
      </c>
      <c r="H487" s="13" t="s">
        <v>483</v>
      </c>
      <c r="I487" s="2" t="s">
        <v>526</v>
      </c>
      <c r="J487" s="12" t="s">
        <v>551</v>
      </c>
      <c r="K487" s="2" t="s">
        <v>531</v>
      </c>
      <c r="L487" s="2" t="s">
        <v>535</v>
      </c>
      <c r="M487" s="2" t="s">
        <v>531</v>
      </c>
      <c r="N487" s="2" t="s">
        <v>532</v>
      </c>
      <c r="O487" s="2" t="s">
        <v>571</v>
      </c>
      <c r="P487" s="110" t="s">
        <v>573</v>
      </c>
      <c r="Q487" s="67" t="s">
        <v>0</v>
      </c>
      <c r="R487" s="110" t="s">
        <v>519</v>
      </c>
      <c r="S487" s="166">
        <v>400</v>
      </c>
      <c r="T487" s="166" t="s">
        <v>0</v>
      </c>
      <c r="U487" s="67" t="s">
        <v>0</v>
      </c>
      <c r="V487" s="165" t="s">
        <v>0</v>
      </c>
      <c r="W487" s="208" t="s">
        <v>0</v>
      </c>
      <c r="X487" s="165">
        <v>50</v>
      </c>
      <c r="Y487" s="195">
        <v>2</v>
      </c>
      <c r="Z487" s="293" t="s">
        <v>0</v>
      </c>
      <c r="AA487" s="299" t="s">
        <v>0</v>
      </c>
      <c r="AB487" s="293" t="s">
        <v>0</v>
      </c>
      <c r="AC487" s="220">
        <v>36.62303</v>
      </c>
      <c r="AD487" s="201">
        <v>0.30632500000000001</v>
      </c>
      <c r="AE487" s="265">
        <v>0.17685699999999999</v>
      </c>
      <c r="AF487" s="293" t="s">
        <v>0</v>
      </c>
      <c r="AG487" s="381" t="s">
        <v>0</v>
      </c>
      <c r="AH487" s="400"/>
      <c r="AI487" s="393"/>
    </row>
    <row r="488" spans="1:35" hidden="1" x14ac:dyDescent="0.3">
      <c r="A488" s="151">
        <v>45352</v>
      </c>
      <c r="B488" s="189">
        <v>487</v>
      </c>
      <c r="C488" s="11" t="s">
        <v>544</v>
      </c>
      <c r="D488" s="10" t="s">
        <v>552</v>
      </c>
      <c r="E488" s="2" t="s">
        <v>588</v>
      </c>
      <c r="F488" s="2" t="s">
        <v>584</v>
      </c>
      <c r="G488" s="2" t="s">
        <v>562</v>
      </c>
      <c r="H488" s="13" t="s">
        <v>484</v>
      </c>
      <c r="I488" s="2" t="s">
        <v>529</v>
      </c>
      <c r="J488" s="12" t="s">
        <v>551</v>
      </c>
      <c r="K488" s="2" t="s">
        <v>531</v>
      </c>
      <c r="L488" s="2" t="s">
        <v>538</v>
      </c>
      <c r="M488" s="2" t="s">
        <v>531</v>
      </c>
      <c r="N488" s="2" t="s">
        <v>532</v>
      </c>
      <c r="O488" s="2" t="s">
        <v>571</v>
      </c>
      <c r="P488" s="75" t="s">
        <v>573</v>
      </c>
      <c r="Q488" s="67" t="s">
        <v>0</v>
      </c>
      <c r="R488" s="110" t="s">
        <v>519</v>
      </c>
      <c r="S488" s="166">
        <v>400</v>
      </c>
      <c r="T488" s="166" t="s">
        <v>0</v>
      </c>
      <c r="U488" s="67" t="s">
        <v>0</v>
      </c>
      <c r="V488" s="165" t="s">
        <v>0</v>
      </c>
      <c r="W488" s="208">
        <v>4.3703424112848026</v>
      </c>
      <c r="X488" s="165">
        <v>50</v>
      </c>
      <c r="Y488" s="195">
        <v>2</v>
      </c>
      <c r="Z488" s="208">
        <v>2.9718328396736659E-6</v>
      </c>
      <c r="AA488" s="270">
        <v>7.4295820991841641E-5</v>
      </c>
      <c r="AB488" s="208">
        <v>4.3341727559254437E-7</v>
      </c>
      <c r="AC488" s="201">
        <v>33.864350000000002</v>
      </c>
      <c r="AD488" s="201">
        <v>0.23310775776063053</v>
      </c>
      <c r="AE488" s="265">
        <v>0.13458482669329011</v>
      </c>
      <c r="AF488" s="208">
        <v>4.0907341145377387</v>
      </c>
      <c r="AG488" s="378">
        <v>102.26835286344347</v>
      </c>
      <c r="AH488" s="110"/>
      <c r="AI488" s="395"/>
    </row>
    <row r="489" spans="1:35" hidden="1" x14ac:dyDescent="0.3">
      <c r="A489" s="151">
        <v>45352</v>
      </c>
      <c r="B489" s="189">
        <v>488</v>
      </c>
      <c r="C489" s="11" t="s">
        <v>544</v>
      </c>
      <c r="D489" s="10" t="s">
        <v>552</v>
      </c>
      <c r="E489" s="2" t="s">
        <v>588</v>
      </c>
      <c r="F489" s="2" t="s">
        <v>584</v>
      </c>
      <c r="G489" s="2" t="s">
        <v>562</v>
      </c>
      <c r="H489" s="13" t="s">
        <v>485</v>
      </c>
      <c r="I489" s="2" t="s">
        <v>528</v>
      </c>
      <c r="J489" s="12" t="s">
        <v>551</v>
      </c>
      <c r="K489" s="2" t="s">
        <v>531</v>
      </c>
      <c r="L489" s="2" t="s">
        <v>534</v>
      </c>
      <c r="M489" s="2" t="s">
        <v>531</v>
      </c>
      <c r="N489" s="2" t="s">
        <v>531</v>
      </c>
      <c r="O489" s="2" t="s">
        <v>571</v>
      </c>
      <c r="P489" s="110" t="s">
        <v>573</v>
      </c>
      <c r="Q489" s="67" t="s">
        <v>0</v>
      </c>
      <c r="R489" s="110" t="s">
        <v>519</v>
      </c>
      <c r="S489" s="166">
        <v>400</v>
      </c>
      <c r="T489" s="166" t="s">
        <v>0</v>
      </c>
      <c r="U489" s="67" t="s">
        <v>0</v>
      </c>
      <c r="V489" s="165" t="s">
        <v>0</v>
      </c>
      <c r="W489" s="208">
        <v>8.7829329804512035</v>
      </c>
      <c r="X489" s="165">
        <v>50</v>
      </c>
      <c r="Y489" s="195">
        <v>2</v>
      </c>
      <c r="Z489" s="208">
        <v>5.972394426706819E-6</v>
      </c>
      <c r="AA489" s="270">
        <v>1.4930986066767046E-4</v>
      </c>
      <c r="AB489" s="208">
        <v>1.0755266271879554E-6</v>
      </c>
      <c r="AC489" s="201">
        <v>37.751280000000001</v>
      </c>
      <c r="AD489" s="201">
        <v>0.23310800000000001</v>
      </c>
      <c r="AE489" s="265">
        <v>0.13458500000000001</v>
      </c>
      <c r="AF489" s="208">
        <v>8.2210134098549918</v>
      </c>
      <c r="AG489" s="378">
        <v>205.52533524637477</v>
      </c>
      <c r="AH489" s="110">
        <v>2</v>
      </c>
      <c r="AI489" s="394" t="s">
        <v>618</v>
      </c>
    </row>
    <row r="490" spans="1:35" hidden="1" x14ac:dyDescent="0.3">
      <c r="A490" s="151">
        <v>45352</v>
      </c>
      <c r="B490" s="189">
        <v>489</v>
      </c>
      <c r="C490" s="11" t="s">
        <v>544</v>
      </c>
      <c r="D490" s="10" t="s">
        <v>552</v>
      </c>
      <c r="E490" s="2" t="s">
        <v>588</v>
      </c>
      <c r="F490" s="2" t="s">
        <v>584</v>
      </c>
      <c r="G490" s="2" t="s">
        <v>562</v>
      </c>
      <c r="H490" s="13" t="s">
        <v>486</v>
      </c>
      <c r="I490" s="2" t="s">
        <v>520</v>
      </c>
      <c r="J490" s="9" t="s">
        <v>0</v>
      </c>
      <c r="K490" s="2" t="s">
        <v>531</v>
      </c>
      <c r="L490" s="2" t="s">
        <v>530</v>
      </c>
      <c r="M490" s="2" t="s">
        <v>531</v>
      </c>
      <c r="N490" s="2" t="s">
        <v>532</v>
      </c>
      <c r="O490" s="2" t="s">
        <v>571</v>
      </c>
      <c r="P490" s="2" t="s">
        <v>574</v>
      </c>
      <c r="Q490" s="67" t="s">
        <v>0</v>
      </c>
      <c r="R490" s="110" t="s">
        <v>519</v>
      </c>
      <c r="S490" s="166">
        <v>400</v>
      </c>
      <c r="T490" s="166" t="s">
        <v>0</v>
      </c>
      <c r="U490" s="67" t="s">
        <v>0</v>
      </c>
      <c r="V490" s="165" t="s">
        <v>0</v>
      </c>
      <c r="W490" s="208" t="s">
        <v>0</v>
      </c>
      <c r="X490" s="165">
        <v>50</v>
      </c>
      <c r="Y490" s="195">
        <v>2</v>
      </c>
      <c r="Z490" s="293" t="s">
        <v>0</v>
      </c>
      <c r="AA490" s="299" t="s">
        <v>0</v>
      </c>
      <c r="AB490" s="293" t="s">
        <v>0</v>
      </c>
      <c r="AC490" s="201">
        <v>36.891359999999999</v>
      </c>
      <c r="AD490" s="201">
        <v>0.43136799999999997</v>
      </c>
      <c r="AE490" s="265">
        <v>0.30502299999999999</v>
      </c>
      <c r="AF490" s="293" t="s">
        <v>0</v>
      </c>
      <c r="AG490" s="381" t="s">
        <v>0</v>
      </c>
      <c r="AH490" s="400">
        <v>2</v>
      </c>
      <c r="AI490" s="393" t="s">
        <v>619</v>
      </c>
    </row>
    <row r="491" spans="1:35" hidden="1" x14ac:dyDescent="0.3">
      <c r="A491" s="157">
        <v>45352</v>
      </c>
      <c r="B491" s="189">
        <v>490</v>
      </c>
      <c r="C491" s="26" t="s">
        <v>544</v>
      </c>
      <c r="D491" s="25" t="s">
        <v>552</v>
      </c>
      <c r="E491" s="23" t="s">
        <v>588</v>
      </c>
      <c r="F491" s="23" t="s">
        <v>584</v>
      </c>
      <c r="G491" s="23" t="s">
        <v>562</v>
      </c>
      <c r="H491" s="350" t="s">
        <v>487</v>
      </c>
      <c r="I491" s="23" t="s">
        <v>517</v>
      </c>
      <c r="J491" s="24" t="s">
        <v>0</v>
      </c>
      <c r="K491" s="23" t="s">
        <v>531</v>
      </c>
      <c r="L491" s="23" t="s">
        <v>593</v>
      </c>
      <c r="M491" s="23" t="s">
        <v>531</v>
      </c>
      <c r="N491" s="23" t="s">
        <v>532</v>
      </c>
      <c r="O491" s="23" t="s">
        <v>571</v>
      </c>
      <c r="P491" s="23" t="s">
        <v>574</v>
      </c>
      <c r="Q491" s="79" t="s">
        <v>0</v>
      </c>
      <c r="R491" s="212" t="s">
        <v>519</v>
      </c>
      <c r="S491" s="186">
        <v>400</v>
      </c>
      <c r="T491" s="186" t="s">
        <v>0</v>
      </c>
      <c r="U491" s="79" t="s">
        <v>576</v>
      </c>
      <c r="V491" s="360">
        <v>200000</v>
      </c>
      <c r="W491" s="208">
        <v>641893.56345354649</v>
      </c>
      <c r="X491" s="225">
        <v>50</v>
      </c>
      <c r="Y491" s="231">
        <v>2</v>
      </c>
      <c r="Z491" s="208">
        <v>0.43648762314841166</v>
      </c>
      <c r="AA491" s="266">
        <v>10.912190578710291</v>
      </c>
      <c r="AB491" s="208">
        <v>6.7472434554517471E-2</v>
      </c>
      <c r="AC491" s="221">
        <v>18.395679999999999</v>
      </c>
      <c r="AD491" s="217">
        <v>0.26117000000000001</v>
      </c>
      <c r="AE491" s="202">
        <v>0.150787</v>
      </c>
      <c r="AF491" s="208">
        <v>600826.12546362809</v>
      </c>
      <c r="AG491" s="1">
        <v>15020653.136590701</v>
      </c>
      <c r="AH491" s="110"/>
      <c r="AI491" s="393"/>
    </row>
    <row r="492" spans="1:35" hidden="1" x14ac:dyDescent="0.3">
      <c r="A492" s="226">
        <v>45352</v>
      </c>
      <c r="B492" s="189">
        <v>491</v>
      </c>
      <c r="C492" s="98" t="s">
        <v>544</v>
      </c>
      <c r="D492" s="99" t="s">
        <v>552</v>
      </c>
      <c r="E492" s="110" t="s">
        <v>588</v>
      </c>
      <c r="F492" s="110" t="s">
        <v>584</v>
      </c>
      <c r="G492" s="110" t="s">
        <v>562</v>
      </c>
      <c r="H492" s="351" t="s">
        <v>488</v>
      </c>
      <c r="I492" s="110" t="s">
        <v>517</v>
      </c>
      <c r="J492" s="123" t="s">
        <v>0</v>
      </c>
      <c r="K492" s="110" t="s">
        <v>531</v>
      </c>
      <c r="L492" s="110" t="s">
        <v>593</v>
      </c>
      <c r="M492" s="110" t="s">
        <v>531</v>
      </c>
      <c r="N492" s="110" t="s">
        <v>532</v>
      </c>
      <c r="O492" s="110" t="s">
        <v>571</v>
      </c>
      <c r="P492" s="110" t="s">
        <v>503</v>
      </c>
      <c r="Q492" s="110" t="s">
        <v>0</v>
      </c>
      <c r="R492" s="110" t="s">
        <v>519</v>
      </c>
      <c r="S492" s="165">
        <v>400</v>
      </c>
      <c r="T492" s="165" t="s">
        <v>0</v>
      </c>
      <c r="U492" s="110" t="s">
        <v>576</v>
      </c>
      <c r="V492" s="360">
        <v>200000</v>
      </c>
      <c r="W492" s="208">
        <v>364073.02021484938</v>
      </c>
      <c r="X492" s="165">
        <v>50</v>
      </c>
      <c r="Y492" s="195">
        <v>2</v>
      </c>
      <c r="Z492" s="208">
        <v>0.2475696537460976</v>
      </c>
      <c r="AA492" s="270">
        <v>6.1892413436524398</v>
      </c>
      <c r="AB492" s="208">
        <v>6.8807640894031604E-3</v>
      </c>
      <c r="AC492" s="216">
        <v>19.305140000000002</v>
      </c>
      <c r="AD492" s="208">
        <v>4.5592000000000001E-2</v>
      </c>
      <c r="AE492" s="270">
        <v>2.6322000000000002E-2</v>
      </c>
      <c r="AF492" s="208">
        <v>340780.14576844953</v>
      </c>
      <c r="AG492" s="378">
        <v>8519503.6442112401</v>
      </c>
      <c r="AH492" s="110"/>
      <c r="AI492" s="393"/>
    </row>
    <row r="493" spans="1:35" ht="16.2" hidden="1" thickBot="1" x14ac:dyDescent="0.35">
      <c r="A493" s="223">
        <v>45352</v>
      </c>
      <c r="B493" s="260">
        <v>492</v>
      </c>
      <c r="C493" s="105" t="s">
        <v>544</v>
      </c>
      <c r="D493" s="242" t="s">
        <v>0</v>
      </c>
      <c r="E493" s="242" t="s">
        <v>0</v>
      </c>
      <c r="F493" s="242" t="s">
        <v>0</v>
      </c>
      <c r="G493" s="126" t="s">
        <v>562</v>
      </c>
      <c r="H493" s="352" t="s">
        <v>595</v>
      </c>
      <c r="I493" s="111" t="s">
        <v>521</v>
      </c>
      <c r="J493" s="127" t="s">
        <v>0</v>
      </c>
      <c r="K493" s="111" t="s">
        <v>531</v>
      </c>
      <c r="L493" s="111" t="s">
        <v>521</v>
      </c>
      <c r="M493" s="111" t="s">
        <v>532</v>
      </c>
      <c r="N493" s="111" t="s">
        <v>532</v>
      </c>
      <c r="O493" s="111" t="s">
        <v>571</v>
      </c>
      <c r="P493" s="126" t="s">
        <v>573</v>
      </c>
      <c r="Q493" s="111" t="s">
        <v>0</v>
      </c>
      <c r="R493" s="111" t="s">
        <v>0</v>
      </c>
      <c r="S493" s="169">
        <v>100</v>
      </c>
      <c r="T493" s="169" t="s">
        <v>0</v>
      </c>
      <c r="U493" s="111" t="s">
        <v>0</v>
      </c>
      <c r="V493" s="370" t="s">
        <v>0</v>
      </c>
      <c r="W493" s="211" t="s">
        <v>0</v>
      </c>
      <c r="X493" s="169">
        <v>50</v>
      </c>
      <c r="Y493" s="169">
        <v>2</v>
      </c>
      <c r="Z493" s="296" t="s">
        <v>0</v>
      </c>
      <c r="AA493" s="297" t="s">
        <v>0</v>
      </c>
      <c r="AB493" s="296" t="s">
        <v>0</v>
      </c>
      <c r="AC493" s="211">
        <v>37.350797056437088</v>
      </c>
      <c r="AD493" s="211">
        <v>0.56551197534643249</v>
      </c>
      <c r="AE493" s="285">
        <v>0.32649849119621982</v>
      </c>
      <c r="AF493" s="296" t="s">
        <v>0</v>
      </c>
      <c r="AG493" s="389" t="s">
        <v>0</v>
      </c>
      <c r="AH493" s="409">
        <v>2</v>
      </c>
      <c r="AI493" s="405" t="s">
        <v>620</v>
      </c>
    </row>
    <row r="494" spans="1:35" x14ac:dyDescent="0.3">
      <c r="AB494" s="202"/>
      <c r="AC494" s="202"/>
      <c r="AD494" s="202"/>
      <c r="AE494" s="202"/>
      <c r="AF494" s="202"/>
    </row>
    <row r="496" spans="1:35" x14ac:dyDescent="0.3">
      <c r="L496" s="358"/>
      <c r="AB496" s="202"/>
      <c r="AC496" s="202"/>
      <c r="AD496" s="202"/>
      <c r="AE496" s="202"/>
      <c r="AF496" s="202"/>
      <c r="AG496" s="162"/>
      <c r="AH496" s="396"/>
      <c r="AI496" s="397"/>
    </row>
    <row r="497" spans="12:35" ht="16.05" customHeight="1" x14ac:dyDescent="0.3">
      <c r="L497" s="358"/>
      <c r="AB497" s="202"/>
      <c r="AC497" s="202"/>
      <c r="AD497" s="202"/>
      <c r="AE497" s="202"/>
      <c r="AF497" s="202"/>
      <c r="AI497" s="397"/>
    </row>
    <row r="498" spans="12:35" x14ac:dyDescent="0.3">
      <c r="L498" s="358"/>
      <c r="AB498" s="202"/>
      <c r="AC498" s="202"/>
      <c r="AD498" s="202"/>
      <c r="AE498" s="202"/>
      <c r="AF498" s="202"/>
      <c r="AI498" s="397"/>
    </row>
    <row r="499" spans="12:35" x14ac:dyDescent="0.3">
      <c r="L499" s="358"/>
      <c r="AB499" s="202"/>
      <c r="AC499" s="202"/>
      <c r="AD499" s="202"/>
      <c r="AE499" s="202"/>
      <c r="AF499" s="202"/>
    </row>
    <row r="500" spans="12:35" x14ac:dyDescent="0.3">
      <c r="AB500" s="202"/>
      <c r="AC500" s="202"/>
      <c r="AD500" s="202"/>
      <c r="AE500" s="202"/>
      <c r="AF500" s="202"/>
    </row>
    <row r="501" spans="12:35" ht="16.05" customHeight="1" x14ac:dyDescent="0.3">
      <c r="AB501" s="202"/>
      <c r="AC501" s="202"/>
      <c r="AD501" s="202"/>
      <c r="AE501" s="202"/>
      <c r="AF501" s="202"/>
    </row>
    <row r="502" spans="12:35" x14ac:dyDescent="0.3">
      <c r="AB502" s="202"/>
      <c r="AC502" s="202"/>
      <c r="AD502" s="202"/>
      <c r="AE502" s="202"/>
      <c r="AF502" s="202"/>
    </row>
    <row r="503" spans="12:35" x14ac:dyDescent="0.3">
      <c r="AB503" s="202"/>
      <c r="AC503" s="202"/>
      <c r="AD503" s="202"/>
      <c r="AE503" s="202"/>
      <c r="AF503" s="202"/>
    </row>
    <row r="504" spans="12:35" x14ac:dyDescent="0.3">
      <c r="AB504" s="202"/>
      <c r="AC504" s="202"/>
      <c r="AD504" s="202"/>
      <c r="AE504" s="202"/>
      <c r="AF504" s="202"/>
    </row>
    <row r="505" spans="12:35" x14ac:dyDescent="0.3">
      <c r="AB505" s="202"/>
      <c r="AC505" s="202"/>
      <c r="AD505" s="202"/>
      <c r="AE505" s="202"/>
      <c r="AF505" s="202"/>
    </row>
    <row r="506" spans="12:35" x14ac:dyDescent="0.3">
      <c r="AB506" s="202"/>
      <c r="AC506" s="202"/>
      <c r="AD506" s="202"/>
      <c r="AE506" s="202"/>
      <c r="AF506" s="202"/>
    </row>
    <row r="507" spans="12:35" x14ac:dyDescent="0.3">
      <c r="AB507" s="202"/>
      <c r="AC507" s="202"/>
      <c r="AD507" s="202"/>
      <c r="AE507" s="202"/>
      <c r="AF507" s="202"/>
    </row>
    <row r="508" spans="12:35" x14ac:dyDescent="0.3">
      <c r="AB508" s="202"/>
      <c r="AC508" s="202"/>
      <c r="AD508" s="202"/>
      <c r="AE508" s="202"/>
      <c r="AF508" s="202"/>
    </row>
    <row r="509" spans="12:35" ht="16.05" customHeight="1" x14ac:dyDescent="0.3">
      <c r="AB509" s="202"/>
      <c r="AC509" s="202"/>
      <c r="AD509" s="202"/>
      <c r="AE509" s="202"/>
      <c r="AF509" s="202"/>
    </row>
    <row r="510" spans="12:35" x14ac:dyDescent="0.3">
      <c r="AB510" s="202"/>
      <c r="AC510" s="202"/>
      <c r="AD510" s="202"/>
      <c r="AE510" s="202"/>
      <c r="AF510" s="202"/>
    </row>
    <row r="511" spans="12:35" x14ac:dyDescent="0.3">
      <c r="AB511" s="202"/>
      <c r="AC511" s="202"/>
      <c r="AD511" s="202"/>
      <c r="AE511" s="202"/>
      <c r="AF511" s="202"/>
    </row>
    <row r="512" spans="12:35" x14ac:dyDescent="0.3">
      <c r="AB512" s="202"/>
      <c r="AC512" s="202"/>
      <c r="AD512" s="202"/>
      <c r="AE512" s="202"/>
      <c r="AF512" s="202"/>
    </row>
    <row r="513" spans="28:32" x14ac:dyDescent="0.3">
      <c r="AB513" s="202"/>
      <c r="AC513" s="202"/>
      <c r="AD513" s="202"/>
      <c r="AE513" s="202"/>
      <c r="AF513" s="202"/>
    </row>
    <row r="514" spans="28:32" ht="16.05" customHeight="1" x14ac:dyDescent="0.3">
      <c r="AB514" s="202"/>
      <c r="AC514" s="202"/>
      <c r="AD514" s="202"/>
      <c r="AE514" s="202"/>
      <c r="AF514" s="202"/>
    </row>
    <row r="515" spans="28:32" x14ac:dyDescent="0.3">
      <c r="AB515" s="202"/>
      <c r="AC515" s="202"/>
      <c r="AD515" s="202"/>
      <c r="AE515" s="202"/>
      <c r="AF515" s="202"/>
    </row>
    <row r="516" spans="28:32" x14ac:dyDescent="0.3">
      <c r="AB516" s="202"/>
      <c r="AC516" s="202"/>
      <c r="AD516" s="202"/>
      <c r="AE516" s="202"/>
      <c r="AF516" s="202"/>
    </row>
    <row r="517" spans="28:32" x14ac:dyDescent="0.3">
      <c r="AB517" s="202"/>
      <c r="AC517" s="202"/>
      <c r="AD517" s="202"/>
      <c r="AE517" s="202"/>
      <c r="AF517" s="202"/>
    </row>
    <row r="518" spans="28:32" ht="16.05" customHeight="1" x14ac:dyDescent="0.3">
      <c r="AB518" s="202"/>
      <c r="AC518" s="202"/>
      <c r="AD518" s="202"/>
      <c r="AE518" s="202"/>
      <c r="AF518" s="202"/>
    </row>
    <row r="519" spans="28:32" x14ac:dyDescent="0.3">
      <c r="AB519" s="202"/>
      <c r="AC519" s="202"/>
      <c r="AD519" s="202"/>
      <c r="AE519" s="202"/>
      <c r="AF519" s="202"/>
    </row>
    <row r="520" spans="28:32" x14ac:dyDescent="0.3">
      <c r="AB520" s="202"/>
      <c r="AC520" s="202"/>
      <c r="AD520" s="202"/>
      <c r="AE520" s="202"/>
      <c r="AF520" s="202"/>
    </row>
    <row r="521" spans="28:32" x14ac:dyDescent="0.3">
      <c r="AB521" s="202"/>
      <c r="AC521" s="202"/>
      <c r="AD521" s="202"/>
      <c r="AE521" s="202"/>
      <c r="AF521" s="202"/>
    </row>
    <row r="522" spans="28:32" x14ac:dyDescent="0.3">
      <c r="AB522" s="202"/>
      <c r="AC522" s="202"/>
      <c r="AD522" s="202"/>
      <c r="AE522" s="202"/>
      <c r="AF522" s="202"/>
    </row>
    <row r="523" spans="28:32" x14ac:dyDescent="0.3">
      <c r="AB523" s="202"/>
      <c r="AC523" s="202"/>
      <c r="AD523" s="202"/>
      <c r="AE523" s="202"/>
      <c r="AF523" s="202"/>
    </row>
    <row r="524" spans="28:32" x14ac:dyDescent="0.3">
      <c r="AB524" s="202"/>
      <c r="AC524" s="202"/>
      <c r="AD524" s="202"/>
      <c r="AE524" s="202"/>
      <c r="AF524" s="202"/>
    </row>
    <row r="525" spans="28:32" x14ac:dyDescent="0.3">
      <c r="AB525" s="202"/>
      <c r="AC525" s="202"/>
      <c r="AD525" s="202"/>
      <c r="AE525" s="202"/>
      <c r="AF525" s="202"/>
    </row>
    <row r="526" spans="28:32" x14ac:dyDescent="0.3">
      <c r="AB526" s="202"/>
      <c r="AC526" s="202"/>
      <c r="AD526" s="202"/>
      <c r="AE526" s="202"/>
      <c r="AF526" s="202"/>
    </row>
    <row r="527" spans="28:32" x14ac:dyDescent="0.3">
      <c r="AB527" s="202"/>
      <c r="AC527" s="202"/>
      <c r="AD527" s="202"/>
      <c r="AE527" s="202"/>
      <c r="AF527" s="202"/>
    </row>
    <row r="528" spans="28:32" x14ac:dyDescent="0.3">
      <c r="AB528" s="202"/>
      <c r="AC528" s="202"/>
      <c r="AD528" s="202"/>
      <c r="AE528" s="202"/>
      <c r="AF528" s="202"/>
    </row>
    <row r="529" spans="28:32" x14ac:dyDescent="0.3">
      <c r="AB529" s="202"/>
      <c r="AC529" s="202"/>
      <c r="AD529" s="202"/>
      <c r="AE529" s="202"/>
      <c r="AF529" s="202"/>
    </row>
    <row r="530" spans="28:32" x14ac:dyDescent="0.3">
      <c r="AB530" s="202"/>
      <c r="AC530" s="202"/>
      <c r="AD530" s="202"/>
      <c r="AE530" s="202"/>
      <c r="AF530" s="202"/>
    </row>
    <row r="531" spans="28:32" x14ac:dyDescent="0.3">
      <c r="AB531" s="202"/>
      <c r="AC531" s="202"/>
      <c r="AD531" s="202"/>
      <c r="AE531" s="202"/>
      <c r="AF531" s="202"/>
    </row>
    <row r="532" spans="28:32" x14ac:dyDescent="0.3">
      <c r="AB532" s="202"/>
      <c r="AC532" s="202"/>
      <c r="AD532" s="202"/>
      <c r="AE532" s="202"/>
      <c r="AF532" s="202"/>
    </row>
    <row r="533" spans="28:32" x14ac:dyDescent="0.3">
      <c r="AB533" s="202"/>
      <c r="AC533" s="202"/>
      <c r="AD533" s="202"/>
      <c r="AE533" s="202"/>
      <c r="AF533" s="202"/>
    </row>
    <row r="534" spans="28:32" x14ac:dyDescent="0.3">
      <c r="AB534" s="202"/>
      <c r="AC534" s="202"/>
      <c r="AD534" s="202"/>
      <c r="AE534" s="202"/>
      <c r="AF534" s="202"/>
    </row>
    <row r="535" spans="28:32" x14ac:dyDescent="0.3">
      <c r="AB535" s="202"/>
      <c r="AC535" s="202"/>
      <c r="AD535" s="202"/>
      <c r="AE535" s="202"/>
      <c r="AF535" s="202"/>
    </row>
    <row r="536" spans="28:32" x14ac:dyDescent="0.3">
      <c r="AB536" s="202"/>
      <c r="AC536" s="202"/>
      <c r="AD536" s="202"/>
      <c r="AE536" s="202"/>
      <c r="AF536" s="202"/>
    </row>
    <row r="537" spans="28:32" x14ac:dyDescent="0.3">
      <c r="AB537" s="202"/>
      <c r="AC537" s="202"/>
      <c r="AD537" s="202"/>
      <c r="AE537" s="202"/>
      <c r="AF537" s="202"/>
    </row>
    <row r="538" spans="28:32" x14ac:dyDescent="0.3">
      <c r="AB538" s="202"/>
      <c r="AC538" s="202"/>
      <c r="AD538" s="202"/>
      <c r="AE538" s="202"/>
      <c r="AF538" s="202"/>
    </row>
    <row r="539" spans="28:32" x14ac:dyDescent="0.3">
      <c r="AB539" s="202"/>
      <c r="AC539" s="202"/>
      <c r="AD539" s="202"/>
      <c r="AE539" s="202"/>
      <c r="AF539" s="202"/>
    </row>
    <row r="540" spans="28:32" x14ac:dyDescent="0.3">
      <c r="AB540" s="202"/>
      <c r="AC540" s="202"/>
      <c r="AD540" s="202"/>
      <c r="AE540" s="202"/>
      <c r="AF540" s="202"/>
    </row>
    <row r="541" spans="28:32" x14ac:dyDescent="0.3">
      <c r="AB541" s="202"/>
      <c r="AC541" s="202"/>
      <c r="AD541" s="202"/>
      <c r="AE541" s="202"/>
      <c r="AF541" s="202"/>
    </row>
    <row r="542" spans="28:32" x14ac:dyDescent="0.3">
      <c r="AB542" s="202"/>
      <c r="AC542" s="202"/>
      <c r="AD542" s="202"/>
      <c r="AE542" s="202"/>
      <c r="AF542" s="202"/>
    </row>
    <row r="543" spans="28:32" x14ac:dyDescent="0.3">
      <c r="AB543" s="202"/>
      <c r="AC543" s="202"/>
      <c r="AD543" s="202"/>
      <c r="AE543" s="202"/>
      <c r="AF543" s="202"/>
    </row>
    <row r="544" spans="28:32" x14ac:dyDescent="0.3">
      <c r="AB544" s="202"/>
      <c r="AC544" s="202"/>
      <c r="AD544" s="202"/>
      <c r="AE544" s="202"/>
      <c r="AF544" s="202"/>
    </row>
    <row r="545" spans="28:32" x14ac:dyDescent="0.3">
      <c r="AB545" s="202"/>
      <c r="AC545" s="202"/>
      <c r="AD545" s="202"/>
      <c r="AE545" s="202"/>
      <c r="AF545" s="202"/>
    </row>
    <row r="546" spans="28:32" x14ac:dyDescent="0.3">
      <c r="AB546" s="202"/>
      <c r="AC546" s="202"/>
      <c r="AD546" s="202"/>
      <c r="AE546" s="202"/>
      <c r="AF546" s="202"/>
    </row>
    <row r="547" spans="28:32" x14ac:dyDescent="0.3">
      <c r="AB547" s="202"/>
      <c r="AC547" s="202"/>
      <c r="AD547" s="202"/>
      <c r="AE547" s="202"/>
      <c r="AF547" s="202"/>
    </row>
    <row r="548" spans="28:32" x14ac:dyDescent="0.3">
      <c r="AB548" s="202"/>
      <c r="AC548" s="202"/>
      <c r="AD548" s="202"/>
      <c r="AE548" s="202"/>
      <c r="AF548" s="202"/>
    </row>
    <row r="549" spans="28:32" x14ac:dyDescent="0.3">
      <c r="AB549" s="202"/>
      <c r="AC549" s="202"/>
      <c r="AD549" s="202"/>
      <c r="AE549" s="202"/>
      <c r="AF549" s="202"/>
    </row>
    <row r="550" spans="28:32" x14ac:dyDescent="0.3">
      <c r="AB550" s="202"/>
      <c r="AC550" s="202"/>
      <c r="AD550" s="202"/>
      <c r="AE550" s="202"/>
      <c r="AF550" s="202"/>
    </row>
    <row r="551" spans="28:32" x14ac:dyDescent="0.3">
      <c r="AB551" s="202"/>
      <c r="AC551" s="202"/>
      <c r="AD551" s="202"/>
      <c r="AE551" s="202"/>
      <c r="AF551" s="202"/>
    </row>
    <row r="552" spans="28:32" x14ac:dyDescent="0.3">
      <c r="AB552" s="202"/>
      <c r="AC552" s="202"/>
      <c r="AD552" s="202"/>
      <c r="AE552" s="202"/>
      <c r="AF552" s="202"/>
    </row>
    <row r="553" spans="28:32" x14ac:dyDescent="0.3">
      <c r="AB553" s="202"/>
      <c r="AC553" s="202"/>
      <c r="AD553" s="202"/>
      <c r="AE553" s="202"/>
      <c r="AF553" s="202"/>
    </row>
    <row r="554" spans="28:32" x14ac:dyDescent="0.3">
      <c r="AB554" s="202"/>
      <c r="AC554" s="202"/>
      <c r="AD554" s="202"/>
      <c r="AE554" s="202"/>
      <c r="AF554" s="202"/>
    </row>
    <row r="555" spans="28:32" x14ac:dyDescent="0.3">
      <c r="AB555" s="202"/>
      <c r="AC555" s="202"/>
      <c r="AD555" s="202"/>
      <c r="AE555" s="202"/>
      <c r="AF555" s="202"/>
    </row>
    <row r="556" spans="28:32" x14ac:dyDescent="0.3">
      <c r="AB556" s="202"/>
      <c r="AC556" s="202"/>
      <c r="AD556" s="202"/>
      <c r="AE556" s="202"/>
      <c r="AF556" s="202"/>
    </row>
    <row r="557" spans="28:32" x14ac:dyDescent="0.3">
      <c r="AB557" s="202"/>
      <c r="AC557" s="202"/>
      <c r="AD557" s="202"/>
      <c r="AE557" s="202"/>
      <c r="AF557" s="202"/>
    </row>
    <row r="558" spans="28:32" x14ac:dyDescent="0.3">
      <c r="AB558" s="202"/>
      <c r="AC558" s="202"/>
      <c r="AD558" s="202"/>
      <c r="AE558" s="202"/>
      <c r="AF558" s="202"/>
    </row>
    <row r="559" spans="28:32" x14ac:dyDescent="0.3">
      <c r="AB559" s="202"/>
      <c r="AC559" s="202"/>
      <c r="AD559" s="202"/>
      <c r="AE559" s="202"/>
      <c r="AF559" s="202"/>
    </row>
    <row r="560" spans="28:32" x14ac:dyDescent="0.3">
      <c r="AB560" s="202"/>
      <c r="AC560" s="202"/>
      <c r="AD560" s="202"/>
      <c r="AE560" s="202"/>
      <c r="AF560" s="202"/>
    </row>
    <row r="561" spans="28:32" x14ac:dyDescent="0.3">
      <c r="AB561" s="202"/>
      <c r="AC561" s="202"/>
      <c r="AD561" s="202"/>
      <c r="AE561" s="202"/>
      <c r="AF561" s="202"/>
    </row>
    <row r="562" spans="28:32" x14ac:dyDescent="0.3">
      <c r="AB562" s="202"/>
      <c r="AC562" s="202"/>
      <c r="AD562" s="202"/>
      <c r="AE562" s="202"/>
      <c r="AF562" s="202"/>
    </row>
    <row r="563" spans="28:32" x14ac:dyDescent="0.3">
      <c r="AB563" s="202"/>
      <c r="AC563" s="202"/>
      <c r="AD563" s="202"/>
      <c r="AE563" s="202"/>
      <c r="AF563" s="202"/>
    </row>
    <row r="564" spans="28:32" x14ac:dyDescent="0.3">
      <c r="AB564" s="202"/>
      <c r="AC564" s="202"/>
      <c r="AD564" s="202"/>
      <c r="AE564" s="202"/>
      <c r="AF564" s="202"/>
    </row>
    <row r="565" spans="28:32" x14ac:dyDescent="0.3">
      <c r="AB565" s="202"/>
      <c r="AC565" s="202"/>
      <c r="AD565" s="202"/>
      <c r="AE565" s="202"/>
      <c r="AF565" s="202"/>
    </row>
    <row r="566" spans="28:32" x14ac:dyDescent="0.3">
      <c r="AB566" s="202"/>
      <c r="AC566" s="202"/>
      <c r="AD566" s="202"/>
      <c r="AE566" s="202"/>
      <c r="AF566" s="202"/>
    </row>
    <row r="567" spans="28:32" x14ac:dyDescent="0.3">
      <c r="AB567" s="202"/>
      <c r="AC567" s="202"/>
      <c r="AD567" s="202"/>
      <c r="AE567" s="202"/>
      <c r="AF567" s="202"/>
    </row>
    <row r="568" spans="28:32" x14ac:dyDescent="0.3">
      <c r="AB568" s="202"/>
      <c r="AC568" s="202"/>
      <c r="AD568" s="202"/>
      <c r="AE568" s="202"/>
      <c r="AF568" s="202"/>
    </row>
    <row r="569" spans="28:32" x14ac:dyDescent="0.3">
      <c r="AB569" s="202"/>
      <c r="AC569" s="202"/>
      <c r="AD569" s="202"/>
      <c r="AE569" s="202"/>
      <c r="AF569" s="202"/>
    </row>
    <row r="570" spans="28:32" x14ac:dyDescent="0.3">
      <c r="AB570" s="202"/>
      <c r="AC570" s="202"/>
      <c r="AD570" s="202"/>
      <c r="AE570" s="202"/>
      <c r="AF570" s="202"/>
    </row>
    <row r="571" spans="28:32" x14ac:dyDescent="0.3">
      <c r="AB571" s="202"/>
      <c r="AC571" s="202"/>
      <c r="AD571" s="202"/>
      <c r="AE571" s="202"/>
      <c r="AF571" s="202"/>
    </row>
    <row r="572" spans="28:32" x14ac:dyDescent="0.3">
      <c r="AB572" s="202"/>
      <c r="AC572" s="202"/>
      <c r="AD572" s="202"/>
      <c r="AE572" s="202"/>
      <c r="AF572" s="202"/>
    </row>
    <row r="573" spans="28:32" x14ac:dyDescent="0.3">
      <c r="AB573" s="202"/>
      <c r="AC573" s="202"/>
      <c r="AD573" s="202"/>
      <c r="AE573" s="202"/>
      <c r="AF573" s="202"/>
    </row>
    <row r="574" spans="28:32" x14ac:dyDescent="0.3">
      <c r="AB574" s="202"/>
      <c r="AC574" s="202"/>
      <c r="AD574" s="202"/>
      <c r="AE574" s="202"/>
      <c r="AF574" s="202"/>
    </row>
    <row r="575" spans="28:32" x14ac:dyDescent="0.3">
      <c r="AB575" s="202"/>
      <c r="AC575" s="202"/>
      <c r="AD575" s="202"/>
      <c r="AE575" s="202"/>
      <c r="AF575" s="202"/>
    </row>
    <row r="576" spans="28:32" x14ac:dyDescent="0.3">
      <c r="AB576" s="202"/>
      <c r="AC576" s="202"/>
      <c r="AD576" s="202"/>
      <c r="AE576" s="202"/>
      <c r="AF576" s="202"/>
    </row>
    <row r="577" spans="28:32" x14ac:dyDescent="0.3">
      <c r="AB577" s="202"/>
      <c r="AC577" s="202"/>
      <c r="AD577" s="202"/>
      <c r="AE577" s="202"/>
      <c r="AF577" s="202"/>
    </row>
    <row r="578" spans="28:32" x14ac:dyDescent="0.3">
      <c r="AB578" s="202"/>
      <c r="AC578" s="202"/>
      <c r="AD578" s="202"/>
      <c r="AE578" s="202"/>
      <c r="AF578" s="202"/>
    </row>
    <row r="579" spans="28:32" x14ac:dyDescent="0.3">
      <c r="AB579" s="202"/>
      <c r="AC579" s="202"/>
      <c r="AD579" s="202"/>
      <c r="AE579" s="202"/>
      <c r="AF579" s="202"/>
    </row>
    <row r="580" spans="28:32" x14ac:dyDescent="0.3">
      <c r="AB580" s="202"/>
      <c r="AC580" s="202"/>
      <c r="AD580" s="202"/>
      <c r="AE580" s="202"/>
      <c r="AF580" s="202"/>
    </row>
    <row r="581" spans="28:32" x14ac:dyDescent="0.3">
      <c r="AB581" s="202"/>
      <c r="AC581" s="202"/>
      <c r="AD581" s="202"/>
      <c r="AE581" s="202"/>
      <c r="AF581" s="202"/>
    </row>
    <row r="582" spans="28:32" x14ac:dyDescent="0.3">
      <c r="AB582" s="202"/>
      <c r="AC582" s="202"/>
      <c r="AD582" s="202"/>
      <c r="AE582" s="202"/>
      <c r="AF582" s="202"/>
    </row>
    <row r="583" spans="28:32" x14ac:dyDescent="0.3">
      <c r="AB583" s="202"/>
      <c r="AC583" s="202"/>
      <c r="AD583" s="202"/>
      <c r="AE583" s="202"/>
      <c r="AF583" s="202"/>
    </row>
    <row r="584" spans="28:32" x14ac:dyDescent="0.3">
      <c r="AB584" s="202"/>
      <c r="AC584" s="202"/>
      <c r="AD584" s="202"/>
      <c r="AE584" s="202"/>
      <c r="AF584" s="202"/>
    </row>
    <row r="585" spans="28:32" x14ac:dyDescent="0.3">
      <c r="AB585" s="202"/>
      <c r="AC585" s="202"/>
      <c r="AD585" s="202"/>
      <c r="AE585" s="202"/>
      <c r="AF585" s="202"/>
    </row>
    <row r="586" spans="28:32" x14ac:dyDescent="0.3">
      <c r="AB586" s="202"/>
      <c r="AC586" s="202"/>
      <c r="AD586" s="202"/>
      <c r="AE586" s="202"/>
      <c r="AF586" s="202"/>
    </row>
    <row r="587" spans="28:32" x14ac:dyDescent="0.3">
      <c r="AB587" s="202"/>
      <c r="AC587" s="202"/>
      <c r="AD587" s="202"/>
      <c r="AE587" s="202"/>
      <c r="AF587" s="202"/>
    </row>
    <row r="588" spans="28:32" x14ac:dyDescent="0.3">
      <c r="AB588" s="202"/>
      <c r="AC588" s="202"/>
      <c r="AD588" s="202"/>
      <c r="AE588" s="202"/>
      <c r="AF588" s="202"/>
    </row>
    <row r="589" spans="28:32" x14ac:dyDescent="0.3">
      <c r="AB589" s="202"/>
      <c r="AC589" s="202"/>
      <c r="AD589" s="202"/>
      <c r="AE589" s="202"/>
      <c r="AF589" s="202"/>
    </row>
    <row r="590" spans="28:32" x14ac:dyDescent="0.3">
      <c r="AB590" s="202"/>
      <c r="AC590" s="202"/>
      <c r="AD590" s="202"/>
      <c r="AE590" s="202"/>
      <c r="AF590" s="202"/>
    </row>
    <row r="591" spans="28:32" x14ac:dyDescent="0.3">
      <c r="AB591" s="202"/>
      <c r="AC591" s="202"/>
      <c r="AD591" s="202"/>
      <c r="AE591" s="202"/>
      <c r="AF591" s="202"/>
    </row>
    <row r="592" spans="28:32" x14ac:dyDescent="0.3">
      <c r="AB592" s="202"/>
      <c r="AC592" s="202"/>
      <c r="AD592" s="202"/>
      <c r="AE592" s="202"/>
      <c r="AF592" s="202"/>
    </row>
    <row r="593" spans="28:32" x14ac:dyDescent="0.3">
      <c r="AB593" s="202"/>
      <c r="AC593" s="202"/>
      <c r="AD593" s="202"/>
      <c r="AE593" s="202"/>
      <c r="AF593" s="202"/>
    </row>
    <row r="594" spans="28:32" x14ac:dyDescent="0.3">
      <c r="AB594" s="202"/>
      <c r="AC594" s="202"/>
      <c r="AD594" s="202"/>
      <c r="AE594" s="202"/>
      <c r="AF594" s="202"/>
    </row>
    <row r="595" spans="28:32" x14ac:dyDescent="0.3">
      <c r="AB595" s="202"/>
      <c r="AC595" s="202"/>
      <c r="AD595" s="202"/>
      <c r="AE595" s="202"/>
      <c r="AF595" s="202"/>
    </row>
    <row r="596" spans="28:32" x14ac:dyDescent="0.3">
      <c r="AB596" s="202"/>
      <c r="AC596" s="202"/>
      <c r="AD596" s="202"/>
      <c r="AE596" s="202"/>
      <c r="AF596" s="202"/>
    </row>
    <row r="597" spans="28:32" x14ac:dyDescent="0.3">
      <c r="AB597" s="202"/>
      <c r="AC597" s="202"/>
      <c r="AD597" s="202"/>
      <c r="AE597" s="202"/>
      <c r="AF597" s="202"/>
    </row>
    <row r="598" spans="28:32" x14ac:dyDescent="0.3">
      <c r="AB598" s="202"/>
      <c r="AC598" s="202"/>
      <c r="AD598" s="202"/>
      <c r="AE598" s="202"/>
      <c r="AF598" s="202"/>
    </row>
    <row r="599" spans="28:32" x14ac:dyDescent="0.3">
      <c r="AB599" s="202"/>
      <c r="AC599" s="202"/>
      <c r="AD599" s="202"/>
      <c r="AE599" s="202"/>
      <c r="AF599" s="202"/>
    </row>
    <row r="600" spans="28:32" x14ac:dyDescent="0.3">
      <c r="AB600" s="202"/>
      <c r="AC600" s="202"/>
      <c r="AD600" s="202"/>
      <c r="AE600" s="202"/>
      <c r="AF600" s="202"/>
    </row>
    <row r="601" spans="28:32" x14ac:dyDescent="0.3">
      <c r="AB601" s="202"/>
      <c r="AC601" s="202"/>
      <c r="AD601" s="202"/>
      <c r="AE601" s="202"/>
      <c r="AF601" s="202"/>
    </row>
    <row r="602" spans="28:32" x14ac:dyDescent="0.3">
      <c r="AB602" s="202"/>
      <c r="AC602" s="202"/>
      <c r="AD602" s="202"/>
      <c r="AE602" s="202"/>
      <c r="AF602" s="202"/>
    </row>
    <row r="603" spans="28:32" x14ac:dyDescent="0.3">
      <c r="AB603" s="202"/>
      <c r="AC603" s="202"/>
      <c r="AD603" s="202"/>
      <c r="AE603" s="202"/>
      <c r="AF603" s="202"/>
    </row>
    <row r="604" spans="28:32" x14ac:dyDescent="0.3">
      <c r="AB604" s="202"/>
      <c r="AC604" s="202"/>
      <c r="AD604" s="202"/>
      <c r="AE604" s="202"/>
      <c r="AF604" s="202"/>
    </row>
    <row r="605" spans="28:32" x14ac:dyDescent="0.3">
      <c r="AB605" s="202"/>
      <c r="AC605" s="202"/>
      <c r="AD605" s="202"/>
      <c r="AE605" s="202"/>
      <c r="AF605" s="202"/>
    </row>
    <row r="606" spans="28:32" x14ac:dyDescent="0.3">
      <c r="AB606" s="202"/>
      <c r="AC606" s="202"/>
      <c r="AD606" s="202"/>
      <c r="AE606" s="202"/>
      <c r="AF606" s="202"/>
    </row>
    <row r="607" spans="28:32" x14ac:dyDescent="0.3">
      <c r="AB607" s="202"/>
      <c r="AC607" s="202"/>
      <c r="AD607" s="202"/>
      <c r="AE607" s="202"/>
      <c r="AF607" s="202"/>
    </row>
    <row r="608" spans="28:32" x14ac:dyDescent="0.3">
      <c r="AB608" s="202"/>
      <c r="AC608" s="202"/>
      <c r="AD608" s="202"/>
      <c r="AE608" s="202"/>
      <c r="AF608" s="202"/>
    </row>
    <row r="609" spans="28:32" x14ac:dyDescent="0.3">
      <c r="AB609" s="202"/>
      <c r="AC609" s="202"/>
      <c r="AD609" s="202"/>
      <c r="AE609" s="202"/>
      <c r="AF609" s="202"/>
    </row>
    <row r="610" spans="28:32" x14ac:dyDescent="0.3">
      <c r="AB610" s="202"/>
      <c r="AC610" s="202"/>
      <c r="AD610" s="202"/>
      <c r="AE610" s="202"/>
      <c r="AF610" s="202"/>
    </row>
    <row r="611" spans="28:32" x14ac:dyDescent="0.3">
      <c r="AB611" s="202"/>
      <c r="AC611" s="202"/>
      <c r="AD611" s="202"/>
      <c r="AE611" s="202"/>
      <c r="AF611" s="202"/>
    </row>
    <row r="612" spans="28:32" x14ac:dyDescent="0.3">
      <c r="AB612" s="202"/>
      <c r="AC612" s="202"/>
      <c r="AD612" s="202"/>
      <c r="AE612" s="202"/>
      <c r="AF612" s="202"/>
    </row>
    <row r="613" spans="28:32" x14ac:dyDescent="0.3">
      <c r="AB613" s="202"/>
      <c r="AC613" s="202"/>
      <c r="AD613" s="202"/>
      <c r="AE613" s="202"/>
      <c r="AF613" s="202"/>
    </row>
    <row r="614" spans="28:32" x14ac:dyDescent="0.3">
      <c r="AB614" s="202"/>
      <c r="AC614" s="202"/>
      <c r="AD614" s="202"/>
      <c r="AE614" s="202"/>
      <c r="AF614" s="202"/>
    </row>
    <row r="615" spans="28:32" x14ac:dyDescent="0.3">
      <c r="AB615" s="202"/>
      <c r="AC615" s="202"/>
      <c r="AD615" s="202"/>
      <c r="AE615" s="202"/>
      <c r="AF615" s="202"/>
    </row>
    <row r="616" spans="28:32" x14ac:dyDescent="0.3">
      <c r="AB616" s="202"/>
      <c r="AC616" s="202"/>
      <c r="AD616" s="202"/>
      <c r="AE616" s="202"/>
      <c r="AF616" s="202"/>
    </row>
    <row r="617" spans="28:32" x14ac:dyDescent="0.3">
      <c r="AB617" s="202"/>
      <c r="AC617" s="202"/>
      <c r="AD617" s="202"/>
      <c r="AE617" s="202"/>
      <c r="AF617" s="202"/>
    </row>
    <row r="618" spans="28:32" x14ac:dyDescent="0.3">
      <c r="AB618" s="202"/>
      <c r="AC618" s="202"/>
      <c r="AD618" s="202"/>
      <c r="AE618" s="202"/>
      <c r="AF618" s="202"/>
    </row>
    <row r="619" spans="28:32" x14ac:dyDescent="0.3">
      <c r="AB619" s="202"/>
      <c r="AC619" s="202"/>
      <c r="AD619" s="202"/>
      <c r="AE619" s="202"/>
      <c r="AF619" s="202"/>
    </row>
    <row r="620" spans="28:32" x14ac:dyDescent="0.3">
      <c r="AB620" s="202"/>
      <c r="AC620" s="202"/>
      <c r="AD620" s="202"/>
      <c r="AE620" s="202"/>
      <c r="AF620" s="202"/>
    </row>
    <row r="621" spans="28:32" x14ac:dyDescent="0.3">
      <c r="AB621" s="202"/>
      <c r="AC621" s="202"/>
      <c r="AD621" s="202"/>
      <c r="AE621" s="202"/>
      <c r="AF621" s="202"/>
    </row>
    <row r="622" spans="28:32" x14ac:dyDescent="0.3">
      <c r="AB622" s="202"/>
      <c r="AC622" s="202"/>
      <c r="AD622" s="202"/>
      <c r="AE622" s="202"/>
      <c r="AF622" s="202"/>
    </row>
    <row r="623" spans="28:32" x14ac:dyDescent="0.3">
      <c r="AB623" s="202"/>
      <c r="AC623" s="202"/>
      <c r="AD623" s="202"/>
      <c r="AE623" s="202"/>
      <c r="AF623" s="202"/>
    </row>
    <row r="624" spans="28:32" x14ac:dyDescent="0.3">
      <c r="AB624" s="202"/>
      <c r="AC624" s="202"/>
      <c r="AD624" s="202"/>
      <c r="AE624" s="202"/>
      <c r="AF624" s="202"/>
    </row>
    <row r="625" spans="28:32" x14ac:dyDescent="0.3">
      <c r="AB625" s="202"/>
      <c r="AC625" s="202"/>
      <c r="AD625" s="202"/>
      <c r="AE625" s="202"/>
      <c r="AF625" s="202"/>
    </row>
    <row r="626" spans="28:32" x14ac:dyDescent="0.3">
      <c r="AB626" s="202"/>
      <c r="AC626" s="202"/>
      <c r="AD626" s="202"/>
      <c r="AE626" s="202"/>
      <c r="AF626" s="202"/>
    </row>
    <row r="627" spans="28:32" x14ac:dyDescent="0.3">
      <c r="AB627" s="202"/>
      <c r="AC627" s="202"/>
      <c r="AD627" s="202"/>
      <c r="AE627" s="202"/>
      <c r="AF627" s="202"/>
    </row>
    <row r="628" spans="28:32" x14ac:dyDescent="0.3">
      <c r="AB628" s="202"/>
      <c r="AC628" s="202"/>
      <c r="AD628" s="202"/>
      <c r="AE628" s="202"/>
      <c r="AF628" s="202"/>
    </row>
    <row r="629" spans="28:32" x14ac:dyDescent="0.3">
      <c r="AB629" s="202"/>
      <c r="AC629" s="202"/>
      <c r="AD629" s="202"/>
      <c r="AE629" s="202"/>
      <c r="AF629" s="202"/>
    </row>
    <row r="630" spans="28:32" x14ac:dyDescent="0.3">
      <c r="AB630" s="202"/>
      <c r="AC630" s="202"/>
      <c r="AD630" s="202"/>
      <c r="AE630" s="202"/>
      <c r="AF630" s="202"/>
    </row>
    <row r="631" spans="28:32" x14ac:dyDescent="0.3">
      <c r="AB631" s="202"/>
      <c r="AC631" s="202"/>
      <c r="AD631" s="202"/>
      <c r="AE631" s="202"/>
      <c r="AF631" s="202"/>
    </row>
    <row r="632" spans="28:32" x14ac:dyDescent="0.3">
      <c r="AB632" s="202"/>
      <c r="AC632" s="202"/>
      <c r="AD632" s="202"/>
      <c r="AE632" s="202"/>
      <c r="AF632" s="202"/>
    </row>
    <row r="633" spans="28:32" x14ac:dyDescent="0.3">
      <c r="AB633" s="202"/>
      <c r="AC633" s="202"/>
      <c r="AD633" s="202"/>
      <c r="AE633" s="202"/>
      <c r="AF633" s="202"/>
    </row>
    <row r="634" spans="28:32" x14ac:dyDescent="0.3">
      <c r="AB634" s="202"/>
      <c r="AC634" s="202"/>
      <c r="AD634" s="202"/>
      <c r="AE634" s="202"/>
      <c r="AF634" s="202"/>
    </row>
    <row r="635" spans="28:32" x14ac:dyDescent="0.3">
      <c r="AB635" s="202"/>
      <c r="AC635" s="202"/>
      <c r="AD635" s="202"/>
      <c r="AE635" s="202"/>
      <c r="AF635" s="202"/>
    </row>
    <row r="636" spans="28:32" x14ac:dyDescent="0.3">
      <c r="AB636" s="202"/>
      <c r="AC636" s="202"/>
      <c r="AD636" s="202"/>
      <c r="AE636" s="202"/>
      <c r="AF636" s="202"/>
    </row>
    <row r="637" spans="28:32" x14ac:dyDescent="0.3">
      <c r="AB637" s="202"/>
      <c r="AC637" s="202"/>
      <c r="AD637" s="202"/>
      <c r="AE637" s="202"/>
      <c r="AF637" s="202"/>
    </row>
    <row r="638" spans="28:32" x14ac:dyDescent="0.3">
      <c r="AB638" s="202"/>
      <c r="AC638" s="202"/>
      <c r="AD638" s="202"/>
      <c r="AE638" s="202"/>
      <c r="AF638" s="202"/>
    </row>
    <row r="639" spans="28:32" x14ac:dyDescent="0.3">
      <c r="AB639" s="202"/>
      <c r="AC639" s="202"/>
      <c r="AD639" s="202"/>
      <c r="AE639" s="202"/>
      <c r="AF639" s="202"/>
    </row>
    <row r="640" spans="28:32" x14ac:dyDescent="0.3">
      <c r="AB640" s="202"/>
      <c r="AC640" s="202"/>
      <c r="AD640" s="202"/>
      <c r="AE640" s="202"/>
      <c r="AF640" s="202"/>
    </row>
    <row r="641" spans="28:32" x14ac:dyDescent="0.3">
      <c r="AB641" s="202"/>
      <c r="AC641" s="202"/>
      <c r="AD641" s="202"/>
      <c r="AE641" s="202"/>
      <c r="AF641" s="202"/>
    </row>
    <row r="642" spans="28:32" x14ac:dyDescent="0.3">
      <c r="AB642" s="202"/>
      <c r="AC642" s="202"/>
      <c r="AD642" s="202"/>
      <c r="AE642" s="202"/>
      <c r="AF642" s="202"/>
    </row>
    <row r="643" spans="28:32" x14ac:dyDescent="0.3">
      <c r="AB643" s="202"/>
      <c r="AC643" s="202"/>
      <c r="AD643" s="202"/>
      <c r="AE643" s="202"/>
      <c r="AF643" s="202"/>
    </row>
    <row r="644" spans="28:32" x14ac:dyDescent="0.3">
      <c r="AB644" s="202"/>
      <c r="AC644" s="202"/>
      <c r="AD644" s="202"/>
      <c r="AE644" s="202"/>
      <c r="AF644" s="202"/>
    </row>
    <row r="645" spans="28:32" x14ac:dyDescent="0.3">
      <c r="AB645" s="202"/>
      <c r="AC645" s="202"/>
      <c r="AD645" s="202"/>
      <c r="AE645" s="202"/>
      <c r="AF645" s="202"/>
    </row>
    <row r="646" spans="28:32" x14ac:dyDescent="0.3">
      <c r="AB646" s="202"/>
      <c r="AC646" s="202"/>
      <c r="AD646" s="202"/>
      <c r="AE646" s="202"/>
      <c r="AF646" s="202"/>
    </row>
    <row r="647" spans="28:32" x14ac:dyDescent="0.3">
      <c r="AB647" s="202"/>
      <c r="AC647" s="202"/>
      <c r="AD647" s="202"/>
      <c r="AE647" s="202"/>
      <c r="AF647" s="202"/>
    </row>
    <row r="648" spans="28:32" x14ac:dyDescent="0.3">
      <c r="AB648" s="202"/>
      <c r="AC648" s="202"/>
      <c r="AD648" s="202"/>
      <c r="AE648" s="202"/>
      <c r="AF648" s="202"/>
    </row>
    <row r="649" spans="28:32" x14ac:dyDescent="0.3">
      <c r="AB649" s="202"/>
      <c r="AC649" s="202"/>
      <c r="AD649" s="202"/>
      <c r="AE649" s="202"/>
      <c r="AF649" s="202"/>
    </row>
    <row r="650" spans="28:32" x14ac:dyDescent="0.3">
      <c r="AB650" s="202"/>
      <c r="AC650" s="202"/>
      <c r="AD650" s="202"/>
      <c r="AE650" s="202"/>
      <c r="AF650" s="202"/>
    </row>
    <row r="651" spans="28:32" x14ac:dyDescent="0.3">
      <c r="AB651" s="202"/>
      <c r="AC651" s="202"/>
      <c r="AD651" s="202"/>
      <c r="AE651" s="202"/>
      <c r="AF651" s="202"/>
    </row>
    <row r="652" spans="28:32" x14ac:dyDescent="0.3">
      <c r="AB652" s="202"/>
      <c r="AC652" s="202"/>
      <c r="AD652" s="202"/>
      <c r="AE652" s="202"/>
      <c r="AF652" s="202"/>
    </row>
    <row r="653" spans="28:32" x14ac:dyDescent="0.3">
      <c r="AB653" s="202"/>
      <c r="AC653" s="202"/>
      <c r="AD653" s="202"/>
      <c r="AE653" s="202"/>
      <c r="AF653" s="202"/>
    </row>
    <row r="654" spans="28:32" x14ac:dyDescent="0.3">
      <c r="AB654" s="202"/>
      <c r="AC654" s="202"/>
      <c r="AD654" s="202"/>
      <c r="AE654" s="202"/>
      <c r="AF654" s="202"/>
    </row>
    <row r="655" spans="28:32" x14ac:dyDescent="0.3">
      <c r="AB655" s="202"/>
      <c r="AC655" s="202"/>
      <c r="AD655" s="202"/>
      <c r="AE655" s="202"/>
      <c r="AF655" s="202"/>
    </row>
    <row r="656" spans="28:32" x14ac:dyDescent="0.3">
      <c r="AB656" s="202"/>
      <c r="AC656" s="202"/>
      <c r="AD656" s="202"/>
      <c r="AE656" s="202"/>
      <c r="AF656" s="202"/>
    </row>
    <row r="657" spans="28:32" x14ac:dyDescent="0.3">
      <c r="AB657" s="202"/>
      <c r="AC657" s="202"/>
      <c r="AD657" s="202"/>
      <c r="AE657" s="202"/>
      <c r="AF657" s="202"/>
    </row>
    <row r="658" spans="28:32" x14ac:dyDescent="0.3">
      <c r="AB658" s="202"/>
      <c r="AC658" s="202"/>
      <c r="AD658" s="202"/>
      <c r="AE658" s="202"/>
      <c r="AF658" s="202"/>
    </row>
    <row r="659" spans="28:32" x14ac:dyDescent="0.3">
      <c r="AB659" s="202"/>
      <c r="AC659" s="202"/>
      <c r="AD659" s="202"/>
      <c r="AE659" s="202"/>
      <c r="AF659" s="202"/>
    </row>
    <row r="660" spans="28:32" x14ac:dyDescent="0.3">
      <c r="AB660" s="202"/>
      <c r="AC660" s="202"/>
      <c r="AD660" s="202"/>
      <c r="AE660" s="202"/>
      <c r="AF660" s="202"/>
    </row>
    <row r="661" spans="28:32" x14ac:dyDescent="0.3">
      <c r="AB661" s="202"/>
      <c r="AC661" s="202"/>
      <c r="AD661" s="202"/>
      <c r="AE661" s="202"/>
      <c r="AF661" s="202"/>
    </row>
    <row r="662" spans="28:32" x14ac:dyDescent="0.3">
      <c r="AB662" s="202"/>
      <c r="AC662" s="202"/>
      <c r="AD662" s="202"/>
      <c r="AE662" s="202"/>
      <c r="AF662" s="202"/>
    </row>
    <row r="663" spans="28:32" x14ac:dyDescent="0.3">
      <c r="AB663" s="202"/>
      <c r="AC663" s="202"/>
      <c r="AD663" s="202"/>
      <c r="AE663" s="202"/>
      <c r="AF663" s="202"/>
    </row>
    <row r="664" spans="28:32" x14ac:dyDescent="0.3">
      <c r="AB664" s="202"/>
      <c r="AC664" s="202"/>
      <c r="AD664" s="202"/>
      <c r="AE664" s="202"/>
      <c r="AF664" s="202"/>
    </row>
    <row r="665" spans="28:32" x14ac:dyDescent="0.3">
      <c r="AB665" s="202"/>
      <c r="AC665" s="202"/>
      <c r="AD665" s="202"/>
      <c r="AE665" s="202"/>
      <c r="AF665" s="202"/>
    </row>
    <row r="666" spans="28:32" x14ac:dyDescent="0.3">
      <c r="AB666" s="202"/>
      <c r="AC666" s="202"/>
      <c r="AD666" s="202"/>
      <c r="AE666" s="202"/>
      <c r="AF666" s="202"/>
    </row>
    <row r="667" spans="28:32" x14ac:dyDescent="0.3">
      <c r="AB667" s="202"/>
      <c r="AC667" s="202"/>
      <c r="AD667" s="202"/>
      <c r="AE667" s="202"/>
      <c r="AF667" s="202"/>
    </row>
    <row r="668" spans="28:32" x14ac:dyDescent="0.3">
      <c r="AB668" s="202"/>
      <c r="AC668" s="202"/>
      <c r="AD668" s="202"/>
      <c r="AE668" s="202"/>
      <c r="AF668" s="202"/>
    </row>
    <row r="669" spans="28:32" x14ac:dyDescent="0.3">
      <c r="AB669" s="202"/>
      <c r="AC669" s="202"/>
      <c r="AD669" s="202"/>
      <c r="AE669" s="202"/>
      <c r="AF669" s="202"/>
    </row>
    <row r="670" spans="28:32" x14ac:dyDescent="0.3">
      <c r="AB670" s="202"/>
      <c r="AC670" s="202"/>
      <c r="AD670" s="202"/>
      <c r="AE670" s="202"/>
      <c r="AF670" s="202"/>
    </row>
    <row r="671" spans="28:32" x14ac:dyDescent="0.3">
      <c r="AB671" s="202"/>
      <c r="AC671" s="202"/>
      <c r="AD671" s="202"/>
      <c r="AE671" s="202"/>
      <c r="AF671" s="202"/>
    </row>
    <row r="672" spans="28:32" x14ac:dyDescent="0.3">
      <c r="AB672" s="202"/>
      <c r="AC672" s="202"/>
      <c r="AD672" s="202"/>
      <c r="AE672" s="202"/>
      <c r="AF672" s="202"/>
    </row>
    <row r="673" spans="28:32" x14ac:dyDescent="0.3">
      <c r="AB673" s="202"/>
      <c r="AC673" s="202"/>
      <c r="AD673" s="202"/>
      <c r="AE673" s="202"/>
      <c r="AF673" s="202"/>
    </row>
    <row r="674" spans="28:32" x14ac:dyDescent="0.3">
      <c r="AB674" s="202"/>
      <c r="AC674" s="202"/>
      <c r="AD674" s="202"/>
      <c r="AE674" s="202"/>
      <c r="AF674" s="202"/>
    </row>
    <row r="675" spans="28:32" x14ac:dyDescent="0.3">
      <c r="AB675" s="202"/>
      <c r="AC675" s="202"/>
      <c r="AD675" s="202"/>
      <c r="AE675" s="202"/>
      <c r="AF675" s="202"/>
    </row>
    <row r="676" spans="28:32" x14ac:dyDescent="0.3">
      <c r="AB676" s="202"/>
      <c r="AC676" s="202"/>
      <c r="AD676" s="202"/>
      <c r="AE676" s="202"/>
      <c r="AF676" s="202"/>
    </row>
    <row r="677" spans="28:32" x14ac:dyDescent="0.3">
      <c r="AB677" s="202"/>
      <c r="AC677" s="202"/>
      <c r="AD677" s="202"/>
      <c r="AE677" s="202"/>
      <c r="AF677" s="202"/>
    </row>
    <row r="678" spans="28:32" x14ac:dyDescent="0.3">
      <c r="AB678" s="202"/>
      <c r="AC678" s="202"/>
      <c r="AD678" s="202"/>
      <c r="AE678" s="202"/>
      <c r="AF678" s="202"/>
    </row>
    <row r="679" spans="28:32" x14ac:dyDescent="0.3">
      <c r="AB679" s="202"/>
      <c r="AC679" s="202"/>
      <c r="AD679" s="202"/>
      <c r="AE679" s="202"/>
      <c r="AF679" s="202"/>
    </row>
    <row r="680" spans="28:32" x14ac:dyDescent="0.3">
      <c r="AB680" s="202"/>
      <c r="AC680" s="202"/>
      <c r="AD680" s="202"/>
      <c r="AE680" s="202"/>
      <c r="AF680" s="202"/>
    </row>
    <row r="681" spans="28:32" x14ac:dyDescent="0.3">
      <c r="AB681" s="202"/>
      <c r="AC681" s="202"/>
      <c r="AD681" s="202"/>
      <c r="AE681" s="202"/>
      <c r="AF681" s="202"/>
    </row>
    <row r="682" spans="28:32" x14ac:dyDescent="0.3">
      <c r="AB682" s="202"/>
      <c r="AC682" s="202"/>
      <c r="AD682" s="202"/>
      <c r="AE682" s="202"/>
      <c r="AF682" s="202"/>
    </row>
    <row r="683" spans="28:32" x14ac:dyDescent="0.3">
      <c r="AB683" s="202"/>
      <c r="AC683" s="202"/>
      <c r="AD683" s="202"/>
      <c r="AE683" s="202"/>
      <c r="AF683" s="202"/>
    </row>
    <row r="684" spans="28:32" x14ac:dyDescent="0.3">
      <c r="AB684" s="202"/>
      <c r="AC684" s="202"/>
      <c r="AD684" s="202"/>
      <c r="AE684" s="202"/>
      <c r="AF684" s="202"/>
    </row>
    <row r="685" spans="28:32" x14ac:dyDescent="0.3">
      <c r="AB685" s="202"/>
      <c r="AC685" s="202"/>
      <c r="AD685" s="202"/>
      <c r="AE685" s="202"/>
      <c r="AF685" s="202"/>
    </row>
    <row r="686" spans="28:32" x14ac:dyDescent="0.3">
      <c r="AB686" s="202"/>
      <c r="AC686" s="202"/>
      <c r="AD686" s="202"/>
      <c r="AE686" s="202"/>
      <c r="AF686" s="202"/>
    </row>
    <row r="687" spans="28:32" x14ac:dyDescent="0.3">
      <c r="AB687" s="202"/>
      <c r="AC687" s="202"/>
      <c r="AD687" s="202"/>
      <c r="AE687" s="202"/>
      <c r="AF687" s="202"/>
    </row>
    <row r="688" spans="28:32" x14ac:dyDescent="0.3">
      <c r="AB688" s="202"/>
      <c r="AC688" s="202"/>
      <c r="AD688" s="202"/>
      <c r="AE688" s="202"/>
      <c r="AF688" s="202"/>
    </row>
    <row r="689" spans="28:32" x14ac:dyDescent="0.3">
      <c r="AB689" s="202"/>
      <c r="AC689" s="202"/>
      <c r="AD689" s="202"/>
      <c r="AE689" s="202"/>
      <c r="AF689" s="202"/>
    </row>
    <row r="690" spans="28:32" x14ac:dyDescent="0.3">
      <c r="AB690" s="202"/>
      <c r="AC690" s="202"/>
      <c r="AD690" s="202"/>
      <c r="AE690" s="202"/>
      <c r="AF690" s="202"/>
    </row>
    <row r="691" spans="28:32" x14ac:dyDescent="0.3">
      <c r="AB691" s="202"/>
      <c r="AC691" s="202"/>
      <c r="AD691" s="202"/>
      <c r="AE691" s="202"/>
      <c r="AF691" s="202"/>
    </row>
    <row r="692" spans="28:32" x14ac:dyDescent="0.3">
      <c r="AB692" s="202"/>
      <c r="AC692" s="202"/>
      <c r="AD692" s="202"/>
      <c r="AE692" s="202"/>
      <c r="AF692" s="202"/>
    </row>
    <row r="693" spans="28:32" x14ac:dyDescent="0.3">
      <c r="AB693" s="202"/>
      <c r="AC693" s="202"/>
      <c r="AD693" s="202"/>
      <c r="AE693" s="202"/>
      <c r="AF693" s="202"/>
    </row>
    <row r="694" spans="28:32" x14ac:dyDescent="0.3">
      <c r="AB694" s="202"/>
      <c r="AC694" s="202"/>
      <c r="AD694" s="202"/>
      <c r="AE694" s="202"/>
      <c r="AF694" s="202"/>
    </row>
    <row r="695" spans="28:32" x14ac:dyDescent="0.3">
      <c r="AB695" s="202"/>
      <c r="AC695" s="202"/>
      <c r="AD695" s="202"/>
      <c r="AE695" s="202"/>
      <c r="AF695" s="202"/>
    </row>
    <row r="696" spans="28:32" x14ac:dyDescent="0.3">
      <c r="AB696" s="202"/>
      <c r="AC696" s="202"/>
      <c r="AD696" s="202"/>
      <c r="AE696" s="202"/>
      <c r="AF696" s="202"/>
    </row>
    <row r="697" spans="28:32" x14ac:dyDescent="0.3">
      <c r="AB697" s="202"/>
      <c r="AC697" s="202"/>
      <c r="AD697" s="202"/>
      <c r="AE697" s="202"/>
      <c r="AF697" s="202"/>
    </row>
    <row r="698" spans="28:32" x14ac:dyDescent="0.3">
      <c r="AB698" s="202"/>
      <c r="AC698" s="202"/>
      <c r="AD698" s="202"/>
      <c r="AE698" s="202"/>
      <c r="AF698" s="202"/>
    </row>
    <row r="699" spans="28:32" x14ac:dyDescent="0.3">
      <c r="AB699" s="202"/>
      <c r="AC699" s="202"/>
      <c r="AD699" s="202"/>
      <c r="AE699" s="202"/>
      <c r="AF699" s="202"/>
    </row>
    <row r="700" spans="28:32" x14ac:dyDescent="0.3">
      <c r="AB700" s="202"/>
      <c r="AC700" s="202"/>
      <c r="AD700" s="202"/>
      <c r="AE700" s="202"/>
      <c r="AF700" s="202"/>
    </row>
    <row r="701" spans="28:32" x14ac:dyDescent="0.3">
      <c r="AB701" s="202"/>
      <c r="AC701" s="202"/>
      <c r="AD701" s="202"/>
      <c r="AE701" s="202"/>
      <c r="AF701" s="202"/>
    </row>
    <row r="702" spans="28:32" x14ac:dyDescent="0.3">
      <c r="AB702" s="202"/>
      <c r="AC702" s="202"/>
      <c r="AD702" s="202"/>
      <c r="AE702" s="202"/>
      <c r="AF702" s="202"/>
    </row>
    <row r="703" spans="28:32" x14ac:dyDescent="0.3">
      <c r="AB703" s="202"/>
      <c r="AC703" s="202"/>
      <c r="AD703" s="202"/>
      <c r="AE703" s="202"/>
      <c r="AF703" s="202"/>
    </row>
    <row r="704" spans="28:32" x14ac:dyDescent="0.3">
      <c r="AB704" s="202"/>
      <c r="AC704" s="202"/>
      <c r="AD704" s="202"/>
      <c r="AE704" s="202"/>
      <c r="AF704" s="202"/>
    </row>
    <row r="705" spans="28:32" x14ac:dyDescent="0.3">
      <c r="AB705" s="202"/>
      <c r="AC705" s="202"/>
      <c r="AD705" s="202"/>
      <c r="AE705" s="202"/>
      <c r="AF705" s="202"/>
    </row>
    <row r="706" spans="28:32" x14ac:dyDescent="0.3">
      <c r="AB706" s="202"/>
      <c r="AC706" s="202"/>
      <c r="AD706" s="202"/>
      <c r="AE706" s="202"/>
      <c r="AF706" s="202"/>
    </row>
    <row r="707" spans="28:32" x14ac:dyDescent="0.3">
      <c r="AB707" s="202"/>
      <c r="AC707" s="202"/>
      <c r="AD707" s="202"/>
      <c r="AE707" s="202"/>
      <c r="AF707" s="202"/>
    </row>
    <row r="708" spans="28:32" x14ac:dyDescent="0.3">
      <c r="AB708" s="202"/>
      <c r="AC708" s="202"/>
      <c r="AD708" s="202"/>
      <c r="AE708" s="202"/>
      <c r="AF708" s="202"/>
    </row>
    <row r="709" spans="28:32" x14ac:dyDescent="0.3">
      <c r="AB709" s="202"/>
      <c r="AC709" s="202"/>
      <c r="AD709" s="202"/>
      <c r="AE709" s="202"/>
      <c r="AF709" s="202"/>
    </row>
    <row r="710" spans="28:32" x14ac:dyDescent="0.3">
      <c r="AB710" s="202"/>
      <c r="AC710" s="202"/>
      <c r="AD710" s="202"/>
      <c r="AE710" s="202"/>
      <c r="AF710" s="202"/>
    </row>
    <row r="711" spans="28:32" x14ac:dyDescent="0.3">
      <c r="AB711" s="202"/>
      <c r="AC711" s="202"/>
      <c r="AD711" s="202"/>
      <c r="AE711" s="202"/>
      <c r="AF711" s="202"/>
    </row>
    <row r="712" spans="28:32" x14ac:dyDescent="0.3">
      <c r="AB712" s="202"/>
      <c r="AC712" s="202"/>
      <c r="AD712" s="202"/>
      <c r="AE712" s="202"/>
      <c r="AF712" s="202"/>
    </row>
    <row r="713" spans="28:32" x14ac:dyDescent="0.3">
      <c r="AB713" s="202"/>
      <c r="AC713" s="202"/>
      <c r="AD713" s="202"/>
      <c r="AE713" s="202"/>
      <c r="AF713" s="202"/>
    </row>
    <row r="714" spans="28:32" x14ac:dyDescent="0.3">
      <c r="AB714" s="202"/>
      <c r="AC714" s="202"/>
      <c r="AD714" s="202"/>
      <c r="AE714" s="202"/>
      <c r="AF714" s="202"/>
    </row>
    <row r="715" spans="28:32" x14ac:dyDescent="0.3">
      <c r="AB715" s="202"/>
      <c r="AC715" s="202"/>
      <c r="AD715" s="202"/>
      <c r="AE715" s="202"/>
      <c r="AF715" s="202"/>
    </row>
    <row r="716" spans="28:32" x14ac:dyDescent="0.3">
      <c r="AB716" s="202"/>
      <c r="AC716" s="202"/>
      <c r="AD716" s="202"/>
      <c r="AE716" s="202"/>
      <c r="AF716" s="202"/>
    </row>
    <row r="717" spans="28:32" x14ac:dyDescent="0.3">
      <c r="AB717" s="202"/>
      <c r="AC717" s="202"/>
      <c r="AD717" s="202"/>
      <c r="AE717" s="202"/>
      <c r="AF717" s="202"/>
    </row>
    <row r="718" spans="28:32" x14ac:dyDescent="0.3">
      <c r="AB718" s="202"/>
      <c r="AC718" s="202"/>
      <c r="AD718" s="202"/>
      <c r="AE718" s="202"/>
      <c r="AF718" s="202"/>
    </row>
    <row r="719" spans="28:32" x14ac:dyDescent="0.3">
      <c r="AB719" s="202"/>
      <c r="AC719" s="202"/>
      <c r="AD719" s="202"/>
      <c r="AE719" s="202"/>
      <c r="AF719" s="202"/>
    </row>
    <row r="720" spans="28:32" x14ac:dyDescent="0.3">
      <c r="AB720" s="202"/>
      <c r="AC720" s="202"/>
      <c r="AD720" s="202"/>
      <c r="AE720" s="202"/>
      <c r="AF720" s="202"/>
    </row>
    <row r="721" spans="28:32" x14ac:dyDescent="0.3">
      <c r="AB721" s="202"/>
      <c r="AC721" s="202"/>
      <c r="AD721" s="202"/>
      <c r="AE721" s="202"/>
      <c r="AF721" s="202"/>
    </row>
    <row r="722" spans="28:32" x14ac:dyDescent="0.3">
      <c r="AB722" s="202"/>
      <c r="AC722" s="202"/>
      <c r="AD722" s="202"/>
      <c r="AE722" s="202"/>
      <c r="AF722" s="202"/>
    </row>
    <row r="723" spans="28:32" x14ac:dyDescent="0.3">
      <c r="AB723" s="202"/>
      <c r="AC723" s="202"/>
      <c r="AD723" s="202"/>
      <c r="AE723" s="202"/>
      <c r="AF723" s="202"/>
    </row>
    <row r="724" spans="28:32" x14ac:dyDescent="0.3">
      <c r="AB724" s="202"/>
      <c r="AC724" s="202"/>
      <c r="AD724" s="202"/>
      <c r="AE724" s="202"/>
      <c r="AF724" s="202"/>
    </row>
    <row r="725" spans="28:32" x14ac:dyDescent="0.3">
      <c r="AB725" s="202"/>
      <c r="AC725" s="202"/>
      <c r="AD725" s="202"/>
      <c r="AE725" s="202"/>
      <c r="AF725" s="202"/>
    </row>
    <row r="726" spans="28:32" x14ac:dyDescent="0.3">
      <c r="AB726" s="202"/>
      <c r="AC726" s="202"/>
      <c r="AD726" s="202"/>
      <c r="AE726" s="202"/>
      <c r="AF726" s="202"/>
    </row>
    <row r="727" spans="28:32" x14ac:dyDescent="0.3">
      <c r="AB727" s="202"/>
      <c r="AC727" s="202"/>
      <c r="AD727" s="202"/>
      <c r="AE727" s="202"/>
      <c r="AF727" s="202"/>
    </row>
    <row r="728" spans="28:32" x14ac:dyDescent="0.3">
      <c r="AB728" s="202"/>
      <c r="AC728" s="202"/>
      <c r="AD728" s="202"/>
      <c r="AE728" s="202"/>
      <c r="AF728" s="202"/>
    </row>
    <row r="729" spans="28:32" x14ac:dyDescent="0.3">
      <c r="AB729" s="202"/>
      <c r="AC729" s="202"/>
      <c r="AD729" s="202"/>
      <c r="AE729" s="202"/>
      <c r="AF729" s="202"/>
    </row>
    <row r="730" spans="28:32" x14ac:dyDescent="0.3">
      <c r="AB730" s="202"/>
      <c r="AC730" s="202"/>
      <c r="AD730" s="202"/>
      <c r="AE730" s="202"/>
      <c r="AF730" s="202"/>
    </row>
    <row r="731" spans="28:32" x14ac:dyDescent="0.3">
      <c r="AB731" s="202"/>
      <c r="AC731" s="202"/>
      <c r="AD731" s="202"/>
      <c r="AE731" s="202"/>
      <c r="AF731" s="202"/>
    </row>
    <row r="732" spans="28:32" x14ac:dyDescent="0.3">
      <c r="AB732" s="202"/>
      <c r="AC732" s="202"/>
      <c r="AD732" s="202"/>
      <c r="AE732" s="202"/>
      <c r="AF732" s="202"/>
    </row>
    <row r="733" spans="28:32" x14ac:dyDescent="0.3">
      <c r="AB733" s="202"/>
      <c r="AC733" s="202"/>
      <c r="AD733" s="202"/>
      <c r="AE733" s="202"/>
      <c r="AF733" s="202"/>
    </row>
    <row r="734" spans="28:32" x14ac:dyDescent="0.3">
      <c r="AB734" s="202"/>
      <c r="AC734" s="202"/>
      <c r="AD734" s="202"/>
      <c r="AE734" s="202"/>
      <c r="AF734" s="202"/>
    </row>
    <row r="735" spans="28:32" x14ac:dyDescent="0.3">
      <c r="AB735" s="202"/>
      <c r="AC735" s="202"/>
      <c r="AD735" s="202"/>
      <c r="AE735" s="202"/>
      <c r="AF735" s="202"/>
    </row>
    <row r="736" spans="28:32" x14ac:dyDescent="0.3">
      <c r="AB736" s="202"/>
      <c r="AC736" s="202"/>
      <c r="AD736" s="202"/>
      <c r="AE736" s="202"/>
      <c r="AF736" s="202"/>
    </row>
    <row r="737" spans="28:32" x14ac:dyDescent="0.3">
      <c r="AB737" s="202"/>
      <c r="AC737" s="202"/>
      <c r="AD737" s="202"/>
      <c r="AE737" s="202"/>
      <c r="AF737" s="202"/>
    </row>
    <row r="738" spans="28:32" x14ac:dyDescent="0.3">
      <c r="AB738" s="202"/>
      <c r="AC738" s="202"/>
      <c r="AD738" s="202"/>
      <c r="AE738" s="202"/>
      <c r="AF738" s="202"/>
    </row>
    <row r="739" spans="28:32" x14ac:dyDescent="0.3">
      <c r="AB739" s="202"/>
      <c r="AC739" s="202"/>
      <c r="AD739" s="202"/>
      <c r="AE739" s="202"/>
      <c r="AF739" s="202"/>
    </row>
    <row r="740" spans="28:32" x14ac:dyDescent="0.3">
      <c r="AB740" s="202"/>
      <c r="AC740" s="202"/>
      <c r="AD740" s="202"/>
      <c r="AE740" s="202"/>
      <c r="AF740" s="202"/>
    </row>
    <row r="741" spans="28:32" x14ac:dyDescent="0.3">
      <c r="AB741" s="202"/>
      <c r="AC741" s="202"/>
      <c r="AD741" s="202"/>
      <c r="AE741" s="202"/>
      <c r="AF741" s="202"/>
    </row>
    <row r="742" spans="28:32" x14ac:dyDescent="0.3">
      <c r="AB742" s="202"/>
      <c r="AC742" s="202"/>
      <c r="AD742" s="202"/>
      <c r="AE742" s="202"/>
      <c r="AF742" s="202"/>
    </row>
    <row r="743" spans="28:32" x14ac:dyDescent="0.3">
      <c r="AB743" s="202"/>
      <c r="AC743" s="202"/>
      <c r="AD743" s="202"/>
      <c r="AE743" s="202"/>
      <c r="AF743" s="202"/>
    </row>
    <row r="744" spans="28:32" x14ac:dyDescent="0.3">
      <c r="AB744" s="202"/>
      <c r="AC744" s="202"/>
      <c r="AD744" s="202"/>
      <c r="AE744" s="202"/>
      <c r="AF744" s="202"/>
    </row>
    <row r="745" spans="28:32" x14ac:dyDescent="0.3">
      <c r="AB745" s="202"/>
      <c r="AC745" s="202"/>
      <c r="AD745" s="202"/>
      <c r="AE745" s="202"/>
      <c r="AF745" s="202"/>
    </row>
    <row r="746" spans="28:32" x14ac:dyDescent="0.3">
      <c r="AB746" s="202"/>
      <c r="AC746" s="202"/>
      <c r="AD746" s="202"/>
      <c r="AE746" s="202"/>
      <c r="AF746" s="202"/>
    </row>
    <row r="747" spans="28:32" x14ac:dyDescent="0.3">
      <c r="AB747" s="202"/>
      <c r="AC747" s="202"/>
      <c r="AD747" s="202"/>
      <c r="AE747" s="202"/>
      <c r="AF747" s="202"/>
    </row>
    <row r="748" spans="28:32" x14ac:dyDescent="0.3">
      <c r="AB748" s="202"/>
      <c r="AC748" s="202"/>
      <c r="AD748" s="202"/>
      <c r="AE748" s="202"/>
      <c r="AF748" s="202"/>
    </row>
    <row r="749" spans="28:32" x14ac:dyDescent="0.3">
      <c r="AB749" s="202"/>
      <c r="AC749" s="202"/>
      <c r="AD749" s="202"/>
      <c r="AE749" s="202"/>
      <c r="AF749" s="202"/>
    </row>
    <row r="750" spans="28:32" x14ac:dyDescent="0.3">
      <c r="AB750" s="202"/>
      <c r="AC750" s="202"/>
      <c r="AD750" s="202"/>
      <c r="AE750" s="202"/>
      <c r="AF750" s="202"/>
    </row>
    <row r="751" spans="28:32" x14ac:dyDescent="0.3">
      <c r="AB751" s="202"/>
      <c r="AC751" s="202"/>
      <c r="AD751" s="202"/>
      <c r="AE751" s="202"/>
      <c r="AF751" s="202"/>
    </row>
    <row r="752" spans="28:32" x14ac:dyDescent="0.3">
      <c r="AB752" s="202"/>
      <c r="AC752" s="202"/>
      <c r="AD752" s="202"/>
      <c r="AE752" s="202"/>
      <c r="AF752" s="202"/>
    </row>
    <row r="753" spans="28:32" x14ac:dyDescent="0.3">
      <c r="AB753" s="202"/>
      <c r="AC753" s="202"/>
      <c r="AD753" s="202"/>
      <c r="AE753" s="202"/>
      <c r="AF753" s="202"/>
    </row>
    <row r="754" spans="28:32" x14ac:dyDescent="0.3">
      <c r="AB754" s="202"/>
      <c r="AC754" s="202"/>
      <c r="AD754" s="202"/>
      <c r="AE754" s="202"/>
      <c r="AF754" s="202"/>
    </row>
    <row r="755" spans="28:32" x14ac:dyDescent="0.3">
      <c r="AB755" s="202"/>
      <c r="AC755" s="202"/>
      <c r="AD755" s="202"/>
      <c r="AE755" s="202"/>
      <c r="AF755" s="202"/>
    </row>
    <row r="756" spans="28:32" x14ac:dyDescent="0.3">
      <c r="AB756" s="202"/>
      <c r="AC756" s="202"/>
      <c r="AD756" s="202"/>
      <c r="AE756" s="202"/>
      <c r="AF756" s="202"/>
    </row>
    <row r="757" spans="28:32" x14ac:dyDescent="0.3">
      <c r="AB757" s="202"/>
      <c r="AC757" s="202"/>
      <c r="AD757" s="202"/>
      <c r="AE757" s="202"/>
      <c r="AF757" s="202"/>
    </row>
    <row r="758" spans="28:32" x14ac:dyDescent="0.3">
      <c r="AB758" s="202"/>
      <c r="AC758" s="202"/>
      <c r="AD758" s="202"/>
      <c r="AE758" s="202"/>
      <c r="AF758" s="202"/>
    </row>
    <row r="759" spans="28:32" x14ac:dyDescent="0.3">
      <c r="AB759" s="202"/>
      <c r="AC759" s="202"/>
      <c r="AD759" s="202"/>
      <c r="AE759" s="202"/>
      <c r="AF759" s="202"/>
    </row>
    <row r="760" spans="28:32" x14ac:dyDescent="0.3">
      <c r="AB760" s="202"/>
      <c r="AC760" s="202"/>
      <c r="AD760" s="202"/>
      <c r="AE760" s="202"/>
      <c r="AF760" s="202"/>
    </row>
    <row r="761" spans="28:32" x14ac:dyDescent="0.3">
      <c r="AB761" s="202"/>
      <c r="AC761" s="202"/>
      <c r="AD761" s="202"/>
      <c r="AE761" s="202"/>
      <c r="AF761" s="202"/>
    </row>
    <row r="762" spans="28:32" x14ac:dyDescent="0.3">
      <c r="AB762" s="202"/>
      <c r="AC762" s="202"/>
      <c r="AD762" s="202"/>
      <c r="AE762" s="202"/>
      <c r="AF762" s="202"/>
    </row>
    <row r="763" spans="28:32" x14ac:dyDescent="0.3">
      <c r="AB763" s="202"/>
      <c r="AC763" s="202"/>
      <c r="AD763" s="202"/>
      <c r="AE763" s="202"/>
      <c r="AF763" s="202"/>
    </row>
    <row r="764" spans="28:32" x14ac:dyDescent="0.3">
      <c r="AB764" s="202"/>
      <c r="AC764" s="202"/>
      <c r="AD764" s="202"/>
      <c r="AE764" s="202"/>
      <c r="AF764" s="202"/>
    </row>
    <row r="765" spans="28:32" x14ac:dyDescent="0.3">
      <c r="AB765" s="202"/>
      <c r="AC765" s="202"/>
      <c r="AD765" s="202"/>
      <c r="AE765" s="202"/>
      <c r="AF765" s="202"/>
    </row>
    <row r="766" spans="28:32" x14ac:dyDescent="0.3">
      <c r="AB766" s="202"/>
      <c r="AC766" s="202"/>
      <c r="AD766" s="202"/>
      <c r="AE766" s="202"/>
      <c r="AF766" s="202"/>
    </row>
    <row r="767" spans="28:32" x14ac:dyDescent="0.3">
      <c r="AB767" s="202"/>
      <c r="AC767" s="202"/>
      <c r="AD767" s="202"/>
      <c r="AE767" s="202"/>
      <c r="AF767" s="202"/>
    </row>
    <row r="768" spans="28:32" x14ac:dyDescent="0.3">
      <c r="AB768" s="202"/>
      <c r="AC768" s="202"/>
      <c r="AD768" s="202"/>
      <c r="AE768" s="202"/>
      <c r="AF768" s="202"/>
    </row>
    <row r="769" spans="28:32" x14ac:dyDescent="0.3">
      <c r="AB769" s="202"/>
      <c r="AC769" s="202"/>
      <c r="AD769" s="202"/>
      <c r="AE769" s="202"/>
      <c r="AF769" s="202"/>
    </row>
    <row r="770" spans="28:32" x14ac:dyDescent="0.3">
      <c r="AB770" s="202"/>
      <c r="AC770" s="202"/>
      <c r="AD770" s="202"/>
      <c r="AE770" s="202"/>
      <c r="AF770" s="202"/>
    </row>
    <row r="771" spans="28:32" x14ac:dyDescent="0.3">
      <c r="AB771" s="202"/>
      <c r="AC771" s="202"/>
      <c r="AD771" s="202"/>
      <c r="AE771" s="202"/>
      <c r="AF771" s="202"/>
    </row>
    <row r="772" spans="28:32" x14ac:dyDescent="0.3">
      <c r="AB772" s="202"/>
      <c r="AC772" s="202"/>
      <c r="AD772" s="202"/>
      <c r="AE772" s="202"/>
      <c r="AF772" s="202"/>
    </row>
    <row r="773" spans="28:32" x14ac:dyDescent="0.3">
      <c r="AB773" s="202"/>
      <c r="AC773" s="202"/>
      <c r="AD773" s="202"/>
      <c r="AE773" s="202"/>
      <c r="AF773" s="202"/>
    </row>
    <row r="774" spans="28:32" x14ac:dyDescent="0.3">
      <c r="AB774" s="202"/>
      <c r="AC774" s="202"/>
      <c r="AD774" s="202"/>
      <c r="AE774" s="202"/>
      <c r="AF774" s="202"/>
    </row>
    <row r="775" spans="28:32" x14ac:dyDescent="0.3">
      <c r="AB775" s="202"/>
      <c r="AC775" s="202"/>
      <c r="AD775" s="202"/>
      <c r="AE775" s="202"/>
      <c r="AF775" s="202"/>
    </row>
    <row r="776" spans="28:32" x14ac:dyDescent="0.3">
      <c r="AB776" s="202"/>
      <c r="AC776" s="202"/>
      <c r="AD776" s="202"/>
      <c r="AE776" s="202"/>
      <c r="AF776" s="202"/>
    </row>
    <row r="777" spans="28:32" x14ac:dyDescent="0.3">
      <c r="AB777" s="202"/>
      <c r="AC777" s="202"/>
      <c r="AD777" s="202"/>
      <c r="AE777" s="202"/>
      <c r="AF777" s="202"/>
    </row>
    <row r="778" spans="28:32" x14ac:dyDescent="0.3">
      <c r="AB778" s="202"/>
      <c r="AC778" s="202"/>
      <c r="AD778" s="202"/>
      <c r="AE778" s="202"/>
      <c r="AF778" s="202"/>
    </row>
    <row r="779" spans="28:32" x14ac:dyDescent="0.3">
      <c r="AB779" s="202"/>
      <c r="AC779" s="202"/>
      <c r="AD779" s="202"/>
      <c r="AE779" s="202"/>
      <c r="AF779" s="202"/>
    </row>
    <row r="780" spans="28:32" x14ac:dyDescent="0.3">
      <c r="AB780" s="202"/>
      <c r="AC780" s="202"/>
      <c r="AD780" s="202"/>
      <c r="AE780" s="202"/>
      <c r="AF780" s="202"/>
    </row>
    <row r="781" spans="28:32" x14ac:dyDescent="0.3">
      <c r="AB781" s="202"/>
      <c r="AC781" s="202"/>
      <c r="AD781" s="202"/>
      <c r="AE781" s="202"/>
      <c r="AF781" s="202"/>
    </row>
    <row r="782" spans="28:32" x14ac:dyDescent="0.3">
      <c r="AB782" s="202"/>
      <c r="AC782" s="202"/>
      <c r="AD782" s="202"/>
      <c r="AE782" s="202"/>
      <c r="AF782" s="202"/>
    </row>
    <row r="783" spans="28:32" x14ac:dyDescent="0.3">
      <c r="AB783" s="202"/>
      <c r="AC783" s="202"/>
      <c r="AD783" s="202"/>
      <c r="AE783" s="202"/>
      <c r="AF783" s="202"/>
    </row>
    <row r="784" spans="28:32" x14ac:dyDescent="0.3">
      <c r="AB784" s="202"/>
      <c r="AC784" s="202"/>
      <c r="AD784" s="202"/>
      <c r="AE784" s="202"/>
      <c r="AF784" s="202"/>
    </row>
    <row r="785" spans="28:32" x14ac:dyDescent="0.3">
      <c r="AB785" s="202"/>
      <c r="AC785" s="202"/>
      <c r="AD785" s="202"/>
      <c r="AE785" s="202"/>
      <c r="AF785" s="202"/>
    </row>
    <row r="786" spans="28:32" x14ac:dyDescent="0.3">
      <c r="AB786" s="202"/>
      <c r="AC786" s="202"/>
      <c r="AD786" s="202"/>
      <c r="AE786" s="202"/>
      <c r="AF786" s="202"/>
    </row>
    <row r="787" spans="28:32" x14ac:dyDescent="0.3">
      <c r="AB787" s="202"/>
      <c r="AC787" s="202"/>
      <c r="AD787" s="202"/>
      <c r="AE787" s="202"/>
      <c r="AF787" s="202"/>
    </row>
    <row r="788" spans="28:32" x14ac:dyDescent="0.3">
      <c r="AB788" s="202"/>
      <c r="AC788" s="202"/>
      <c r="AD788" s="202"/>
      <c r="AE788" s="202"/>
      <c r="AF788" s="202"/>
    </row>
    <row r="789" spans="28:32" x14ac:dyDescent="0.3">
      <c r="AB789" s="202"/>
      <c r="AC789" s="202"/>
      <c r="AD789" s="202"/>
      <c r="AE789" s="202"/>
      <c r="AF789" s="202"/>
    </row>
    <row r="790" spans="28:32" x14ac:dyDescent="0.3">
      <c r="AB790" s="202"/>
      <c r="AC790" s="202"/>
      <c r="AD790" s="202"/>
      <c r="AE790" s="202"/>
      <c r="AF790" s="202"/>
    </row>
    <row r="791" spans="28:32" x14ac:dyDescent="0.3">
      <c r="AB791" s="202"/>
      <c r="AC791" s="202"/>
      <c r="AD791" s="202"/>
      <c r="AE791" s="202"/>
      <c r="AF791" s="202"/>
    </row>
    <row r="792" spans="28:32" x14ac:dyDescent="0.3">
      <c r="AB792" s="202"/>
      <c r="AC792" s="202"/>
      <c r="AD792" s="202"/>
      <c r="AE792" s="202"/>
      <c r="AF792" s="202"/>
    </row>
    <row r="793" spans="28:32" x14ac:dyDescent="0.3">
      <c r="AB793" s="202"/>
      <c r="AC793" s="202"/>
      <c r="AD793" s="202"/>
      <c r="AE793" s="202"/>
      <c r="AF793" s="202"/>
    </row>
    <row r="794" spans="28:32" x14ac:dyDescent="0.3">
      <c r="AB794" s="202"/>
      <c r="AC794" s="202"/>
      <c r="AD794" s="202"/>
      <c r="AE794" s="202"/>
      <c r="AF794" s="202"/>
    </row>
    <row r="795" spans="28:32" x14ac:dyDescent="0.3">
      <c r="AB795" s="202"/>
      <c r="AC795" s="202"/>
      <c r="AD795" s="202"/>
      <c r="AE795" s="202"/>
      <c r="AF795" s="202"/>
    </row>
    <row r="796" spans="28:32" x14ac:dyDescent="0.3">
      <c r="AB796" s="202"/>
      <c r="AC796" s="202"/>
      <c r="AD796" s="202"/>
      <c r="AE796" s="202"/>
      <c r="AF796" s="202"/>
    </row>
    <row r="797" spans="28:32" x14ac:dyDescent="0.3">
      <c r="AB797" s="202"/>
      <c r="AC797" s="202"/>
      <c r="AD797" s="202"/>
      <c r="AE797" s="202"/>
      <c r="AF797" s="202"/>
    </row>
    <row r="798" spans="28:32" x14ac:dyDescent="0.3">
      <c r="AB798" s="202"/>
      <c r="AC798" s="202"/>
      <c r="AD798" s="202"/>
      <c r="AE798" s="202"/>
      <c r="AF798" s="202"/>
    </row>
    <row r="799" spans="28:32" x14ac:dyDescent="0.3">
      <c r="AB799" s="202"/>
      <c r="AC799" s="202"/>
      <c r="AD799" s="202"/>
      <c r="AE799" s="202"/>
      <c r="AF799" s="202"/>
    </row>
    <row r="800" spans="28:32" x14ac:dyDescent="0.3">
      <c r="AB800" s="202"/>
      <c r="AC800" s="202"/>
      <c r="AD800" s="202"/>
      <c r="AE800" s="202"/>
      <c r="AF800" s="202"/>
    </row>
    <row r="801" spans="28:32" x14ac:dyDescent="0.3">
      <c r="AB801" s="202"/>
      <c r="AC801" s="202"/>
      <c r="AD801" s="202"/>
      <c r="AE801" s="202"/>
      <c r="AF801" s="202"/>
    </row>
    <row r="802" spans="28:32" x14ac:dyDescent="0.3">
      <c r="AB802" s="202"/>
      <c r="AC802" s="202"/>
      <c r="AD802" s="202"/>
      <c r="AE802" s="202"/>
      <c r="AF802" s="202"/>
    </row>
    <row r="803" spans="28:32" x14ac:dyDescent="0.3">
      <c r="AB803" s="202"/>
      <c r="AC803" s="202"/>
      <c r="AD803" s="202"/>
      <c r="AE803" s="202"/>
      <c r="AF803" s="202"/>
    </row>
    <row r="804" spans="28:32" x14ac:dyDescent="0.3">
      <c r="AB804" s="202"/>
      <c r="AC804" s="202"/>
      <c r="AD804" s="202"/>
      <c r="AE804" s="202"/>
      <c r="AF804" s="202"/>
    </row>
    <row r="805" spans="28:32" x14ac:dyDescent="0.3">
      <c r="AB805" s="202"/>
      <c r="AC805" s="202"/>
      <c r="AD805" s="202"/>
      <c r="AE805" s="202"/>
      <c r="AF805" s="202"/>
    </row>
    <row r="806" spans="28:32" x14ac:dyDescent="0.3">
      <c r="AB806" s="202"/>
      <c r="AC806" s="202"/>
      <c r="AD806" s="202"/>
      <c r="AE806" s="202"/>
      <c r="AF806" s="202"/>
    </row>
    <row r="807" spans="28:32" x14ac:dyDescent="0.3">
      <c r="AB807" s="202"/>
      <c r="AC807" s="202"/>
      <c r="AD807" s="202"/>
      <c r="AE807" s="202"/>
      <c r="AF807" s="202"/>
    </row>
    <row r="808" spans="28:32" x14ac:dyDescent="0.3">
      <c r="AB808" s="202"/>
      <c r="AC808" s="202"/>
      <c r="AD808" s="202"/>
      <c r="AE808" s="202"/>
      <c r="AF808" s="202"/>
    </row>
    <row r="809" spans="28:32" x14ac:dyDescent="0.3">
      <c r="AB809" s="202"/>
      <c r="AC809" s="202"/>
      <c r="AD809" s="202"/>
      <c r="AE809" s="202"/>
      <c r="AF809" s="202"/>
    </row>
    <row r="810" spans="28:32" x14ac:dyDescent="0.3">
      <c r="AB810" s="202"/>
      <c r="AC810" s="202"/>
      <c r="AD810" s="202"/>
      <c r="AE810" s="202"/>
      <c r="AF810" s="202"/>
    </row>
    <row r="811" spans="28:32" x14ac:dyDescent="0.3">
      <c r="AB811" s="202"/>
      <c r="AC811" s="202"/>
      <c r="AD811" s="202"/>
      <c r="AE811" s="202"/>
      <c r="AF811" s="202"/>
    </row>
    <row r="812" spans="28:32" x14ac:dyDescent="0.3">
      <c r="AB812" s="202"/>
      <c r="AC812" s="202"/>
      <c r="AD812" s="202"/>
      <c r="AE812" s="202"/>
      <c r="AF812" s="202"/>
    </row>
    <row r="813" spans="28:32" x14ac:dyDescent="0.3">
      <c r="AB813" s="202"/>
      <c r="AC813" s="202"/>
      <c r="AD813" s="202"/>
      <c r="AE813" s="202"/>
      <c r="AF813" s="202"/>
    </row>
    <row r="814" spans="28:32" x14ac:dyDescent="0.3">
      <c r="AB814" s="202"/>
      <c r="AC814" s="202"/>
      <c r="AD814" s="202"/>
      <c r="AE814" s="202"/>
      <c r="AF814" s="202"/>
    </row>
    <row r="815" spans="28:32" x14ac:dyDescent="0.3">
      <c r="AB815" s="202"/>
      <c r="AC815" s="202"/>
      <c r="AD815" s="202"/>
      <c r="AE815" s="202"/>
      <c r="AF815" s="202"/>
    </row>
    <row r="816" spans="28:32" x14ac:dyDescent="0.3">
      <c r="AB816" s="202"/>
      <c r="AC816" s="202"/>
      <c r="AD816" s="202"/>
      <c r="AE816" s="202"/>
      <c r="AF816" s="202"/>
    </row>
    <row r="817" spans="28:32" x14ac:dyDescent="0.3">
      <c r="AB817" s="202"/>
      <c r="AC817" s="202"/>
      <c r="AD817" s="202"/>
      <c r="AE817" s="202"/>
      <c r="AF817" s="202"/>
    </row>
    <row r="818" spans="28:32" x14ac:dyDescent="0.3">
      <c r="AB818" s="202"/>
      <c r="AC818" s="202"/>
      <c r="AD818" s="202"/>
      <c r="AE818" s="202"/>
      <c r="AF818" s="202"/>
    </row>
    <row r="819" spans="28:32" x14ac:dyDescent="0.3">
      <c r="AB819" s="202"/>
      <c r="AC819" s="202"/>
      <c r="AD819" s="202"/>
      <c r="AE819" s="202"/>
      <c r="AF819" s="202"/>
    </row>
    <row r="820" spans="28:32" x14ac:dyDescent="0.3">
      <c r="AB820" s="202"/>
      <c r="AC820" s="202"/>
      <c r="AD820" s="202"/>
      <c r="AE820" s="202"/>
      <c r="AF820" s="202"/>
    </row>
    <row r="821" spans="28:32" x14ac:dyDescent="0.3">
      <c r="AB821" s="202"/>
      <c r="AC821" s="202"/>
      <c r="AD821" s="202"/>
      <c r="AE821" s="202"/>
      <c r="AF821" s="202"/>
    </row>
    <row r="822" spans="28:32" x14ac:dyDescent="0.3">
      <c r="AB822" s="202"/>
      <c r="AC822" s="202"/>
      <c r="AD822" s="202"/>
      <c r="AE822" s="202"/>
      <c r="AF822" s="202"/>
    </row>
    <row r="823" spans="28:32" x14ac:dyDescent="0.3">
      <c r="AB823" s="202"/>
      <c r="AC823" s="202"/>
      <c r="AD823" s="202"/>
      <c r="AE823" s="202"/>
      <c r="AF823" s="202"/>
    </row>
    <row r="824" spans="28:32" x14ac:dyDescent="0.3">
      <c r="AB824" s="202"/>
      <c r="AC824" s="202"/>
      <c r="AD824" s="202"/>
      <c r="AE824" s="202"/>
      <c r="AF824" s="202"/>
    </row>
    <row r="825" spans="28:32" x14ac:dyDescent="0.3">
      <c r="AB825" s="202"/>
      <c r="AC825" s="202"/>
      <c r="AD825" s="202"/>
      <c r="AE825" s="202"/>
      <c r="AF825" s="202"/>
    </row>
    <row r="826" spans="28:32" x14ac:dyDescent="0.3">
      <c r="AB826" s="202"/>
      <c r="AC826" s="202"/>
      <c r="AD826" s="202"/>
      <c r="AE826" s="202"/>
      <c r="AF826" s="202"/>
    </row>
    <row r="827" spans="28:32" x14ac:dyDescent="0.3">
      <c r="AB827" s="202"/>
      <c r="AC827" s="202"/>
      <c r="AD827" s="202"/>
      <c r="AE827" s="202"/>
      <c r="AF827" s="202"/>
    </row>
    <row r="828" spans="28:32" x14ac:dyDescent="0.3">
      <c r="AB828" s="202"/>
      <c r="AC828" s="202"/>
      <c r="AD828" s="202"/>
      <c r="AE828" s="202"/>
      <c r="AF828" s="202"/>
    </row>
    <row r="829" spans="28:32" x14ac:dyDescent="0.3">
      <c r="AB829" s="202"/>
      <c r="AC829" s="202"/>
      <c r="AD829" s="202"/>
      <c r="AE829" s="202"/>
      <c r="AF829" s="202"/>
    </row>
    <row r="830" spans="28:32" x14ac:dyDescent="0.3">
      <c r="AB830" s="202"/>
      <c r="AC830" s="202"/>
      <c r="AD830" s="202"/>
      <c r="AE830" s="202"/>
      <c r="AF830" s="202"/>
    </row>
    <row r="831" spans="28:32" x14ac:dyDescent="0.3">
      <c r="AB831" s="202"/>
      <c r="AC831" s="202"/>
      <c r="AD831" s="202"/>
      <c r="AE831" s="202"/>
      <c r="AF831" s="202"/>
    </row>
    <row r="832" spans="28:32" x14ac:dyDescent="0.3">
      <c r="AB832" s="202"/>
      <c r="AC832" s="202"/>
      <c r="AD832" s="202"/>
      <c r="AE832" s="202"/>
      <c r="AF832" s="202"/>
    </row>
    <row r="833" spans="28:32" x14ac:dyDescent="0.3">
      <c r="AB833" s="202"/>
      <c r="AC833" s="202"/>
      <c r="AD833" s="202"/>
      <c r="AE833" s="202"/>
      <c r="AF833" s="202"/>
    </row>
    <row r="834" spans="28:32" x14ac:dyDescent="0.3">
      <c r="AB834" s="202"/>
      <c r="AC834" s="202"/>
      <c r="AD834" s="202"/>
      <c r="AE834" s="202"/>
      <c r="AF834" s="202"/>
    </row>
    <row r="835" spans="28:32" x14ac:dyDescent="0.3">
      <c r="AB835" s="202"/>
      <c r="AC835" s="202"/>
      <c r="AD835" s="202"/>
      <c r="AE835" s="202"/>
      <c r="AF835" s="202"/>
    </row>
    <row r="836" spans="28:32" x14ac:dyDescent="0.3">
      <c r="AB836" s="202"/>
      <c r="AC836" s="202"/>
      <c r="AD836" s="202"/>
      <c r="AE836" s="202"/>
      <c r="AF836" s="202"/>
    </row>
    <row r="837" spans="28:32" x14ac:dyDescent="0.3">
      <c r="AB837" s="202"/>
      <c r="AC837" s="202"/>
      <c r="AD837" s="202"/>
      <c r="AE837" s="202"/>
      <c r="AF837" s="202"/>
    </row>
    <row r="838" spans="28:32" x14ac:dyDescent="0.3">
      <c r="AB838" s="202"/>
      <c r="AC838" s="202"/>
      <c r="AD838" s="202"/>
      <c r="AE838" s="202"/>
      <c r="AF838" s="202"/>
    </row>
    <row r="839" spans="28:32" x14ac:dyDescent="0.3">
      <c r="AB839" s="202"/>
      <c r="AC839" s="202"/>
      <c r="AD839" s="202"/>
      <c r="AE839" s="202"/>
      <c r="AF839" s="202"/>
    </row>
    <row r="840" spans="28:32" x14ac:dyDescent="0.3">
      <c r="AB840" s="202"/>
      <c r="AC840" s="202"/>
      <c r="AD840" s="202"/>
      <c r="AE840" s="202"/>
      <c r="AF840" s="202"/>
    </row>
    <row r="841" spans="28:32" x14ac:dyDescent="0.3">
      <c r="AB841" s="202"/>
      <c r="AC841" s="202"/>
      <c r="AD841" s="202"/>
      <c r="AE841" s="202"/>
      <c r="AF841" s="202"/>
    </row>
    <row r="842" spans="28:32" x14ac:dyDescent="0.3">
      <c r="AB842" s="202"/>
      <c r="AC842" s="202"/>
      <c r="AD842" s="202"/>
      <c r="AE842" s="202"/>
      <c r="AF842" s="202"/>
    </row>
    <row r="843" spans="28:32" x14ac:dyDescent="0.3">
      <c r="AB843" s="202"/>
      <c r="AC843" s="202"/>
      <c r="AD843" s="202"/>
      <c r="AE843" s="202"/>
      <c r="AF843" s="202"/>
    </row>
    <row r="844" spans="28:32" x14ac:dyDescent="0.3">
      <c r="AB844" s="202"/>
      <c r="AC844" s="202"/>
      <c r="AD844" s="202"/>
      <c r="AE844" s="202"/>
      <c r="AF844" s="202"/>
    </row>
    <row r="845" spans="28:32" x14ac:dyDescent="0.3">
      <c r="AB845" s="202"/>
      <c r="AC845" s="202"/>
      <c r="AD845" s="202"/>
      <c r="AE845" s="202"/>
      <c r="AF845" s="202"/>
    </row>
    <row r="846" spans="28:32" x14ac:dyDescent="0.3">
      <c r="AB846" s="202"/>
      <c r="AC846" s="202"/>
      <c r="AD846" s="202"/>
      <c r="AE846" s="202"/>
      <c r="AF846" s="202"/>
    </row>
    <row r="847" spans="28:32" x14ac:dyDescent="0.3">
      <c r="AB847" s="202"/>
      <c r="AC847" s="202"/>
      <c r="AD847" s="202"/>
      <c r="AE847" s="202"/>
      <c r="AF847" s="202"/>
    </row>
    <row r="848" spans="28:32" x14ac:dyDescent="0.3">
      <c r="AB848" s="202"/>
      <c r="AC848" s="202"/>
      <c r="AD848" s="202"/>
      <c r="AE848" s="202"/>
      <c r="AF848" s="202"/>
    </row>
    <row r="849" spans="28:32" x14ac:dyDescent="0.3">
      <c r="AB849" s="202"/>
      <c r="AC849" s="202"/>
      <c r="AD849" s="202"/>
      <c r="AE849" s="202"/>
      <c r="AF849" s="202"/>
    </row>
    <row r="850" spans="28:32" x14ac:dyDescent="0.3">
      <c r="AB850" s="202"/>
      <c r="AC850" s="202"/>
      <c r="AD850" s="202"/>
      <c r="AE850" s="202"/>
      <c r="AF850" s="202"/>
    </row>
    <row r="851" spans="28:32" x14ac:dyDescent="0.3">
      <c r="AB851" s="202"/>
      <c r="AC851" s="202"/>
      <c r="AD851" s="202"/>
      <c r="AE851" s="202"/>
      <c r="AF851" s="202"/>
    </row>
    <row r="852" spans="28:32" x14ac:dyDescent="0.3">
      <c r="AB852" s="202"/>
      <c r="AC852" s="202"/>
      <c r="AD852" s="202"/>
      <c r="AE852" s="202"/>
      <c r="AF852" s="202"/>
    </row>
    <row r="853" spans="28:32" x14ac:dyDescent="0.3">
      <c r="AB853" s="202"/>
      <c r="AC853" s="202"/>
      <c r="AD853" s="202"/>
      <c r="AE853" s="202"/>
      <c r="AF853" s="202"/>
    </row>
    <row r="854" spans="28:32" x14ac:dyDescent="0.3">
      <c r="AB854" s="202"/>
      <c r="AC854" s="202"/>
      <c r="AD854" s="202"/>
      <c r="AE854" s="202"/>
      <c r="AF854" s="202"/>
    </row>
  </sheetData>
  <autoFilter ref="A1:AI493" xr:uid="{B04853D2-1B24-8647-9A24-533591AE7F0A}">
    <filterColumn colId="0">
      <filters>
        <dateGroupItem year="2024" month="2" dateTimeGrouping="month"/>
        <dateGroupItem year="2023" dateTimeGrouping="year"/>
      </filters>
    </filterColumn>
    <filterColumn colId="2">
      <filters>
        <filter val="swab_head_retention"/>
      </filters>
    </filterColumn>
    <filterColumn colId="11">
      <filters>
        <filter val="positive_control"/>
      </filters>
    </filterColumn>
  </autoFilter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8F42-090F-E245-9A12-08A61FA48728}">
  <dimension ref="A1:BE98"/>
  <sheetViews>
    <sheetView tabSelected="1" topLeftCell="W2" workbookViewId="0">
      <selection activeCell="AC16" sqref="A1:AI98"/>
    </sheetView>
  </sheetViews>
  <sheetFormatPr defaultColWidth="11.19921875" defaultRowHeight="15.6" x14ac:dyDescent="0.3"/>
  <cols>
    <col min="1" max="1" width="10.5" bestFit="1" customWidth="1"/>
    <col min="2" max="2" width="14.5" bestFit="1" customWidth="1"/>
    <col min="3" max="3" width="22" customWidth="1"/>
    <col min="8" max="8" width="17.19921875" bestFit="1" customWidth="1"/>
    <col min="9" max="9" width="18.5" bestFit="1" customWidth="1"/>
    <col min="10" max="10" width="17.296875" customWidth="1"/>
    <col min="11" max="11" width="15" customWidth="1"/>
    <col min="12" max="12" width="30.796875" bestFit="1" customWidth="1"/>
    <col min="13" max="13" width="15.5" customWidth="1"/>
    <col min="14" max="14" width="12.796875" customWidth="1"/>
    <col min="15" max="15" width="14.69921875" customWidth="1"/>
    <col min="16" max="17" width="10.796875" customWidth="1"/>
    <col min="18" max="18" width="14.796875" customWidth="1"/>
    <col min="19" max="19" width="17.19921875" customWidth="1"/>
    <col min="20" max="20" width="17.69921875" customWidth="1"/>
    <col min="21" max="21" width="18.5" customWidth="1"/>
    <col min="22" max="22" width="18" customWidth="1"/>
    <col min="23" max="23" width="21.296875" customWidth="1"/>
    <col min="24" max="24" width="19.296875" customWidth="1"/>
    <col min="25" max="25" width="20.796875" customWidth="1"/>
    <col min="26" max="26" width="6.296875" customWidth="1"/>
    <col min="27" max="27" width="19.5" customWidth="1"/>
    <col min="29" max="29" width="49.296875" customWidth="1"/>
    <col min="32" max="32" width="10.796875" style="755"/>
    <col min="51" max="51" width="30.69921875" bestFit="1" customWidth="1"/>
    <col min="52" max="52" width="27.296875" bestFit="1" customWidth="1"/>
    <col min="53" max="53" width="22.69921875" bestFit="1" customWidth="1"/>
    <col min="54" max="54" width="22.69921875" customWidth="1"/>
    <col min="55" max="55" width="12.5" bestFit="1" customWidth="1"/>
    <col min="56" max="56" width="26.69921875" customWidth="1"/>
    <col min="57" max="57" width="17.296875" style="749" customWidth="1"/>
  </cols>
  <sheetData>
    <row r="1" spans="1:57" ht="125.4" thickBot="1" x14ac:dyDescent="0.35">
      <c r="A1" s="415" t="s">
        <v>3</v>
      </c>
      <c r="B1" s="564" t="s">
        <v>579</v>
      </c>
      <c r="C1" s="565" t="s">
        <v>578</v>
      </c>
      <c r="D1" s="565" t="s">
        <v>489</v>
      </c>
      <c r="E1" s="565" t="s">
        <v>586</v>
      </c>
      <c r="F1" s="565" t="s">
        <v>587</v>
      </c>
      <c r="G1" s="566" t="s">
        <v>492</v>
      </c>
      <c r="H1" s="567" t="s">
        <v>580</v>
      </c>
      <c r="I1" s="566" t="s">
        <v>516</v>
      </c>
      <c r="J1" s="567" t="s">
        <v>494</v>
      </c>
      <c r="K1" s="566" t="s">
        <v>515</v>
      </c>
      <c r="L1" s="567" t="s">
        <v>4</v>
      </c>
      <c r="M1" s="566" t="s">
        <v>594</v>
      </c>
      <c r="N1" s="568" t="s">
        <v>581</v>
      </c>
      <c r="O1" s="568" t="s">
        <v>513</v>
      </c>
      <c r="P1" s="568" t="s">
        <v>493</v>
      </c>
      <c r="Q1" s="568" t="s">
        <v>495</v>
      </c>
      <c r="R1" s="416" t="s">
        <v>582</v>
      </c>
      <c r="S1" s="417" t="s">
        <v>583</v>
      </c>
      <c r="T1" s="417" t="s">
        <v>540</v>
      </c>
      <c r="U1" s="569" t="s">
        <v>491</v>
      </c>
      <c r="V1" s="418" t="s">
        <v>490</v>
      </c>
      <c r="W1" s="419" t="s">
        <v>590</v>
      </c>
      <c r="X1" s="420" t="s">
        <v>604</v>
      </c>
      <c r="Y1" s="421" t="s">
        <v>605</v>
      </c>
      <c r="Z1" s="420" t="s">
        <v>643</v>
      </c>
      <c r="AA1" s="422" t="s">
        <v>609</v>
      </c>
      <c r="AB1" s="750" t="s">
        <v>775</v>
      </c>
      <c r="AC1" s="751" t="s">
        <v>816</v>
      </c>
      <c r="AD1" s="751" t="s">
        <v>825</v>
      </c>
      <c r="AE1" s="751" t="s">
        <v>826</v>
      </c>
      <c r="AF1" s="751" t="s">
        <v>827</v>
      </c>
      <c r="AG1" s="751" t="s">
        <v>828</v>
      </c>
      <c r="AH1" s="751" t="s">
        <v>829</v>
      </c>
      <c r="AI1" s="751" t="s">
        <v>830</v>
      </c>
      <c r="AW1" s="92" t="s">
        <v>774</v>
      </c>
      <c r="AX1" s="93" t="s">
        <v>775</v>
      </c>
      <c r="AY1" s="748" t="s">
        <v>816</v>
      </c>
      <c r="AZ1" s="748" t="s">
        <v>825</v>
      </c>
      <c r="BA1" s="748" t="s">
        <v>826</v>
      </c>
      <c r="BB1" s="748" t="s">
        <v>827</v>
      </c>
      <c r="BC1" s="748" t="s">
        <v>828</v>
      </c>
      <c r="BD1" s="748" t="s">
        <v>829</v>
      </c>
      <c r="BE1" s="748" t="s">
        <v>830</v>
      </c>
    </row>
    <row r="2" spans="1:57" ht="16.2" thickBot="1" x14ac:dyDescent="0.35">
      <c r="A2" s="423">
        <v>45217</v>
      </c>
      <c r="B2" s="424" t="s">
        <v>663</v>
      </c>
      <c r="C2" s="425" t="s">
        <v>549</v>
      </c>
      <c r="D2" s="426" t="s">
        <v>0</v>
      </c>
      <c r="E2" s="426" t="s">
        <v>0</v>
      </c>
      <c r="F2" s="426" t="s">
        <v>0</v>
      </c>
      <c r="G2" s="426" t="s">
        <v>563</v>
      </c>
      <c r="H2" s="427" t="s">
        <v>90</v>
      </c>
      <c r="I2" s="428" t="s">
        <v>521</v>
      </c>
      <c r="J2" s="429" t="s">
        <v>0</v>
      </c>
      <c r="K2" s="426" t="s">
        <v>531</v>
      </c>
      <c r="L2" s="426" t="s">
        <v>521</v>
      </c>
      <c r="M2" s="428" t="s">
        <v>532</v>
      </c>
      <c r="N2" s="430" t="s">
        <v>532</v>
      </c>
      <c r="O2" s="430" t="s">
        <v>570</v>
      </c>
      <c r="P2" s="430" t="s">
        <v>573</v>
      </c>
      <c r="Q2" s="430" t="s">
        <v>0</v>
      </c>
      <c r="R2" s="431" t="s">
        <v>0</v>
      </c>
      <c r="S2" s="432">
        <v>100</v>
      </c>
      <c r="T2" s="433" t="s">
        <v>0</v>
      </c>
      <c r="U2" s="428" t="s">
        <v>0</v>
      </c>
      <c r="V2" s="433" t="s">
        <v>0</v>
      </c>
      <c r="W2" s="434">
        <v>22.6</v>
      </c>
      <c r="X2" s="435">
        <v>21.1</v>
      </c>
      <c r="Y2" s="428">
        <v>528.65141930000004</v>
      </c>
      <c r="Z2" s="431">
        <v>2</v>
      </c>
      <c r="AA2" s="436" t="s">
        <v>620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W2" s="735" t="s">
        <v>338</v>
      </c>
      <c r="AX2" s="735" t="s">
        <v>338</v>
      </c>
      <c r="AY2" t="s">
        <v>817</v>
      </c>
      <c r="AZ2">
        <v>0.3</v>
      </c>
      <c r="BA2">
        <v>1.6</v>
      </c>
      <c r="BB2" s="749">
        <v>0.20411998265592479</v>
      </c>
      <c r="BC2">
        <v>1</v>
      </c>
      <c r="BD2">
        <v>40</v>
      </c>
      <c r="BE2" s="749">
        <v>1.6020599913279623</v>
      </c>
    </row>
    <row r="3" spans="1:57" x14ac:dyDescent="0.3">
      <c r="A3" s="437">
        <v>45222</v>
      </c>
      <c r="B3" s="438" t="s">
        <v>664</v>
      </c>
      <c r="C3" s="439" t="s">
        <v>548</v>
      </c>
      <c r="D3" s="440" t="s">
        <v>552</v>
      </c>
      <c r="E3" s="441" t="s">
        <v>588</v>
      </c>
      <c r="F3" s="441" t="s">
        <v>584</v>
      </c>
      <c r="G3" s="442" t="s">
        <v>563</v>
      </c>
      <c r="H3" s="443" t="s">
        <v>32</v>
      </c>
      <c r="I3" s="442" t="s">
        <v>523</v>
      </c>
      <c r="J3" s="444" t="s">
        <v>550</v>
      </c>
      <c r="K3" s="445" t="s">
        <v>531</v>
      </c>
      <c r="L3" s="441" t="s">
        <v>607</v>
      </c>
      <c r="M3" s="442" t="s">
        <v>531</v>
      </c>
      <c r="N3" s="446" t="s">
        <v>532</v>
      </c>
      <c r="O3" s="446" t="s">
        <v>570</v>
      </c>
      <c r="P3" s="446" t="s">
        <v>573</v>
      </c>
      <c r="Q3" s="447" t="s">
        <v>0</v>
      </c>
      <c r="R3" s="448" t="s">
        <v>519</v>
      </c>
      <c r="S3" s="449">
        <v>100</v>
      </c>
      <c r="T3" s="450">
        <v>25</v>
      </c>
      <c r="U3" s="442" t="s">
        <v>0</v>
      </c>
      <c r="V3" s="450" t="s">
        <v>0</v>
      </c>
      <c r="W3" s="451">
        <v>8.24</v>
      </c>
      <c r="X3" s="452">
        <v>7.72</v>
      </c>
      <c r="Y3" s="442">
        <v>192.90010079999999</v>
      </c>
      <c r="Z3" s="448">
        <v>2</v>
      </c>
      <c r="AA3" s="410" t="s">
        <v>613</v>
      </c>
      <c r="AB3" t="s">
        <v>776</v>
      </c>
      <c r="AC3" t="s">
        <v>819</v>
      </c>
      <c r="AD3">
        <v>1.6</v>
      </c>
      <c r="AE3">
        <v>9.3780000000000001</v>
      </c>
      <c r="AF3" s="767">
        <v>0.97211022840283057</v>
      </c>
      <c r="AG3">
        <v>1</v>
      </c>
      <c r="AH3">
        <v>469</v>
      </c>
      <c r="AI3">
        <v>2.6711728427150834</v>
      </c>
      <c r="AW3" s="322" t="s">
        <v>356</v>
      </c>
      <c r="AX3" s="322" t="s">
        <v>356</v>
      </c>
      <c r="AY3" t="s">
        <v>817</v>
      </c>
      <c r="AZ3">
        <v>1.1000000000000001</v>
      </c>
      <c r="BA3">
        <v>6.4</v>
      </c>
      <c r="BB3" s="749">
        <v>0.80617997398388719</v>
      </c>
      <c r="BC3">
        <v>1</v>
      </c>
      <c r="BD3">
        <v>321</v>
      </c>
      <c r="BE3" s="749">
        <v>2.5065050324048719</v>
      </c>
    </row>
    <row r="4" spans="1:57" x14ac:dyDescent="0.3">
      <c r="A4" s="437">
        <v>45222</v>
      </c>
      <c r="B4" s="438" t="s">
        <v>665</v>
      </c>
      <c r="C4" s="439" t="s">
        <v>548</v>
      </c>
      <c r="D4" s="440" t="s">
        <v>552</v>
      </c>
      <c r="E4" s="441" t="s">
        <v>588</v>
      </c>
      <c r="F4" s="441" t="s">
        <v>584</v>
      </c>
      <c r="G4" s="442" t="s">
        <v>563</v>
      </c>
      <c r="H4" s="443" t="s">
        <v>33</v>
      </c>
      <c r="I4" s="442" t="s">
        <v>523</v>
      </c>
      <c r="J4" s="453" t="s">
        <v>551</v>
      </c>
      <c r="K4" s="445" t="s">
        <v>531</v>
      </c>
      <c r="L4" s="441" t="s">
        <v>607</v>
      </c>
      <c r="M4" s="442" t="s">
        <v>531</v>
      </c>
      <c r="N4" s="446" t="s">
        <v>532</v>
      </c>
      <c r="O4" s="446" t="s">
        <v>570</v>
      </c>
      <c r="P4" s="446" t="s">
        <v>573</v>
      </c>
      <c r="Q4" s="447" t="s">
        <v>0</v>
      </c>
      <c r="R4" s="448" t="s">
        <v>519</v>
      </c>
      <c r="S4" s="449">
        <v>100</v>
      </c>
      <c r="T4" s="450">
        <v>25</v>
      </c>
      <c r="U4" s="442" t="s">
        <v>0</v>
      </c>
      <c r="V4" s="450" t="s">
        <v>0</v>
      </c>
      <c r="W4" s="451">
        <v>11.8</v>
      </c>
      <c r="X4" s="452">
        <v>11.1</v>
      </c>
      <c r="Y4" s="442">
        <v>276.64398499999999</v>
      </c>
      <c r="Z4" s="448">
        <v>2</v>
      </c>
      <c r="AA4" s="410" t="s">
        <v>612</v>
      </c>
      <c r="AB4" t="s">
        <v>781</v>
      </c>
      <c r="AC4" t="s">
        <v>983</v>
      </c>
      <c r="AD4">
        <v>1.6</v>
      </c>
      <c r="AE4">
        <v>9.7439999999999998</v>
      </c>
      <c r="AF4" s="767">
        <v>0.98873727528880018</v>
      </c>
      <c r="AG4">
        <v>1</v>
      </c>
      <c r="AH4">
        <v>487</v>
      </c>
      <c r="AI4">
        <v>2.6875289612146345</v>
      </c>
      <c r="AW4" s="735" t="s">
        <v>367</v>
      </c>
      <c r="AX4" s="735" t="s">
        <v>367</v>
      </c>
      <c r="AY4" t="s">
        <v>817</v>
      </c>
      <c r="AZ4">
        <v>2.1</v>
      </c>
      <c r="BA4">
        <v>12.8</v>
      </c>
      <c r="BB4" s="749">
        <v>1.1072099696478683</v>
      </c>
      <c r="BC4">
        <v>1</v>
      </c>
      <c r="BD4">
        <v>641</v>
      </c>
      <c r="BE4" s="749">
        <v>2.8068580295188172</v>
      </c>
    </row>
    <row r="5" spans="1:57" x14ac:dyDescent="0.3">
      <c r="A5" s="437">
        <v>45222</v>
      </c>
      <c r="B5" s="438" t="s">
        <v>666</v>
      </c>
      <c r="C5" s="439" t="s">
        <v>548</v>
      </c>
      <c r="D5" s="440" t="s">
        <v>552</v>
      </c>
      <c r="E5" s="441" t="s">
        <v>588</v>
      </c>
      <c r="F5" s="441" t="s">
        <v>584</v>
      </c>
      <c r="G5" s="442" t="s">
        <v>563</v>
      </c>
      <c r="H5" s="443" t="s">
        <v>34</v>
      </c>
      <c r="I5" s="442" t="s">
        <v>522</v>
      </c>
      <c r="J5" s="454" t="s">
        <v>550</v>
      </c>
      <c r="K5" s="445" t="s">
        <v>531</v>
      </c>
      <c r="L5" s="441" t="s">
        <v>606</v>
      </c>
      <c r="M5" s="442" t="s">
        <v>531</v>
      </c>
      <c r="N5" s="446" t="s">
        <v>532</v>
      </c>
      <c r="O5" s="446" t="s">
        <v>570</v>
      </c>
      <c r="P5" s="446" t="s">
        <v>573</v>
      </c>
      <c r="Q5" s="447" t="s">
        <v>0</v>
      </c>
      <c r="R5" s="448" t="s">
        <v>519</v>
      </c>
      <c r="S5" s="449">
        <v>100</v>
      </c>
      <c r="T5" s="450">
        <v>25</v>
      </c>
      <c r="U5" s="442" t="s">
        <v>0</v>
      </c>
      <c r="V5" s="450" t="s">
        <v>0</v>
      </c>
      <c r="W5" s="451">
        <v>11.4</v>
      </c>
      <c r="X5" s="452">
        <v>10.7</v>
      </c>
      <c r="Y5" s="442">
        <v>267.38862610000001</v>
      </c>
      <c r="Z5" s="448">
        <v>2</v>
      </c>
      <c r="AA5" s="410" t="s">
        <v>615</v>
      </c>
      <c r="AB5" t="s">
        <v>786</v>
      </c>
      <c r="AC5" t="s">
        <v>820</v>
      </c>
      <c r="AD5">
        <v>1.5</v>
      </c>
      <c r="AE5">
        <v>9.1080000000000005</v>
      </c>
      <c r="AF5" s="767">
        <v>0.95942302194310525</v>
      </c>
      <c r="AG5">
        <v>1</v>
      </c>
      <c r="AH5">
        <v>455</v>
      </c>
      <c r="AI5">
        <v>2.6580113966571126</v>
      </c>
      <c r="AW5" s="323" t="s">
        <v>388</v>
      </c>
      <c r="AX5" s="323" t="s">
        <v>388</v>
      </c>
      <c r="AY5" t="s">
        <v>817</v>
      </c>
      <c r="AZ5">
        <v>0.4</v>
      </c>
      <c r="BA5">
        <v>2.1</v>
      </c>
      <c r="BB5" s="749">
        <v>0.3222192947339193</v>
      </c>
      <c r="BC5">
        <v>1</v>
      </c>
      <c r="BD5">
        <v>107</v>
      </c>
      <c r="BE5" s="749">
        <v>2.0293837776852097</v>
      </c>
    </row>
    <row r="6" spans="1:57" x14ac:dyDescent="0.3">
      <c r="A6" s="437">
        <v>45222</v>
      </c>
      <c r="B6" s="438" t="s">
        <v>667</v>
      </c>
      <c r="C6" s="439" t="s">
        <v>548</v>
      </c>
      <c r="D6" s="440" t="s">
        <v>552</v>
      </c>
      <c r="E6" s="441" t="s">
        <v>588</v>
      </c>
      <c r="F6" s="441" t="s">
        <v>584</v>
      </c>
      <c r="G6" s="442" t="s">
        <v>563</v>
      </c>
      <c r="H6" s="443" t="s">
        <v>35</v>
      </c>
      <c r="I6" s="442" t="s">
        <v>522</v>
      </c>
      <c r="J6" s="455" t="s">
        <v>551</v>
      </c>
      <c r="K6" s="445" t="s">
        <v>531</v>
      </c>
      <c r="L6" s="441" t="s">
        <v>606</v>
      </c>
      <c r="M6" s="442" t="s">
        <v>531</v>
      </c>
      <c r="N6" s="446" t="s">
        <v>532</v>
      </c>
      <c r="O6" s="446" t="s">
        <v>570</v>
      </c>
      <c r="P6" s="446" t="s">
        <v>573</v>
      </c>
      <c r="Q6" s="447" t="s">
        <v>0</v>
      </c>
      <c r="R6" s="448" t="s">
        <v>519</v>
      </c>
      <c r="S6" s="449">
        <v>100</v>
      </c>
      <c r="T6" s="450">
        <v>25</v>
      </c>
      <c r="U6" s="442" t="s">
        <v>0</v>
      </c>
      <c r="V6" s="450" t="s">
        <v>0</v>
      </c>
      <c r="W6" s="451">
        <v>4.9000000000000004</v>
      </c>
      <c r="X6" s="452">
        <v>4.58</v>
      </c>
      <c r="Y6" s="442">
        <v>114.5927179</v>
      </c>
      <c r="Z6" s="448">
        <v>2</v>
      </c>
      <c r="AA6" s="410" t="s">
        <v>616</v>
      </c>
      <c r="AB6" t="s">
        <v>795</v>
      </c>
      <c r="AC6" t="s">
        <v>821</v>
      </c>
      <c r="AD6">
        <v>2.8</v>
      </c>
      <c r="AE6">
        <v>16.649999999999999</v>
      </c>
      <c r="AF6" s="767">
        <v>1.2214142378423387</v>
      </c>
      <c r="AG6">
        <v>1</v>
      </c>
      <c r="AH6">
        <v>833</v>
      </c>
      <c r="AI6">
        <v>2.9206450014067875</v>
      </c>
      <c r="AW6" s="736" t="s">
        <v>436</v>
      </c>
      <c r="AX6" s="736" t="s">
        <v>436</v>
      </c>
      <c r="AY6" t="s">
        <v>817</v>
      </c>
      <c r="AZ6">
        <v>0.4</v>
      </c>
      <c r="BA6">
        <v>2.1</v>
      </c>
      <c r="BB6" s="749">
        <v>0.3222192947339193</v>
      </c>
      <c r="BC6">
        <v>1</v>
      </c>
      <c r="BD6">
        <v>107</v>
      </c>
      <c r="BE6" s="749">
        <v>2.0293837776852097</v>
      </c>
    </row>
    <row r="7" spans="1:57" x14ac:dyDescent="0.3">
      <c r="A7" s="437">
        <v>45245</v>
      </c>
      <c r="B7" s="438" t="s">
        <v>668</v>
      </c>
      <c r="C7" s="439" t="s">
        <v>548</v>
      </c>
      <c r="D7" s="440" t="s">
        <v>552</v>
      </c>
      <c r="E7" s="441" t="s">
        <v>588</v>
      </c>
      <c r="F7" s="441" t="s">
        <v>584</v>
      </c>
      <c r="G7" s="442" t="s">
        <v>563</v>
      </c>
      <c r="H7" s="456" t="s">
        <v>76</v>
      </c>
      <c r="I7" s="445" t="s">
        <v>522</v>
      </c>
      <c r="J7" s="457" t="s">
        <v>550</v>
      </c>
      <c r="K7" s="442" t="s">
        <v>531</v>
      </c>
      <c r="L7" s="448" t="s">
        <v>606</v>
      </c>
      <c r="M7" s="441" t="s">
        <v>531</v>
      </c>
      <c r="N7" s="441" t="s">
        <v>532</v>
      </c>
      <c r="O7" s="441" t="s">
        <v>570</v>
      </c>
      <c r="P7" s="445" t="s">
        <v>573</v>
      </c>
      <c r="Q7" s="458" t="s">
        <v>0</v>
      </c>
      <c r="R7" s="448" t="s">
        <v>519</v>
      </c>
      <c r="S7" s="459">
        <v>100</v>
      </c>
      <c r="T7" s="450">
        <v>25</v>
      </c>
      <c r="U7" s="442" t="s">
        <v>0</v>
      </c>
      <c r="V7" s="450" t="s">
        <v>0</v>
      </c>
      <c r="W7" s="451">
        <v>21.9</v>
      </c>
      <c r="X7" s="452">
        <v>20.5</v>
      </c>
      <c r="Y7" s="458">
        <v>512.0818458</v>
      </c>
      <c r="Z7" s="448">
        <v>2</v>
      </c>
      <c r="AA7" s="410" t="s">
        <v>615</v>
      </c>
      <c r="AB7" t="s">
        <v>787</v>
      </c>
      <c r="AC7" t="s">
        <v>820</v>
      </c>
      <c r="AD7">
        <v>3.5</v>
      </c>
      <c r="AE7">
        <v>20.885999999999999</v>
      </c>
      <c r="AF7" s="767">
        <v>1.3198552736679321</v>
      </c>
      <c r="AG7">
        <v>1</v>
      </c>
      <c r="AH7">
        <v>1040</v>
      </c>
      <c r="AI7">
        <v>3.0170333392987803</v>
      </c>
      <c r="AW7" s="323" t="s">
        <v>478</v>
      </c>
      <c r="AX7" s="323" t="s">
        <v>478</v>
      </c>
      <c r="AY7" t="s">
        <v>817</v>
      </c>
      <c r="AZ7">
        <v>0</v>
      </c>
      <c r="BA7">
        <v>0</v>
      </c>
      <c r="BB7" s="749">
        <v>0</v>
      </c>
      <c r="BC7">
        <v>1</v>
      </c>
      <c r="BD7">
        <v>0</v>
      </c>
      <c r="BE7" s="749">
        <v>0</v>
      </c>
    </row>
    <row r="8" spans="1:57" x14ac:dyDescent="0.3">
      <c r="A8" s="437">
        <v>45245</v>
      </c>
      <c r="B8" s="438" t="s">
        <v>669</v>
      </c>
      <c r="C8" s="439" t="s">
        <v>548</v>
      </c>
      <c r="D8" s="440" t="s">
        <v>552</v>
      </c>
      <c r="E8" s="441" t="s">
        <v>588</v>
      </c>
      <c r="F8" s="441" t="s">
        <v>584</v>
      </c>
      <c r="G8" s="442" t="s">
        <v>563</v>
      </c>
      <c r="H8" s="443" t="s">
        <v>77</v>
      </c>
      <c r="I8" s="441" t="s">
        <v>522</v>
      </c>
      <c r="J8" s="457" t="s">
        <v>550</v>
      </c>
      <c r="K8" s="442" t="s">
        <v>531</v>
      </c>
      <c r="L8" s="448" t="s">
        <v>606</v>
      </c>
      <c r="M8" s="441" t="s">
        <v>531</v>
      </c>
      <c r="N8" s="441" t="s">
        <v>532</v>
      </c>
      <c r="O8" s="441" t="s">
        <v>570</v>
      </c>
      <c r="P8" s="442" t="s">
        <v>574</v>
      </c>
      <c r="Q8" s="447" t="s">
        <v>0</v>
      </c>
      <c r="R8" s="448" t="s">
        <v>519</v>
      </c>
      <c r="S8" s="459">
        <v>100</v>
      </c>
      <c r="T8" s="450">
        <v>25</v>
      </c>
      <c r="U8" s="442" t="s">
        <v>0</v>
      </c>
      <c r="V8" s="450" t="s">
        <v>0</v>
      </c>
      <c r="W8" s="451">
        <v>15.3</v>
      </c>
      <c r="X8" s="452">
        <v>14.4</v>
      </c>
      <c r="Y8" s="458">
        <v>359.09730919999998</v>
      </c>
      <c r="Z8" s="448">
        <v>2</v>
      </c>
      <c r="AA8" s="410" t="s">
        <v>615</v>
      </c>
      <c r="AB8" t="s">
        <v>788</v>
      </c>
      <c r="AC8" t="s">
        <v>820</v>
      </c>
      <c r="AD8">
        <v>2.4</v>
      </c>
      <c r="AE8">
        <v>14.244</v>
      </c>
      <c r="AF8" s="767">
        <v>1.153631965002216</v>
      </c>
      <c r="AG8">
        <v>1</v>
      </c>
      <c r="AH8">
        <v>712</v>
      </c>
      <c r="AI8">
        <v>2.8524799936368566</v>
      </c>
      <c r="AW8" s="737" t="s">
        <v>343</v>
      </c>
      <c r="AX8" s="737" t="s">
        <v>343</v>
      </c>
      <c r="AY8" t="s">
        <v>818</v>
      </c>
      <c r="AZ8">
        <v>0.6</v>
      </c>
      <c r="BA8">
        <v>3.9</v>
      </c>
      <c r="BB8" s="749">
        <v>0.59106460702649921</v>
      </c>
      <c r="BC8">
        <v>1</v>
      </c>
      <c r="BD8">
        <v>97</v>
      </c>
      <c r="BE8" s="749">
        <v>1.9867717342662448</v>
      </c>
    </row>
    <row r="9" spans="1:57" x14ac:dyDescent="0.3">
      <c r="A9" s="437">
        <v>45245</v>
      </c>
      <c r="B9" s="438" t="s">
        <v>670</v>
      </c>
      <c r="C9" s="439" t="s">
        <v>548</v>
      </c>
      <c r="D9" s="440" t="s">
        <v>552</v>
      </c>
      <c r="E9" s="441" t="s">
        <v>588</v>
      </c>
      <c r="F9" s="441" t="s">
        <v>584</v>
      </c>
      <c r="G9" s="442" t="s">
        <v>563</v>
      </c>
      <c r="H9" s="443" t="s">
        <v>78</v>
      </c>
      <c r="I9" s="445" t="s">
        <v>522</v>
      </c>
      <c r="J9" s="457" t="s">
        <v>550</v>
      </c>
      <c r="K9" s="441" t="s">
        <v>531</v>
      </c>
      <c r="L9" s="441" t="s">
        <v>606</v>
      </c>
      <c r="M9" s="441" t="s">
        <v>531</v>
      </c>
      <c r="N9" s="441" t="s">
        <v>532</v>
      </c>
      <c r="O9" s="441" t="s">
        <v>570</v>
      </c>
      <c r="P9" s="442" t="s">
        <v>503</v>
      </c>
      <c r="Q9" s="447" t="s">
        <v>0</v>
      </c>
      <c r="R9" s="448" t="s">
        <v>519</v>
      </c>
      <c r="S9" s="459">
        <v>100</v>
      </c>
      <c r="T9" s="450">
        <v>25</v>
      </c>
      <c r="U9" s="442" t="s">
        <v>0</v>
      </c>
      <c r="V9" s="450" t="s">
        <v>0</v>
      </c>
      <c r="W9" s="451" t="s">
        <v>0</v>
      </c>
      <c r="X9" s="460" t="s">
        <v>0</v>
      </c>
      <c r="Y9" s="461" t="s">
        <v>0</v>
      </c>
      <c r="Z9" s="462">
        <v>2</v>
      </c>
      <c r="AA9" s="410" t="s">
        <v>615</v>
      </c>
      <c r="AB9" t="s">
        <v>789</v>
      </c>
      <c r="AC9" t="s">
        <v>820</v>
      </c>
      <c r="AD9">
        <v>0.8</v>
      </c>
      <c r="AE9">
        <v>4.7220000000000004</v>
      </c>
      <c r="AF9" s="767">
        <v>0.67412598274270819</v>
      </c>
      <c r="AG9">
        <v>1</v>
      </c>
      <c r="AH9">
        <v>236</v>
      </c>
      <c r="AI9">
        <v>2.3729120029701067</v>
      </c>
      <c r="AW9" s="737" t="s">
        <v>368</v>
      </c>
      <c r="AX9" s="737" t="s">
        <v>368</v>
      </c>
      <c r="AY9" t="s">
        <v>818</v>
      </c>
      <c r="AZ9">
        <v>0.4</v>
      </c>
      <c r="BA9">
        <v>2.2000000000000002</v>
      </c>
      <c r="BB9" s="749">
        <v>0.34242268082220628</v>
      </c>
      <c r="BC9">
        <v>1</v>
      </c>
      <c r="BD9">
        <v>109</v>
      </c>
      <c r="BE9" s="749">
        <v>2.0374264979406238</v>
      </c>
    </row>
    <row r="10" spans="1:57" x14ac:dyDescent="0.3">
      <c r="A10" s="437">
        <v>45245</v>
      </c>
      <c r="B10" s="438" t="s">
        <v>671</v>
      </c>
      <c r="C10" s="439" t="s">
        <v>548</v>
      </c>
      <c r="D10" s="440" t="s">
        <v>552</v>
      </c>
      <c r="E10" s="441" t="s">
        <v>588</v>
      </c>
      <c r="F10" s="441" t="s">
        <v>584</v>
      </c>
      <c r="G10" s="442" t="s">
        <v>563</v>
      </c>
      <c r="H10" s="443" t="s">
        <v>79</v>
      </c>
      <c r="I10" s="441" t="s">
        <v>522</v>
      </c>
      <c r="J10" s="457" t="s">
        <v>550</v>
      </c>
      <c r="K10" s="441" t="s">
        <v>531</v>
      </c>
      <c r="L10" s="441" t="s">
        <v>606</v>
      </c>
      <c r="M10" s="441" t="s">
        <v>531</v>
      </c>
      <c r="N10" s="441" t="s">
        <v>532</v>
      </c>
      <c r="O10" s="441" t="s">
        <v>570</v>
      </c>
      <c r="P10" s="442" t="s">
        <v>575</v>
      </c>
      <c r="Q10" s="447" t="s">
        <v>0</v>
      </c>
      <c r="R10" s="448" t="s">
        <v>519</v>
      </c>
      <c r="S10" s="459">
        <v>100</v>
      </c>
      <c r="T10" s="450">
        <v>25</v>
      </c>
      <c r="U10" s="442" t="s">
        <v>0</v>
      </c>
      <c r="V10" s="450" t="s">
        <v>0</v>
      </c>
      <c r="W10" s="451">
        <v>15.8</v>
      </c>
      <c r="X10" s="452">
        <v>14.8</v>
      </c>
      <c r="Y10" s="458">
        <v>369.57331420000003</v>
      </c>
      <c r="Z10" s="448">
        <v>2</v>
      </c>
      <c r="AA10" s="410" t="s">
        <v>615</v>
      </c>
      <c r="AB10" t="s">
        <v>790</v>
      </c>
      <c r="AC10" t="s">
        <v>820</v>
      </c>
      <c r="AD10">
        <v>0</v>
      </c>
      <c r="AE10">
        <v>0</v>
      </c>
      <c r="AF10" s="767">
        <v>0</v>
      </c>
      <c r="AG10">
        <v>1</v>
      </c>
      <c r="AH10">
        <v>0</v>
      </c>
      <c r="AI10">
        <v>0</v>
      </c>
      <c r="AW10" s="323" t="s">
        <v>403</v>
      </c>
      <c r="AX10" s="323" t="s">
        <v>403</v>
      </c>
      <c r="AY10" t="s">
        <v>818</v>
      </c>
      <c r="AZ10">
        <v>0.4</v>
      </c>
      <c r="BA10">
        <v>2.5</v>
      </c>
      <c r="BB10" s="749">
        <v>0.3979400086720376</v>
      </c>
      <c r="BC10">
        <v>1</v>
      </c>
      <c r="BD10">
        <v>62</v>
      </c>
      <c r="BE10" s="749">
        <v>1.7923916894982539</v>
      </c>
    </row>
    <row r="11" spans="1:57" x14ac:dyDescent="0.3">
      <c r="A11" s="437">
        <v>45245</v>
      </c>
      <c r="B11" s="438" t="s">
        <v>672</v>
      </c>
      <c r="C11" s="439" t="s">
        <v>548</v>
      </c>
      <c r="D11" s="440" t="s">
        <v>552</v>
      </c>
      <c r="E11" s="441" t="s">
        <v>588</v>
      </c>
      <c r="F11" s="441" t="s">
        <v>584</v>
      </c>
      <c r="G11" s="442" t="s">
        <v>563</v>
      </c>
      <c r="H11" s="443" t="s">
        <v>80</v>
      </c>
      <c r="I11" s="441" t="s">
        <v>523</v>
      </c>
      <c r="J11" s="457" t="s">
        <v>550</v>
      </c>
      <c r="K11" s="441" t="s">
        <v>531</v>
      </c>
      <c r="L11" s="441" t="s">
        <v>607</v>
      </c>
      <c r="M11" s="441" t="s">
        <v>531</v>
      </c>
      <c r="N11" s="441" t="s">
        <v>532</v>
      </c>
      <c r="O11" s="441" t="s">
        <v>570</v>
      </c>
      <c r="P11" s="442" t="s">
        <v>573</v>
      </c>
      <c r="Q11" s="447" t="s">
        <v>0</v>
      </c>
      <c r="R11" s="448" t="s">
        <v>519</v>
      </c>
      <c r="S11" s="459">
        <v>100</v>
      </c>
      <c r="T11" s="450">
        <v>25</v>
      </c>
      <c r="U11" s="442" t="s">
        <v>0</v>
      </c>
      <c r="V11" s="450" t="s">
        <v>0</v>
      </c>
      <c r="W11" s="451">
        <v>13.4</v>
      </c>
      <c r="X11" s="452">
        <v>12.5</v>
      </c>
      <c r="Y11" s="458">
        <v>312.9841485</v>
      </c>
      <c r="Z11" s="448">
        <v>2</v>
      </c>
      <c r="AA11" s="410" t="s">
        <v>613</v>
      </c>
      <c r="AB11" t="s">
        <v>777</v>
      </c>
      <c r="AC11" t="s">
        <v>819</v>
      </c>
      <c r="AD11">
        <v>1.5</v>
      </c>
      <c r="AE11">
        <v>9.2579999999999991</v>
      </c>
      <c r="AF11" s="767">
        <v>0.9665171764467918</v>
      </c>
      <c r="AG11">
        <v>1</v>
      </c>
      <c r="AH11">
        <v>463</v>
      </c>
      <c r="AI11">
        <v>2.6655809910179533</v>
      </c>
      <c r="AW11" s="323" t="s">
        <v>415</v>
      </c>
      <c r="AX11" s="323" t="s">
        <v>415</v>
      </c>
      <c r="AY11" t="s">
        <v>818</v>
      </c>
      <c r="AZ11">
        <v>1.6</v>
      </c>
      <c r="BA11">
        <v>9.4</v>
      </c>
      <c r="BB11" s="749">
        <v>0.97312785359969867</v>
      </c>
      <c r="BC11">
        <v>1</v>
      </c>
      <c r="BD11">
        <v>235</v>
      </c>
      <c r="BE11" s="749">
        <v>2.3710678622717363</v>
      </c>
    </row>
    <row r="12" spans="1:57" x14ac:dyDescent="0.3">
      <c r="A12" s="437">
        <v>45245</v>
      </c>
      <c r="B12" s="438" t="s">
        <v>673</v>
      </c>
      <c r="C12" s="439" t="s">
        <v>548</v>
      </c>
      <c r="D12" s="440" t="s">
        <v>552</v>
      </c>
      <c r="E12" s="441" t="s">
        <v>588</v>
      </c>
      <c r="F12" s="441" t="s">
        <v>584</v>
      </c>
      <c r="G12" s="442" t="s">
        <v>563</v>
      </c>
      <c r="H12" s="443" t="s">
        <v>81</v>
      </c>
      <c r="I12" s="441" t="s">
        <v>523</v>
      </c>
      <c r="J12" s="457" t="s">
        <v>550</v>
      </c>
      <c r="K12" s="441" t="s">
        <v>531</v>
      </c>
      <c r="L12" s="441" t="s">
        <v>607</v>
      </c>
      <c r="M12" s="441" t="s">
        <v>531</v>
      </c>
      <c r="N12" s="441" t="s">
        <v>532</v>
      </c>
      <c r="O12" s="441" t="s">
        <v>570</v>
      </c>
      <c r="P12" s="442" t="s">
        <v>574</v>
      </c>
      <c r="Q12" s="447" t="s">
        <v>0</v>
      </c>
      <c r="R12" s="448" t="s">
        <v>519</v>
      </c>
      <c r="S12" s="459">
        <v>100</v>
      </c>
      <c r="T12" s="450">
        <v>25</v>
      </c>
      <c r="U12" s="442" t="s">
        <v>0</v>
      </c>
      <c r="V12" s="450" t="s">
        <v>0</v>
      </c>
      <c r="W12" s="451">
        <v>13.6</v>
      </c>
      <c r="X12" s="452">
        <v>12.7</v>
      </c>
      <c r="Y12" s="458">
        <v>317.57564780000001</v>
      </c>
      <c r="Z12" s="448">
        <v>2</v>
      </c>
      <c r="AA12" s="410" t="s">
        <v>613</v>
      </c>
      <c r="AB12" t="s">
        <v>778</v>
      </c>
      <c r="AC12" t="s">
        <v>819</v>
      </c>
      <c r="AD12">
        <v>0.8</v>
      </c>
      <c r="AE12">
        <v>4.6920000000000002</v>
      </c>
      <c r="AF12" s="767">
        <v>0.67135800344349161</v>
      </c>
      <c r="AG12">
        <v>1</v>
      </c>
      <c r="AH12">
        <v>235</v>
      </c>
      <c r="AI12">
        <v>2.3710678622717363</v>
      </c>
      <c r="AW12" s="736" t="s">
        <v>440</v>
      </c>
      <c r="AX12" s="736" t="s">
        <v>440</v>
      </c>
      <c r="AY12" t="s">
        <v>818</v>
      </c>
      <c r="AZ12">
        <v>0</v>
      </c>
      <c r="BA12">
        <v>0</v>
      </c>
      <c r="BB12" s="749">
        <v>0</v>
      </c>
      <c r="BC12">
        <v>1</v>
      </c>
      <c r="BD12">
        <v>0</v>
      </c>
      <c r="BE12" s="749">
        <v>0</v>
      </c>
    </row>
    <row r="13" spans="1:57" x14ac:dyDescent="0.3">
      <c r="A13" s="437">
        <v>45245</v>
      </c>
      <c r="B13" s="438" t="s">
        <v>674</v>
      </c>
      <c r="C13" s="439" t="s">
        <v>548</v>
      </c>
      <c r="D13" s="440" t="s">
        <v>552</v>
      </c>
      <c r="E13" s="441" t="s">
        <v>588</v>
      </c>
      <c r="F13" s="441" t="s">
        <v>584</v>
      </c>
      <c r="G13" s="442" t="s">
        <v>563</v>
      </c>
      <c r="H13" s="443" t="s">
        <v>82</v>
      </c>
      <c r="I13" s="441" t="s">
        <v>522</v>
      </c>
      <c r="J13" s="463" t="s">
        <v>551</v>
      </c>
      <c r="K13" s="441" t="s">
        <v>531</v>
      </c>
      <c r="L13" s="441" t="s">
        <v>606</v>
      </c>
      <c r="M13" s="441" t="s">
        <v>531</v>
      </c>
      <c r="N13" s="441" t="s">
        <v>532</v>
      </c>
      <c r="O13" s="441" t="s">
        <v>570</v>
      </c>
      <c r="P13" s="442" t="s">
        <v>573</v>
      </c>
      <c r="Q13" s="447" t="s">
        <v>0</v>
      </c>
      <c r="R13" s="448" t="s">
        <v>519</v>
      </c>
      <c r="S13" s="459">
        <v>100</v>
      </c>
      <c r="T13" s="450">
        <v>25</v>
      </c>
      <c r="U13" s="442" t="s">
        <v>0</v>
      </c>
      <c r="V13" s="450" t="s">
        <v>0</v>
      </c>
      <c r="W13" s="451">
        <v>13</v>
      </c>
      <c r="X13" s="452">
        <v>12.2</v>
      </c>
      <c r="Y13" s="458">
        <v>305.0883599</v>
      </c>
      <c r="Z13" s="448">
        <v>2</v>
      </c>
      <c r="AA13" s="410" t="s">
        <v>616</v>
      </c>
      <c r="AB13" t="s">
        <v>796</v>
      </c>
      <c r="AC13" t="s">
        <v>821</v>
      </c>
      <c r="AD13">
        <v>2.2999999999999998</v>
      </c>
      <c r="AE13">
        <v>14.01</v>
      </c>
      <c r="AF13" s="767">
        <v>1.1464381352857747</v>
      </c>
      <c r="AG13">
        <v>1</v>
      </c>
      <c r="AH13">
        <v>701</v>
      </c>
      <c r="AI13">
        <v>2.8457180179666586</v>
      </c>
      <c r="AW13" s="323" t="s">
        <v>32</v>
      </c>
      <c r="AX13" s="739" t="s">
        <v>776</v>
      </c>
      <c r="AY13" t="s">
        <v>819</v>
      </c>
      <c r="AZ13">
        <v>1.6</v>
      </c>
      <c r="BA13">
        <v>9.3780000000000001</v>
      </c>
      <c r="BB13" s="749">
        <v>0.97211022840283057</v>
      </c>
      <c r="BC13">
        <v>1</v>
      </c>
      <c r="BD13">
        <v>469</v>
      </c>
      <c r="BE13" s="749">
        <v>2.6711728427150834</v>
      </c>
    </row>
    <row r="14" spans="1:57" x14ac:dyDescent="0.3">
      <c r="A14" s="437">
        <v>45245</v>
      </c>
      <c r="B14" s="438" t="s">
        <v>675</v>
      </c>
      <c r="C14" s="439" t="s">
        <v>548</v>
      </c>
      <c r="D14" s="440" t="s">
        <v>552</v>
      </c>
      <c r="E14" s="441" t="s">
        <v>588</v>
      </c>
      <c r="F14" s="441" t="s">
        <v>584</v>
      </c>
      <c r="G14" s="442" t="s">
        <v>563</v>
      </c>
      <c r="H14" s="443" t="s">
        <v>83</v>
      </c>
      <c r="I14" s="441" t="s">
        <v>522</v>
      </c>
      <c r="J14" s="463" t="s">
        <v>551</v>
      </c>
      <c r="K14" s="441" t="s">
        <v>531</v>
      </c>
      <c r="L14" s="441" t="s">
        <v>606</v>
      </c>
      <c r="M14" s="441" t="s">
        <v>531</v>
      </c>
      <c r="N14" s="441" t="s">
        <v>532</v>
      </c>
      <c r="O14" s="441" t="s">
        <v>570</v>
      </c>
      <c r="P14" s="442" t="s">
        <v>574</v>
      </c>
      <c r="Q14" s="447" t="s">
        <v>0</v>
      </c>
      <c r="R14" s="448" t="s">
        <v>519</v>
      </c>
      <c r="S14" s="459">
        <v>100</v>
      </c>
      <c r="T14" s="450">
        <v>25</v>
      </c>
      <c r="U14" s="442" t="s">
        <v>0</v>
      </c>
      <c r="V14" s="450" t="s">
        <v>0</v>
      </c>
      <c r="W14" s="451">
        <v>9.48</v>
      </c>
      <c r="X14" s="452">
        <v>8.8800000000000008</v>
      </c>
      <c r="Y14" s="458">
        <v>221.8828863</v>
      </c>
      <c r="Z14" s="448">
        <v>2</v>
      </c>
      <c r="AA14" s="410" t="s">
        <v>616</v>
      </c>
      <c r="AB14" t="s">
        <v>797</v>
      </c>
      <c r="AC14" t="s">
        <v>821</v>
      </c>
      <c r="AD14">
        <v>0</v>
      </c>
      <c r="AE14">
        <v>0</v>
      </c>
      <c r="AF14" s="767">
        <v>0</v>
      </c>
      <c r="AG14">
        <v>1</v>
      </c>
      <c r="AH14">
        <v>0</v>
      </c>
      <c r="AI14">
        <v>0</v>
      </c>
      <c r="AW14" s="323" t="s">
        <v>80</v>
      </c>
      <c r="AX14" s="740" t="s">
        <v>777</v>
      </c>
      <c r="AY14" t="s">
        <v>819</v>
      </c>
      <c r="AZ14">
        <v>1.5</v>
      </c>
      <c r="BA14">
        <v>9.2579999999999991</v>
      </c>
      <c r="BB14" s="749">
        <v>0.9665171764467918</v>
      </c>
      <c r="BC14">
        <v>1</v>
      </c>
      <c r="BD14">
        <v>463</v>
      </c>
      <c r="BE14" s="749">
        <v>2.6655809910179533</v>
      </c>
    </row>
    <row r="15" spans="1:57" x14ac:dyDescent="0.3">
      <c r="A15" s="437">
        <v>45245</v>
      </c>
      <c r="B15" s="438" t="s">
        <v>676</v>
      </c>
      <c r="C15" s="439" t="s">
        <v>548</v>
      </c>
      <c r="D15" s="440" t="s">
        <v>552</v>
      </c>
      <c r="E15" s="441" t="s">
        <v>588</v>
      </c>
      <c r="F15" s="441" t="s">
        <v>584</v>
      </c>
      <c r="G15" s="442" t="s">
        <v>563</v>
      </c>
      <c r="H15" s="443" t="s">
        <v>84</v>
      </c>
      <c r="I15" s="441" t="s">
        <v>522</v>
      </c>
      <c r="J15" s="463" t="s">
        <v>551</v>
      </c>
      <c r="K15" s="441" t="s">
        <v>531</v>
      </c>
      <c r="L15" s="441" t="s">
        <v>606</v>
      </c>
      <c r="M15" s="441" t="s">
        <v>531</v>
      </c>
      <c r="N15" s="441" t="s">
        <v>532</v>
      </c>
      <c r="O15" s="441" t="s">
        <v>570</v>
      </c>
      <c r="P15" s="442" t="s">
        <v>503</v>
      </c>
      <c r="Q15" s="447" t="s">
        <v>0</v>
      </c>
      <c r="R15" s="448" t="s">
        <v>519</v>
      </c>
      <c r="S15" s="459">
        <v>100</v>
      </c>
      <c r="T15" s="450">
        <v>25</v>
      </c>
      <c r="U15" s="442" t="s">
        <v>0</v>
      </c>
      <c r="V15" s="450" t="s">
        <v>0</v>
      </c>
      <c r="W15" s="451">
        <v>19.7</v>
      </c>
      <c r="X15" s="452">
        <v>18.399999999999999</v>
      </c>
      <c r="Y15" s="458">
        <v>460.18382539999999</v>
      </c>
      <c r="Z15" s="448">
        <v>2</v>
      </c>
      <c r="AA15" s="410" t="s">
        <v>616</v>
      </c>
      <c r="AB15" t="s">
        <v>798</v>
      </c>
      <c r="AC15" t="s">
        <v>821</v>
      </c>
      <c r="AD15">
        <v>1.6</v>
      </c>
      <c r="AE15">
        <v>9.4979999999999993</v>
      </c>
      <c r="AF15" s="767">
        <v>0.9776321652459995</v>
      </c>
      <c r="AG15">
        <v>1</v>
      </c>
      <c r="AH15">
        <v>475</v>
      </c>
      <c r="AI15">
        <v>2.6766936096248664</v>
      </c>
      <c r="AW15" s="324" t="s">
        <v>81</v>
      </c>
      <c r="AX15" s="741" t="s">
        <v>778</v>
      </c>
      <c r="AY15" t="s">
        <v>819</v>
      </c>
      <c r="AZ15">
        <v>0.8</v>
      </c>
      <c r="BA15">
        <v>4.6920000000000002</v>
      </c>
      <c r="BB15" s="749">
        <v>0.67135800344349161</v>
      </c>
      <c r="BC15">
        <v>1</v>
      </c>
      <c r="BD15">
        <v>235</v>
      </c>
      <c r="BE15" s="749">
        <v>2.3710678622717363</v>
      </c>
    </row>
    <row r="16" spans="1:57" x14ac:dyDescent="0.3">
      <c r="A16" s="437">
        <v>45245</v>
      </c>
      <c r="B16" s="438" t="s">
        <v>677</v>
      </c>
      <c r="C16" s="439" t="s">
        <v>548</v>
      </c>
      <c r="D16" s="440" t="s">
        <v>552</v>
      </c>
      <c r="E16" s="441" t="s">
        <v>588</v>
      </c>
      <c r="F16" s="441" t="s">
        <v>584</v>
      </c>
      <c r="G16" s="442" t="s">
        <v>563</v>
      </c>
      <c r="H16" s="443" t="s">
        <v>85</v>
      </c>
      <c r="I16" s="441" t="s">
        <v>522</v>
      </c>
      <c r="J16" s="463" t="s">
        <v>551</v>
      </c>
      <c r="K16" s="441" t="s">
        <v>531</v>
      </c>
      <c r="L16" s="441" t="s">
        <v>606</v>
      </c>
      <c r="M16" s="441" t="s">
        <v>531</v>
      </c>
      <c r="N16" s="441" t="s">
        <v>532</v>
      </c>
      <c r="O16" s="441" t="s">
        <v>570</v>
      </c>
      <c r="P16" s="442" t="s">
        <v>575</v>
      </c>
      <c r="Q16" s="447" t="s">
        <v>0</v>
      </c>
      <c r="R16" s="448" t="s">
        <v>519</v>
      </c>
      <c r="S16" s="459">
        <v>100</v>
      </c>
      <c r="T16" s="450">
        <v>25</v>
      </c>
      <c r="U16" s="442" t="s">
        <v>0</v>
      </c>
      <c r="V16" s="450" t="s">
        <v>0</v>
      </c>
      <c r="W16" s="451">
        <v>12.8</v>
      </c>
      <c r="X16" s="452">
        <v>12</v>
      </c>
      <c r="Y16" s="458">
        <v>300.0273396</v>
      </c>
      <c r="Z16" s="448">
        <v>2</v>
      </c>
      <c r="AA16" s="410" t="s">
        <v>616</v>
      </c>
      <c r="AB16" t="s">
        <v>799</v>
      </c>
      <c r="AC16" t="s">
        <v>821</v>
      </c>
      <c r="AD16">
        <v>0</v>
      </c>
      <c r="AE16">
        <v>0</v>
      </c>
      <c r="AF16" s="767">
        <v>0</v>
      </c>
      <c r="AG16">
        <v>1</v>
      </c>
      <c r="AH16">
        <v>0</v>
      </c>
      <c r="AI16">
        <v>0</v>
      </c>
      <c r="AW16" s="132" t="s">
        <v>103</v>
      </c>
      <c r="AX16" s="742" t="s">
        <v>779</v>
      </c>
      <c r="AY16" t="s">
        <v>819</v>
      </c>
      <c r="AZ16">
        <v>0.8</v>
      </c>
      <c r="BA16">
        <v>4.7759999999999998</v>
      </c>
      <c r="BB16" s="749">
        <v>0.67906431812131263</v>
      </c>
      <c r="BC16">
        <v>1</v>
      </c>
      <c r="BD16">
        <v>239</v>
      </c>
      <c r="BE16" s="749">
        <v>2.3783979009481375</v>
      </c>
    </row>
    <row r="17" spans="1:57" x14ac:dyDescent="0.3">
      <c r="A17" s="437">
        <v>45245</v>
      </c>
      <c r="B17" s="438" t="s">
        <v>678</v>
      </c>
      <c r="C17" s="439" t="s">
        <v>548</v>
      </c>
      <c r="D17" s="440" t="s">
        <v>552</v>
      </c>
      <c r="E17" s="441" t="s">
        <v>588</v>
      </c>
      <c r="F17" s="441" t="s">
        <v>584</v>
      </c>
      <c r="G17" s="441" t="s">
        <v>563</v>
      </c>
      <c r="H17" s="464" t="s">
        <v>86</v>
      </c>
      <c r="I17" s="441" t="s">
        <v>523</v>
      </c>
      <c r="J17" s="463" t="s">
        <v>551</v>
      </c>
      <c r="K17" s="441" t="s">
        <v>531</v>
      </c>
      <c r="L17" s="441" t="s">
        <v>607</v>
      </c>
      <c r="M17" s="441" t="s">
        <v>531</v>
      </c>
      <c r="N17" s="441" t="s">
        <v>532</v>
      </c>
      <c r="O17" s="441" t="s">
        <v>570</v>
      </c>
      <c r="P17" s="441" t="s">
        <v>573</v>
      </c>
      <c r="Q17" s="458" t="s">
        <v>0</v>
      </c>
      <c r="R17" s="448" t="s">
        <v>519</v>
      </c>
      <c r="S17" s="459">
        <v>100</v>
      </c>
      <c r="T17" s="450">
        <v>25</v>
      </c>
      <c r="U17" s="442" t="s">
        <v>0</v>
      </c>
      <c r="V17" s="450" t="s">
        <v>0</v>
      </c>
      <c r="W17" s="451">
        <v>8.17</v>
      </c>
      <c r="X17" s="452">
        <v>7.65</v>
      </c>
      <c r="Y17" s="458">
        <v>191.23278010000001</v>
      </c>
      <c r="Z17" s="448">
        <v>2</v>
      </c>
      <c r="AA17" s="410" t="s">
        <v>612</v>
      </c>
      <c r="AB17" t="s">
        <v>782</v>
      </c>
      <c r="AC17" t="s">
        <v>983</v>
      </c>
      <c r="AD17">
        <v>0.4</v>
      </c>
      <c r="AE17">
        <v>2.4420000000000002</v>
      </c>
      <c r="AF17" s="767">
        <v>0.3877456596088637</v>
      </c>
      <c r="AG17">
        <v>1</v>
      </c>
      <c r="AH17">
        <v>122</v>
      </c>
      <c r="AI17">
        <v>2.0863598306747484</v>
      </c>
      <c r="AW17" s="14" t="s">
        <v>104</v>
      </c>
      <c r="AX17" s="743" t="s">
        <v>780</v>
      </c>
      <c r="AY17" t="s">
        <v>819</v>
      </c>
      <c r="AZ17">
        <v>2</v>
      </c>
      <c r="BA17">
        <v>12.132</v>
      </c>
      <c r="BB17" s="749">
        <v>1.0839324016386258</v>
      </c>
      <c r="BC17">
        <v>1</v>
      </c>
      <c r="BD17">
        <v>607</v>
      </c>
      <c r="BE17" s="749">
        <v>2.7831886910752575</v>
      </c>
    </row>
    <row r="18" spans="1:57" x14ac:dyDescent="0.3">
      <c r="A18" s="437">
        <v>45245</v>
      </c>
      <c r="B18" s="438" t="s">
        <v>679</v>
      </c>
      <c r="C18" s="439" t="s">
        <v>548</v>
      </c>
      <c r="D18" s="440" t="s">
        <v>552</v>
      </c>
      <c r="E18" s="441" t="s">
        <v>588</v>
      </c>
      <c r="F18" s="441" t="s">
        <v>584</v>
      </c>
      <c r="G18" s="441" t="s">
        <v>563</v>
      </c>
      <c r="H18" s="464" t="s">
        <v>87</v>
      </c>
      <c r="I18" s="441" t="s">
        <v>523</v>
      </c>
      <c r="J18" s="463" t="s">
        <v>551</v>
      </c>
      <c r="K18" s="441" t="s">
        <v>531</v>
      </c>
      <c r="L18" s="441" t="s">
        <v>607</v>
      </c>
      <c r="M18" s="441" t="s">
        <v>531</v>
      </c>
      <c r="N18" s="441" t="s">
        <v>532</v>
      </c>
      <c r="O18" s="441" t="s">
        <v>570</v>
      </c>
      <c r="P18" s="441" t="s">
        <v>574</v>
      </c>
      <c r="Q18" s="458" t="s">
        <v>0</v>
      </c>
      <c r="R18" s="448" t="s">
        <v>519</v>
      </c>
      <c r="S18" s="459">
        <v>100</v>
      </c>
      <c r="T18" s="450">
        <v>25</v>
      </c>
      <c r="U18" s="442" t="s">
        <v>0</v>
      </c>
      <c r="V18" s="450" t="s">
        <v>0</v>
      </c>
      <c r="W18" s="451">
        <v>14.4</v>
      </c>
      <c r="X18" s="452">
        <v>13.5</v>
      </c>
      <c r="Y18" s="458">
        <v>337.46914750000002</v>
      </c>
      <c r="Z18" s="448">
        <v>2</v>
      </c>
      <c r="AA18" s="410" t="s">
        <v>612</v>
      </c>
      <c r="AB18" t="s">
        <v>783</v>
      </c>
      <c r="AC18" t="s">
        <v>983</v>
      </c>
      <c r="AD18">
        <v>0.8</v>
      </c>
      <c r="AE18">
        <v>4.8659999999999997</v>
      </c>
      <c r="AF18" s="767">
        <v>0.6871721045947996</v>
      </c>
      <c r="AG18">
        <v>1</v>
      </c>
      <c r="AH18">
        <v>243</v>
      </c>
      <c r="AI18">
        <v>2.3856062735983121</v>
      </c>
      <c r="AW18" s="14" t="s">
        <v>33</v>
      </c>
      <c r="AX18" s="744" t="s">
        <v>781</v>
      </c>
      <c r="AY18" t="s">
        <v>983</v>
      </c>
      <c r="AZ18">
        <v>1.6</v>
      </c>
      <c r="BA18">
        <v>9.7439999999999998</v>
      </c>
      <c r="BB18" s="749">
        <v>0.98873727528880018</v>
      </c>
      <c r="BC18">
        <v>1</v>
      </c>
      <c r="BD18">
        <v>487</v>
      </c>
      <c r="BE18" s="749">
        <v>2.6875289612146345</v>
      </c>
    </row>
    <row r="19" spans="1:57" x14ac:dyDescent="0.3">
      <c r="A19" s="437">
        <v>45245</v>
      </c>
      <c r="B19" s="438" t="s">
        <v>680</v>
      </c>
      <c r="C19" s="439" t="s">
        <v>548</v>
      </c>
      <c r="D19" s="440" t="s">
        <v>552</v>
      </c>
      <c r="E19" s="441" t="s">
        <v>588</v>
      </c>
      <c r="F19" s="441" t="s">
        <v>584</v>
      </c>
      <c r="G19" s="441" t="s">
        <v>563</v>
      </c>
      <c r="H19" s="464" t="s">
        <v>88</v>
      </c>
      <c r="I19" s="441" t="s">
        <v>520</v>
      </c>
      <c r="J19" s="465" t="s">
        <v>0</v>
      </c>
      <c r="K19" s="441" t="s">
        <v>531</v>
      </c>
      <c r="L19" s="441" t="s">
        <v>530</v>
      </c>
      <c r="M19" s="441" t="s">
        <v>532</v>
      </c>
      <c r="N19" s="441" t="s">
        <v>532</v>
      </c>
      <c r="O19" s="441" t="s">
        <v>570</v>
      </c>
      <c r="P19" s="441" t="s">
        <v>573</v>
      </c>
      <c r="Q19" s="458" t="s">
        <v>0</v>
      </c>
      <c r="R19" s="448" t="s">
        <v>519</v>
      </c>
      <c r="S19" s="459">
        <v>100</v>
      </c>
      <c r="T19" s="450" t="s">
        <v>0</v>
      </c>
      <c r="U19" s="442" t="s">
        <v>0</v>
      </c>
      <c r="V19" s="450" t="s">
        <v>0</v>
      </c>
      <c r="W19" s="451">
        <v>8.06</v>
      </c>
      <c r="X19" s="452">
        <v>7.54</v>
      </c>
      <c r="Y19" s="458">
        <v>188.5342684</v>
      </c>
      <c r="Z19" s="448">
        <v>2</v>
      </c>
      <c r="AA19" s="410" t="s">
        <v>619</v>
      </c>
      <c r="AB19" t="s">
        <v>804</v>
      </c>
      <c r="AC19" t="s">
        <v>824</v>
      </c>
      <c r="AD19">
        <v>2.7</v>
      </c>
      <c r="AE19">
        <v>16.422000000000001</v>
      </c>
      <c r="AF19" s="767">
        <v>1.2154260477937673</v>
      </c>
      <c r="AG19">
        <v>1</v>
      </c>
      <c r="AH19">
        <v>821</v>
      </c>
      <c r="AI19">
        <v>2.9143431571194407</v>
      </c>
      <c r="AW19" s="14" t="s">
        <v>86</v>
      </c>
      <c r="AX19" s="743" t="s">
        <v>782</v>
      </c>
      <c r="AY19" t="s">
        <v>983</v>
      </c>
      <c r="AZ19">
        <v>0.4</v>
      </c>
      <c r="BA19">
        <v>2.4420000000000002</v>
      </c>
      <c r="BB19" s="749">
        <v>0.3877456596088637</v>
      </c>
      <c r="BC19">
        <v>1</v>
      </c>
      <c r="BD19">
        <v>122</v>
      </c>
      <c r="BE19" s="749">
        <v>2.0863598306747484</v>
      </c>
    </row>
    <row r="20" spans="1:57" x14ac:dyDescent="0.3">
      <c r="A20" s="437">
        <v>45245</v>
      </c>
      <c r="B20" s="438" t="s">
        <v>681</v>
      </c>
      <c r="C20" s="439" t="s">
        <v>548</v>
      </c>
      <c r="D20" s="440" t="s">
        <v>552</v>
      </c>
      <c r="E20" s="441" t="s">
        <v>588</v>
      </c>
      <c r="F20" s="441" t="s">
        <v>584</v>
      </c>
      <c r="G20" s="441" t="s">
        <v>563</v>
      </c>
      <c r="H20" s="464" t="s">
        <v>89</v>
      </c>
      <c r="I20" s="441" t="s">
        <v>520</v>
      </c>
      <c r="J20" s="465" t="s">
        <v>0</v>
      </c>
      <c r="K20" s="441" t="s">
        <v>531</v>
      </c>
      <c r="L20" s="441" t="s">
        <v>530</v>
      </c>
      <c r="M20" s="441" t="s">
        <v>532</v>
      </c>
      <c r="N20" s="441" t="s">
        <v>532</v>
      </c>
      <c r="O20" s="441" t="s">
        <v>570</v>
      </c>
      <c r="P20" s="441" t="s">
        <v>574</v>
      </c>
      <c r="Q20" s="458" t="s">
        <v>0</v>
      </c>
      <c r="R20" s="448" t="s">
        <v>519</v>
      </c>
      <c r="S20" s="459">
        <v>100</v>
      </c>
      <c r="T20" s="450" t="s">
        <v>0</v>
      </c>
      <c r="U20" s="466" t="s">
        <v>0</v>
      </c>
      <c r="V20" s="467" t="s">
        <v>0</v>
      </c>
      <c r="W20" s="451">
        <v>28.4</v>
      </c>
      <c r="X20" s="452">
        <v>26.6</v>
      </c>
      <c r="Y20" s="458">
        <v>664.7613758</v>
      </c>
      <c r="Z20" s="448">
        <v>2</v>
      </c>
      <c r="AA20" s="410" t="s">
        <v>619</v>
      </c>
      <c r="AB20" t="s">
        <v>805</v>
      </c>
      <c r="AC20" t="s">
        <v>824</v>
      </c>
      <c r="AD20">
        <v>3.6</v>
      </c>
      <c r="AE20">
        <v>21.335999999999999</v>
      </c>
      <c r="AF20" s="767">
        <v>1.3291130026818196</v>
      </c>
      <c r="AG20">
        <v>1</v>
      </c>
      <c r="AH20">
        <v>1070</v>
      </c>
      <c r="AI20">
        <v>3.0293837776852097</v>
      </c>
      <c r="AW20" s="14" t="s">
        <v>87</v>
      </c>
      <c r="AX20" s="743" t="s">
        <v>783</v>
      </c>
      <c r="AY20" t="s">
        <v>983</v>
      </c>
      <c r="AZ20">
        <v>0.8</v>
      </c>
      <c r="BA20">
        <v>4.8659999999999997</v>
      </c>
      <c r="BB20" s="749">
        <v>0.6871721045947996</v>
      </c>
      <c r="BC20">
        <v>1</v>
      </c>
      <c r="BD20">
        <v>243</v>
      </c>
      <c r="BE20" s="749">
        <v>2.3856062735983121</v>
      </c>
    </row>
    <row r="21" spans="1:57" x14ac:dyDescent="0.3">
      <c r="A21" s="437">
        <v>45245</v>
      </c>
      <c r="B21" s="438" t="s">
        <v>682</v>
      </c>
      <c r="C21" s="468" t="s">
        <v>549</v>
      </c>
      <c r="D21" s="469" t="s">
        <v>0</v>
      </c>
      <c r="E21" s="469" t="s">
        <v>0</v>
      </c>
      <c r="F21" s="469" t="s">
        <v>0</v>
      </c>
      <c r="G21" s="441" t="s">
        <v>563</v>
      </c>
      <c r="H21" s="464" t="s">
        <v>90</v>
      </c>
      <c r="I21" s="441" t="s">
        <v>521</v>
      </c>
      <c r="J21" s="465" t="s">
        <v>0</v>
      </c>
      <c r="K21" s="441" t="s">
        <v>531</v>
      </c>
      <c r="L21" s="441" t="s">
        <v>521</v>
      </c>
      <c r="M21" s="441" t="s">
        <v>532</v>
      </c>
      <c r="N21" s="441" t="s">
        <v>532</v>
      </c>
      <c r="O21" s="441" t="s">
        <v>570</v>
      </c>
      <c r="P21" s="441" t="s">
        <v>573</v>
      </c>
      <c r="Q21" s="458" t="s">
        <v>0</v>
      </c>
      <c r="R21" s="448" t="s">
        <v>0</v>
      </c>
      <c r="S21" s="459">
        <v>100</v>
      </c>
      <c r="T21" s="450" t="s">
        <v>0</v>
      </c>
      <c r="U21" s="470" t="s">
        <v>0</v>
      </c>
      <c r="V21" s="471" t="s">
        <v>0</v>
      </c>
      <c r="W21" s="451">
        <v>19.100000000000001</v>
      </c>
      <c r="X21" s="452">
        <v>17.899999999999999</v>
      </c>
      <c r="Y21" s="458">
        <v>447.05362730000002</v>
      </c>
      <c r="Z21" s="448">
        <v>2</v>
      </c>
      <c r="AA21" s="410" t="s">
        <v>620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W21" s="14" t="s">
        <v>109</v>
      </c>
      <c r="AX21" s="743" t="s">
        <v>784</v>
      </c>
      <c r="AY21" t="s">
        <v>983</v>
      </c>
      <c r="AZ21">
        <v>2</v>
      </c>
      <c r="BA21">
        <v>12.012</v>
      </c>
      <c r="BB21" s="749">
        <v>1.0796153235269434</v>
      </c>
      <c r="BC21">
        <v>1</v>
      </c>
      <c r="BD21">
        <v>601</v>
      </c>
      <c r="BE21" s="749">
        <v>2.7788744720027396</v>
      </c>
    </row>
    <row r="22" spans="1:57" x14ac:dyDescent="0.3">
      <c r="A22" s="437">
        <v>45250</v>
      </c>
      <c r="B22" s="438" t="s">
        <v>683</v>
      </c>
      <c r="C22" s="439" t="s">
        <v>548</v>
      </c>
      <c r="D22" s="472" t="s">
        <v>552</v>
      </c>
      <c r="E22" s="441" t="s">
        <v>588</v>
      </c>
      <c r="F22" s="441" t="s">
        <v>584</v>
      </c>
      <c r="G22" s="441" t="s">
        <v>564</v>
      </c>
      <c r="H22" s="464" t="s">
        <v>99</v>
      </c>
      <c r="I22" s="441" t="s">
        <v>522</v>
      </c>
      <c r="J22" s="457" t="s">
        <v>550</v>
      </c>
      <c r="K22" s="473" t="s">
        <v>531</v>
      </c>
      <c r="L22" s="448" t="s">
        <v>606</v>
      </c>
      <c r="M22" s="474" t="s">
        <v>531</v>
      </c>
      <c r="N22" s="441" t="s">
        <v>532</v>
      </c>
      <c r="O22" s="441" t="s">
        <v>570</v>
      </c>
      <c r="P22" s="441" t="s">
        <v>573</v>
      </c>
      <c r="Q22" s="442" t="s">
        <v>0</v>
      </c>
      <c r="R22" s="448" t="s">
        <v>519</v>
      </c>
      <c r="S22" s="475">
        <v>100</v>
      </c>
      <c r="T22" s="450">
        <v>25</v>
      </c>
      <c r="U22" s="442" t="s">
        <v>0</v>
      </c>
      <c r="V22" s="450" t="s">
        <v>0</v>
      </c>
      <c r="W22" s="451">
        <v>18.8</v>
      </c>
      <c r="X22" s="452">
        <v>17.600000000000001</v>
      </c>
      <c r="Y22" s="442">
        <v>439.6067223</v>
      </c>
      <c r="Z22" s="448">
        <v>2</v>
      </c>
      <c r="AA22" s="410" t="s">
        <v>615</v>
      </c>
      <c r="AB22" t="s">
        <v>791</v>
      </c>
      <c r="AC22" t="s">
        <v>820</v>
      </c>
      <c r="AD22">
        <v>2</v>
      </c>
      <c r="AE22">
        <v>11.843999999999999</v>
      </c>
      <c r="AF22" s="767">
        <v>1.0734983987172615</v>
      </c>
      <c r="AG22">
        <v>1</v>
      </c>
      <c r="AH22">
        <v>592</v>
      </c>
      <c r="AI22">
        <v>2.77232170672292</v>
      </c>
      <c r="AW22" s="14" t="s">
        <v>110</v>
      </c>
      <c r="AX22" s="743" t="s">
        <v>785</v>
      </c>
      <c r="AY22" t="s">
        <v>983</v>
      </c>
      <c r="AZ22">
        <v>2.7</v>
      </c>
      <c r="BA22">
        <v>15.96</v>
      </c>
      <c r="BB22" s="749">
        <v>1.2030328870147107</v>
      </c>
      <c r="BC22">
        <v>1</v>
      </c>
      <c r="BD22">
        <v>798</v>
      </c>
      <c r="BE22" s="749">
        <v>2.9020028913507296</v>
      </c>
    </row>
    <row r="23" spans="1:57" x14ac:dyDescent="0.3">
      <c r="A23" s="437">
        <v>45250</v>
      </c>
      <c r="B23" s="438" t="s">
        <v>684</v>
      </c>
      <c r="C23" s="439" t="s">
        <v>548</v>
      </c>
      <c r="D23" s="472" t="s">
        <v>552</v>
      </c>
      <c r="E23" s="441" t="s">
        <v>588</v>
      </c>
      <c r="F23" s="441" t="s">
        <v>584</v>
      </c>
      <c r="G23" s="441" t="s">
        <v>564</v>
      </c>
      <c r="H23" s="464" t="s">
        <v>100</v>
      </c>
      <c r="I23" s="441" t="s">
        <v>522</v>
      </c>
      <c r="J23" s="457" t="s">
        <v>550</v>
      </c>
      <c r="K23" s="476" t="s">
        <v>531</v>
      </c>
      <c r="L23" s="441" t="s">
        <v>606</v>
      </c>
      <c r="M23" s="441" t="s">
        <v>531</v>
      </c>
      <c r="N23" s="441" t="s">
        <v>532</v>
      </c>
      <c r="O23" s="441" t="s">
        <v>570</v>
      </c>
      <c r="P23" s="441" t="s">
        <v>574</v>
      </c>
      <c r="Q23" s="442" t="s">
        <v>0</v>
      </c>
      <c r="R23" s="448" t="s">
        <v>519</v>
      </c>
      <c r="S23" s="475">
        <v>100</v>
      </c>
      <c r="T23" s="450">
        <v>25</v>
      </c>
      <c r="U23" s="442" t="s">
        <v>0</v>
      </c>
      <c r="V23" s="450" t="s">
        <v>0</v>
      </c>
      <c r="W23" s="451">
        <v>10.7</v>
      </c>
      <c r="X23" s="452">
        <v>9.99</v>
      </c>
      <c r="Y23" s="442">
        <v>249.7661071</v>
      </c>
      <c r="Z23" s="448">
        <v>2</v>
      </c>
      <c r="AA23" s="410" t="s">
        <v>615</v>
      </c>
      <c r="AB23" t="s">
        <v>792</v>
      </c>
      <c r="AC23" t="s">
        <v>820</v>
      </c>
      <c r="AD23">
        <v>2.2999999999999998</v>
      </c>
      <c r="AE23">
        <v>14.082000000000001</v>
      </c>
      <c r="AF23" s="767">
        <v>1.1486643399822363</v>
      </c>
      <c r="AG23">
        <v>1</v>
      </c>
      <c r="AH23">
        <v>704</v>
      </c>
      <c r="AI23">
        <v>2.847572659142112</v>
      </c>
      <c r="AW23" s="14" t="s">
        <v>34</v>
      </c>
      <c r="AX23" s="744" t="s">
        <v>786</v>
      </c>
      <c r="AY23" t="s">
        <v>820</v>
      </c>
      <c r="AZ23">
        <v>1.5</v>
      </c>
      <c r="BA23">
        <v>9.1080000000000005</v>
      </c>
      <c r="BB23" s="749">
        <v>0.95942302194310525</v>
      </c>
      <c r="BC23">
        <v>1</v>
      </c>
      <c r="BD23">
        <v>455</v>
      </c>
      <c r="BE23" s="749">
        <v>2.6580113966571126</v>
      </c>
    </row>
    <row r="24" spans="1:57" x14ac:dyDescent="0.3">
      <c r="A24" s="437">
        <v>45250</v>
      </c>
      <c r="B24" s="438" t="s">
        <v>685</v>
      </c>
      <c r="C24" s="439" t="s">
        <v>548</v>
      </c>
      <c r="D24" s="472" t="s">
        <v>552</v>
      </c>
      <c r="E24" s="441" t="s">
        <v>588</v>
      </c>
      <c r="F24" s="441" t="s">
        <v>584</v>
      </c>
      <c r="G24" s="441" t="s">
        <v>564</v>
      </c>
      <c r="H24" s="464" t="s">
        <v>101</v>
      </c>
      <c r="I24" s="441" t="s">
        <v>522</v>
      </c>
      <c r="J24" s="457" t="s">
        <v>550</v>
      </c>
      <c r="K24" s="476" t="s">
        <v>531</v>
      </c>
      <c r="L24" s="441" t="s">
        <v>606</v>
      </c>
      <c r="M24" s="441" t="s">
        <v>531</v>
      </c>
      <c r="N24" s="441" t="s">
        <v>532</v>
      </c>
      <c r="O24" s="441" t="s">
        <v>570</v>
      </c>
      <c r="P24" s="441" t="s">
        <v>503</v>
      </c>
      <c r="Q24" s="442" t="s">
        <v>0</v>
      </c>
      <c r="R24" s="448" t="s">
        <v>519</v>
      </c>
      <c r="S24" s="475">
        <v>100</v>
      </c>
      <c r="T24" s="450">
        <v>25</v>
      </c>
      <c r="U24" s="442" t="s">
        <v>0</v>
      </c>
      <c r="V24" s="450" t="s">
        <v>0</v>
      </c>
      <c r="W24" s="451">
        <v>14.2</v>
      </c>
      <c r="X24" s="452">
        <v>13.3</v>
      </c>
      <c r="Y24" s="442">
        <v>332.20132910000001</v>
      </c>
      <c r="Z24" s="448">
        <v>2</v>
      </c>
      <c r="AA24" s="410" t="s">
        <v>615</v>
      </c>
      <c r="AB24" t="s">
        <v>793</v>
      </c>
      <c r="AC24" t="s">
        <v>820</v>
      </c>
      <c r="AD24">
        <v>1.1000000000000001</v>
      </c>
      <c r="AE24">
        <v>6.8940000000000001</v>
      </c>
      <c r="AF24" s="767">
        <v>0.83847127907192887</v>
      </c>
      <c r="AG24">
        <v>1</v>
      </c>
      <c r="AH24">
        <v>345</v>
      </c>
      <c r="AI24">
        <v>2.537819095073274</v>
      </c>
      <c r="AW24" s="14" t="s">
        <v>76</v>
      </c>
      <c r="AX24" s="743" t="s">
        <v>787</v>
      </c>
      <c r="AY24" t="s">
        <v>820</v>
      </c>
      <c r="AZ24">
        <v>3.5</v>
      </c>
      <c r="BA24">
        <v>20.885999999999999</v>
      </c>
      <c r="BB24" s="749">
        <v>1.3198552736679321</v>
      </c>
      <c r="BC24">
        <v>1</v>
      </c>
      <c r="BD24">
        <v>1040</v>
      </c>
      <c r="BE24" s="749">
        <v>3.0170333392987803</v>
      </c>
    </row>
    <row r="25" spans="1:57" x14ac:dyDescent="0.3">
      <c r="A25" s="437">
        <v>45250</v>
      </c>
      <c r="B25" s="438" t="s">
        <v>686</v>
      </c>
      <c r="C25" s="439" t="s">
        <v>548</v>
      </c>
      <c r="D25" s="472" t="s">
        <v>552</v>
      </c>
      <c r="E25" s="441" t="s">
        <v>588</v>
      </c>
      <c r="F25" s="441" t="s">
        <v>584</v>
      </c>
      <c r="G25" s="441" t="s">
        <v>564</v>
      </c>
      <c r="H25" s="464" t="s">
        <v>102</v>
      </c>
      <c r="I25" s="441" t="s">
        <v>522</v>
      </c>
      <c r="J25" s="457" t="s">
        <v>550</v>
      </c>
      <c r="K25" s="476" t="s">
        <v>531</v>
      </c>
      <c r="L25" s="441" t="s">
        <v>606</v>
      </c>
      <c r="M25" s="441" t="s">
        <v>531</v>
      </c>
      <c r="N25" s="441" t="s">
        <v>532</v>
      </c>
      <c r="O25" s="441" t="s">
        <v>570</v>
      </c>
      <c r="P25" s="441" t="s">
        <v>575</v>
      </c>
      <c r="Q25" s="442" t="s">
        <v>0</v>
      </c>
      <c r="R25" s="448" t="s">
        <v>519</v>
      </c>
      <c r="S25" s="475">
        <v>100</v>
      </c>
      <c r="T25" s="450">
        <v>25</v>
      </c>
      <c r="U25" s="442" t="s">
        <v>0</v>
      </c>
      <c r="V25" s="450" t="s">
        <v>0</v>
      </c>
      <c r="W25" s="451">
        <v>14.9</v>
      </c>
      <c r="X25" s="452">
        <v>14</v>
      </c>
      <c r="Y25" s="442">
        <v>348.78986650000002</v>
      </c>
      <c r="Z25" s="448">
        <v>2</v>
      </c>
      <c r="AA25" s="410" t="s">
        <v>615</v>
      </c>
      <c r="AB25" t="s">
        <v>794</v>
      </c>
      <c r="AC25" t="s">
        <v>820</v>
      </c>
      <c r="AD25">
        <v>1.9</v>
      </c>
      <c r="AE25">
        <v>11.388</v>
      </c>
      <c r="AF25" s="767">
        <v>1.0564474584749175</v>
      </c>
      <c r="AG25">
        <v>1</v>
      </c>
      <c r="AH25">
        <v>569</v>
      </c>
      <c r="AI25">
        <v>2.7551122663950713</v>
      </c>
      <c r="AW25" s="14" t="s">
        <v>77</v>
      </c>
      <c r="AX25" s="743" t="s">
        <v>788</v>
      </c>
      <c r="AY25" t="s">
        <v>820</v>
      </c>
      <c r="AZ25">
        <v>2.4</v>
      </c>
      <c r="BA25">
        <v>14.244</v>
      </c>
      <c r="BB25" s="749">
        <v>1.153631965002216</v>
      </c>
      <c r="BC25">
        <v>1</v>
      </c>
      <c r="BD25">
        <v>712</v>
      </c>
      <c r="BE25" s="749">
        <v>2.8524799936368566</v>
      </c>
    </row>
    <row r="26" spans="1:57" x14ac:dyDescent="0.3">
      <c r="A26" s="437">
        <v>45250</v>
      </c>
      <c r="B26" s="438" t="s">
        <v>687</v>
      </c>
      <c r="C26" s="439" t="s">
        <v>548</v>
      </c>
      <c r="D26" s="472" t="s">
        <v>552</v>
      </c>
      <c r="E26" s="441" t="s">
        <v>588</v>
      </c>
      <c r="F26" s="441" t="s">
        <v>584</v>
      </c>
      <c r="G26" s="441" t="s">
        <v>564</v>
      </c>
      <c r="H26" s="464" t="s">
        <v>103</v>
      </c>
      <c r="I26" s="441" t="s">
        <v>523</v>
      </c>
      <c r="J26" s="457" t="s">
        <v>550</v>
      </c>
      <c r="K26" s="476" t="s">
        <v>531</v>
      </c>
      <c r="L26" s="441" t="s">
        <v>607</v>
      </c>
      <c r="M26" s="441" t="s">
        <v>531</v>
      </c>
      <c r="N26" s="441" t="s">
        <v>532</v>
      </c>
      <c r="O26" s="441" t="s">
        <v>570</v>
      </c>
      <c r="P26" s="441" t="s">
        <v>573</v>
      </c>
      <c r="Q26" s="442" t="s">
        <v>0</v>
      </c>
      <c r="R26" s="448" t="s">
        <v>519</v>
      </c>
      <c r="S26" s="475">
        <v>100</v>
      </c>
      <c r="T26" s="450">
        <v>25</v>
      </c>
      <c r="U26" s="442" t="s">
        <v>0</v>
      </c>
      <c r="V26" s="450" t="s">
        <v>0</v>
      </c>
      <c r="W26" s="451">
        <v>15</v>
      </c>
      <c r="X26" s="452">
        <v>14</v>
      </c>
      <c r="Y26" s="442">
        <v>350.83196980000002</v>
      </c>
      <c r="Z26" s="448">
        <v>2</v>
      </c>
      <c r="AA26" s="410" t="s">
        <v>613</v>
      </c>
      <c r="AB26" t="s">
        <v>779</v>
      </c>
      <c r="AC26" t="s">
        <v>819</v>
      </c>
      <c r="AD26">
        <v>0.8</v>
      </c>
      <c r="AE26">
        <v>4.7759999999999998</v>
      </c>
      <c r="AF26" s="767">
        <v>0.67906431812131263</v>
      </c>
      <c r="AG26">
        <v>1</v>
      </c>
      <c r="AH26">
        <v>239</v>
      </c>
      <c r="AI26">
        <v>2.3783979009481375</v>
      </c>
      <c r="AW26" s="14" t="s">
        <v>78</v>
      </c>
      <c r="AX26" s="743" t="s">
        <v>789</v>
      </c>
      <c r="AY26" t="s">
        <v>820</v>
      </c>
      <c r="AZ26">
        <v>0.8</v>
      </c>
      <c r="BA26">
        <v>4.7220000000000004</v>
      </c>
      <c r="BB26" s="749">
        <v>0.67412598274270819</v>
      </c>
      <c r="BC26">
        <v>1</v>
      </c>
      <c r="BD26">
        <v>236</v>
      </c>
      <c r="BE26" s="749">
        <v>2.3729120029701067</v>
      </c>
    </row>
    <row r="27" spans="1:57" x14ac:dyDescent="0.3">
      <c r="A27" s="437">
        <v>45250</v>
      </c>
      <c r="B27" s="438" t="s">
        <v>688</v>
      </c>
      <c r="C27" s="439" t="s">
        <v>548</v>
      </c>
      <c r="D27" s="472" t="s">
        <v>552</v>
      </c>
      <c r="E27" s="441" t="s">
        <v>588</v>
      </c>
      <c r="F27" s="441" t="s">
        <v>584</v>
      </c>
      <c r="G27" s="441" t="s">
        <v>564</v>
      </c>
      <c r="H27" s="464" t="s">
        <v>104</v>
      </c>
      <c r="I27" s="441" t="s">
        <v>523</v>
      </c>
      <c r="J27" s="457" t="s">
        <v>550</v>
      </c>
      <c r="K27" s="476" t="s">
        <v>531</v>
      </c>
      <c r="L27" s="441" t="s">
        <v>607</v>
      </c>
      <c r="M27" s="441" t="s">
        <v>531</v>
      </c>
      <c r="N27" s="441" t="s">
        <v>532</v>
      </c>
      <c r="O27" s="441" t="s">
        <v>570</v>
      </c>
      <c r="P27" s="441" t="s">
        <v>574</v>
      </c>
      <c r="Q27" s="442" t="s">
        <v>0</v>
      </c>
      <c r="R27" s="448" t="s">
        <v>519</v>
      </c>
      <c r="S27" s="475">
        <v>100</v>
      </c>
      <c r="T27" s="450">
        <v>25</v>
      </c>
      <c r="U27" s="442" t="s">
        <v>0</v>
      </c>
      <c r="V27" s="450" t="s">
        <v>0</v>
      </c>
      <c r="W27" s="451">
        <v>15.9</v>
      </c>
      <c r="X27" s="477" t="s">
        <v>0</v>
      </c>
      <c r="Y27" s="478" t="s">
        <v>0</v>
      </c>
      <c r="Z27" s="462">
        <v>2</v>
      </c>
      <c r="AA27" s="410" t="s">
        <v>613</v>
      </c>
      <c r="AB27" t="s">
        <v>780</v>
      </c>
      <c r="AC27" t="s">
        <v>819</v>
      </c>
      <c r="AD27">
        <v>2</v>
      </c>
      <c r="AE27">
        <v>12.132</v>
      </c>
      <c r="AF27" s="767">
        <v>1.0839324016386258</v>
      </c>
      <c r="AG27">
        <v>1</v>
      </c>
      <c r="AH27">
        <v>607</v>
      </c>
      <c r="AI27">
        <v>2.7831886910752575</v>
      </c>
      <c r="AW27" s="14" t="s">
        <v>79</v>
      </c>
      <c r="AX27" s="743" t="s">
        <v>790</v>
      </c>
      <c r="AY27" t="s">
        <v>820</v>
      </c>
      <c r="AZ27">
        <v>0</v>
      </c>
      <c r="BA27">
        <v>0</v>
      </c>
      <c r="BB27" s="749">
        <v>0</v>
      </c>
      <c r="BC27">
        <v>1</v>
      </c>
      <c r="BD27">
        <v>0</v>
      </c>
      <c r="BE27" s="749">
        <v>0</v>
      </c>
    </row>
    <row r="28" spans="1:57" x14ac:dyDescent="0.3">
      <c r="A28" s="437">
        <v>45250</v>
      </c>
      <c r="B28" s="438" t="s">
        <v>689</v>
      </c>
      <c r="C28" s="439" t="s">
        <v>548</v>
      </c>
      <c r="D28" s="472" t="s">
        <v>552</v>
      </c>
      <c r="E28" s="441" t="s">
        <v>588</v>
      </c>
      <c r="F28" s="441" t="s">
        <v>584</v>
      </c>
      <c r="G28" s="441" t="s">
        <v>564</v>
      </c>
      <c r="H28" s="464" t="s">
        <v>105</v>
      </c>
      <c r="I28" s="441" t="s">
        <v>522</v>
      </c>
      <c r="J28" s="463" t="s">
        <v>551</v>
      </c>
      <c r="K28" s="476" t="s">
        <v>531</v>
      </c>
      <c r="L28" s="441" t="s">
        <v>606</v>
      </c>
      <c r="M28" s="441" t="s">
        <v>531</v>
      </c>
      <c r="N28" s="441" t="s">
        <v>532</v>
      </c>
      <c r="O28" s="441" t="s">
        <v>570</v>
      </c>
      <c r="P28" s="441" t="s">
        <v>573</v>
      </c>
      <c r="Q28" s="442" t="s">
        <v>0</v>
      </c>
      <c r="R28" s="448" t="s">
        <v>519</v>
      </c>
      <c r="S28" s="475">
        <v>100</v>
      </c>
      <c r="T28" s="450">
        <v>25</v>
      </c>
      <c r="U28" s="442" t="s">
        <v>0</v>
      </c>
      <c r="V28" s="450" t="s">
        <v>0</v>
      </c>
      <c r="W28" s="451">
        <v>19.8</v>
      </c>
      <c r="X28" s="452">
        <v>18.5</v>
      </c>
      <c r="Y28" s="442">
        <v>462.664447</v>
      </c>
      <c r="Z28" s="448">
        <v>2</v>
      </c>
      <c r="AA28" s="410" t="s">
        <v>616</v>
      </c>
      <c r="AB28" t="s">
        <v>800</v>
      </c>
      <c r="AC28" t="s">
        <v>821</v>
      </c>
      <c r="AD28">
        <v>1.7</v>
      </c>
      <c r="AE28">
        <v>10.050000000000001</v>
      </c>
      <c r="AF28" s="767">
        <v>1.0021660617565078</v>
      </c>
      <c r="AG28">
        <v>1</v>
      </c>
      <c r="AH28">
        <v>503</v>
      </c>
      <c r="AI28">
        <v>2.7015679850559273</v>
      </c>
      <c r="AW28" s="14" t="s">
        <v>99</v>
      </c>
      <c r="AX28" s="743" t="s">
        <v>791</v>
      </c>
      <c r="AY28" t="s">
        <v>820</v>
      </c>
      <c r="AZ28">
        <v>2</v>
      </c>
      <c r="BA28">
        <v>11.843999999999999</v>
      </c>
      <c r="BB28" s="749">
        <v>1.0734983987172615</v>
      </c>
      <c r="BC28">
        <v>1</v>
      </c>
      <c r="BD28">
        <v>592</v>
      </c>
      <c r="BE28" s="749">
        <v>2.77232170672292</v>
      </c>
    </row>
    <row r="29" spans="1:57" x14ac:dyDescent="0.3">
      <c r="A29" s="437">
        <v>45250</v>
      </c>
      <c r="B29" s="438" t="s">
        <v>690</v>
      </c>
      <c r="C29" s="439" t="s">
        <v>548</v>
      </c>
      <c r="D29" s="472" t="s">
        <v>552</v>
      </c>
      <c r="E29" s="441" t="s">
        <v>588</v>
      </c>
      <c r="F29" s="441" t="s">
        <v>584</v>
      </c>
      <c r="G29" s="441" t="s">
        <v>564</v>
      </c>
      <c r="H29" s="464" t="s">
        <v>106</v>
      </c>
      <c r="I29" s="441" t="s">
        <v>522</v>
      </c>
      <c r="J29" s="463" t="s">
        <v>551</v>
      </c>
      <c r="K29" s="476" t="s">
        <v>531</v>
      </c>
      <c r="L29" s="441" t="s">
        <v>606</v>
      </c>
      <c r="M29" s="441" t="s">
        <v>531</v>
      </c>
      <c r="N29" s="441" t="s">
        <v>532</v>
      </c>
      <c r="O29" s="441" t="s">
        <v>570</v>
      </c>
      <c r="P29" s="441" t="s">
        <v>574</v>
      </c>
      <c r="Q29" s="442" t="s">
        <v>0</v>
      </c>
      <c r="R29" s="448" t="s">
        <v>519</v>
      </c>
      <c r="S29" s="475">
        <v>100</v>
      </c>
      <c r="T29" s="450">
        <v>25</v>
      </c>
      <c r="U29" s="442" t="s">
        <v>0</v>
      </c>
      <c r="V29" s="450" t="s">
        <v>0</v>
      </c>
      <c r="W29" s="451">
        <v>14.7</v>
      </c>
      <c r="X29" s="452">
        <v>13.8</v>
      </c>
      <c r="Y29" s="442">
        <v>343.82892379999998</v>
      </c>
      <c r="Z29" s="448">
        <v>2</v>
      </c>
      <c r="AA29" s="410" t="s">
        <v>616</v>
      </c>
      <c r="AB29" t="s">
        <v>801</v>
      </c>
      <c r="AC29" t="s">
        <v>821</v>
      </c>
      <c r="AD29">
        <v>0.4</v>
      </c>
      <c r="AE29">
        <v>2.3519999999999999</v>
      </c>
      <c r="AF29" s="767">
        <v>0.37143731740410085</v>
      </c>
      <c r="AG29">
        <v>1</v>
      </c>
      <c r="AH29">
        <v>118</v>
      </c>
      <c r="AI29">
        <v>2.0718820073061255</v>
      </c>
      <c r="AW29" s="14" t="s">
        <v>100</v>
      </c>
      <c r="AX29" s="743" t="s">
        <v>792</v>
      </c>
      <c r="AY29" t="s">
        <v>820</v>
      </c>
      <c r="AZ29">
        <v>2.2999999999999998</v>
      </c>
      <c r="BA29">
        <v>14.082000000000001</v>
      </c>
      <c r="BB29" s="749">
        <v>1.1486643399822363</v>
      </c>
      <c r="BC29">
        <v>1</v>
      </c>
      <c r="BD29">
        <v>704</v>
      </c>
      <c r="BE29" s="749">
        <v>2.847572659142112</v>
      </c>
    </row>
    <row r="30" spans="1:57" x14ac:dyDescent="0.3">
      <c r="A30" s="437">
        <v>45250</v>
      </c>
      <c r="B30" s="438" t="s">
        <v>691</v>
      </c>
      <c r="C30" s="439" t="s">
        <v>548</v>
      </c>
      <c r="D30" s="472" t="s">
        <v>552</v>
      </c>
      <c r="E30" s="441" t="s">
        <v>588</v>
      </c>
      <c r="F30" s="441" t="s">
        <v>584</v>
      </c>
      <c r="G30" s="441" t="s">
        <v>564</v>
      </c>
      <c r="H30" s="464" t="s">
        <v>107</v>
      </c>
      <c r="I30" s="441" t="s">
        <v>522</v>
      </c>
      <c r="J30" s="463" t="s">
        <v>551</v>
      </c>
      <c r="K30" s="476" t="s">
        <v>531</v>
      </c>
      <c r="L30" s="441" t="s">
        <v>606</v>
      </c>
      <c r="M30" s="441" t="s">
        <v>531</v>
      </c>
      <c r="N30" s="441" t="s">
        <v>532</v>
      </c>
      <c r="O30" s="441" t="s">
        <v>570</v>
      </c>
      <c r="P30" s="441" t="s">
        <v>503</v>
      </c>
      <c r="Q30" s="442" t="s">
        <v>0</v>
      </c>
      <c r="R30" s="448" t="s">
        <v>519</v>
      </c>
      <c r="S30" s="475">
        <v>100</v>
      </c>
      <c r="T30" s="450">
        <v>25</v>
      </c>
      <c r="U30" s="442" t="s">
        <v>0</v>
      </c>
      <c r="V30" s="450" t="s">
        <v>0</v>
      </c>
      <c r="W30" s="451">
        <v>16.2</v>
      </c>
      <c r="X30" s="452">
        <v>15.2</v>
      </c>
      <c r="Y30" s="442">
        <v>379.5153626</v>
      </c>
      <c r="Z30" s="448">
        <v>2</v>
      </c>
      <c r="AA30" s="410" t="s">
        <v>616</v>
      </c>
      <c r="AB30" t="s">
        <v>802</v>
      </c>
      <c r="AC30" t="s">
        <v>821</v>
      </c>
      <c r="AD30">
        <v>6.5</v>
      </c>
      <c r="AE30">
        <v>39.204000000000001</v>
      </c>
      <c r="AF30" s="767">
        <v>1.5933303805230623</v>
      </c>
      <c r="AG30">
        <v>1</v>
      </c>
      <c r="AH30">
        <v>1960</v>
      </c>
      <c r="AI30">
        <v>3.2922560713564759</v>
      </c>
      <c r="AW30" s="14" t="s">
        <v>101</v>
      </c>
      <c r="AX30" s="743" t="s">
        <v>793</v>
      </c>
      <c r="AY30" t="s">
        <v>820</v>
      </c>
      <c r="AZ30">
        <v>1.1000000000000001</v>
      </c>
      <c r="BA30">
        <v>6.8940000000000001</v>
      </c>
      <c r="BB30" s="749">
        <v>0.83847127907192887</v>
      </c>
      <c r="BC30">
        <v>1</v>
      </c>
      <c r="BD30">
        <v>345</v>
      </c>
      <c r="BE30" s="749">
        <v>2.537819095073274</v>
      </c>
    </row>
    <row r="31" spans="1:57" x14ac:dyDescent="0.3">
      <c r="A31" s="437">
        <v>45250</v>
      </c>
      <c r="B31" s="438" t="s">
        <v>692</v>
      </c>
      <c r="C31" s="439" t="s">
        <v>548</v>
      </c>
      <c r="D31" s="472" t="s">
        <v>552</v>
      </c>
      <c r="E31" s="441" t="s">
        <v>588</v>
      </c>
      <c r="F31" s="441" t="s">
        <v>584</v>
      </c>
      <c r="G31" s="441" t="s">
        <v>564</v>
      </c>
      <c r="H31" s="464" t="s">
        <v>108</v>
      </c>
      <c r="I31" s="441" t="s">
        <v>522</v>
      </c>
      <c r="J31" s="463" t="s">
        <v>551</v>
      </c>
      <c r="K31" s="476" t="s">
        <v>531</v>
      </c>
      <c r="L31" s="441" t="s">
        <v>606</v>
      </c>
      <c r="M31" s="441" t="s">
        <v>531</v>
      </c>
      <c r="N31" s="441" t="s">
        <v>532</v>
      </c>
      <c r="O31" s="441" t="s">
        <v>570</v>
      </c>
      <c r="P31" s="441" t="s">
        <v>575</v>
      </c>
      <c r="Q31" s="442" t="s">
        <v>0</v>
      </c>
      <c r="R31" s="448" t="s">
        <v>519</v>
      </c>
      <c r="S31" s="475">
        <v>100</v>
      </c>
      <c r="T31" s="450">
        <v>25</v>
      </c>
      <c r="U31" s="442" t="s">
        <v>0</v>
      </c>
      <c r="V31" s="450" t="s">
        <v>0</v>
      </c>
      <c r="W31" s="451">
        <v>13.9</v>
      </c>
      <c r="X31" s="452">
        <v>13</v>
      </c>
      <c r="Y31" s="442">
        <v>325.15992369999998</v>
      </c>
      <c r="Z31" s="448">
        <v>2</v>
      </c>
      <c r="AA31" s="410" t="s">
        <v>616</v>
      </c>
      <c r="AB31" t="s">
        <v>803</v>
      </c>
      <c r="AC31" t="s">
        <v>821</v>
      </c>
      <c r="AD31">
        <v>2.7</v>
      </c>
      <c r="AE31">
        <v>15.96</v>
      </c>
      <c r="AF31" s="767">
        <v>1.2030328870147107</v>
      </c>
      <c r="AG31">
        <v>1</v>
      </c>
      <c r="AH31">
        <v>798</v>
      </c>
      <c r="AI31">
        <v>2.9020028913507296</v>
      </c>
      <c r="AW31" s="14" t="s">
        <v>102</v>
      </c>
      <c r="AX31" s="743" t="s">
        <v>794</v>
      </c>
      <c r="AY31" t="s">
        <v>820</v>
      </c>
      <c r="AZ31">
        <v>1.9</v>
      </c>
      <c r="BA31">
        <v>11.388</v>
      </c>
      <c r="BB31" s="749">
        <v>1.0564474584749175</v>
      </c>
      <c r="BC31">
        <v>1</v>
      </c>
      <c r="BD31">
        <v>569</v>
      </c>
      <c r="BE31" s="749">
        <v>2.7551122663950713</v>
      </c>
    </row>
    <row r="32" spans="1:57" x14ac:dyDescent="0.3">
      <c r="A32" s="437">
        <v>45250</v>
      </c>
      <c r="B32" s="438" t="s">
        <v>693</v>
      </c>
      <c r="C32" s="439" t="s">
        <v>548</v>
      </c>
      <c r="D32" s="472" t="s">
        <v>552</v>
      </c>
      <c r="E32" s="441" t="s">
        <v>588</v>
      </c>
      <c r="F32" s="441" t="s">
        <v>584</v>
      </c>
      <c r="G32" s="441" t="s">
        <v>564</v>
      </c>
      <c r="H32" s="464" t="s">
        <v>109</v>
      </c>
      <c r="I32" s="441" t="s">
        <v>523</v>
      </c>
      <c r="J32" s="463" t="s">
        <v>551</v>
      </c>
      <c r="K32" s="476" t="s">
        <v>531</v>
      </c>
      <c r="L32" s="441" t="s">
        <v>607</v>
      </c>
      <c r="M32" s="441" t="s">
        <v>531</v>
      </c>
      <c r="N32" s="441" t="s">
        <v>532</v>
      </c>
      <c r="O32" s="441" t="s">
        <v>570</v>
      </c>
      <c r="P32" s="441" t="s">
        <v>573</v>
      </c>
      <c r="Q32" s="442" t="s">
        <v>0</v>
      </c>
      <c r="R32" s="448" t="s">
        <v>519</v>
      </c>
      <c r="S32" s="475">
        <v>100</v>
      </c>
      <c r="T32" s="450">
        <v>25</v>
      </c>
      <c r="U32" s="442" t="s">
        <v>0</v>
      </c>
      <c r="V32" s="450" t="s">
        <v>0</v>
      </c>
      <c r="W32" s="451">
        <v>20.6</v>
      </c>
      <c r="X32" s="452">
        <v>19.3</v>
      </c>
      <c r="Y32" s="442">
        <v>482.71169049999997</v>
      </c>
      <c r="Z32" s="448">
        <v>2</v>
      </c>
      <c r="AA32" s="410" t="s">
        <v>612</v>
      </c>
      <c r="AB32" t="s">
        <v>784</v>
      </c>
      <c r="AC32" t="s">
        <v>983</v>
      </c>
      <c r="AD32">
        <v>2</v>
      </c>
      <c r="AE32">
        <v>12.012</v>
      </c>
      <c r="AF32" s="767">
        <v>1.0796153235269434</v>
      </c>
      <c r="AG32">
        <v>1</v>
      </c>
      <c r="AH32">
        <v>601</v>
      </c>
      <c r="AI32">
        <v>2.7788744720027396</v>
      </c>
      <c r="AW32" s="14" t="s">
        <v>35</v>
      </c>
      <c r="AX32" s="744" t="s">
        <v>795</v>
      </c>
      <c r="AY32" t="s">
        <v>821</v>
      </c>
      <c r="AZ32">
        <v>2.8</v>
      </c>
      <c r="BA32">
        <v>16.649999999999999</v>
      </c>
      <c r="BB32" s="749">
        <v>1.2214142378423387</v>
      </c>
      <c r="BC32">
        <v>1</v>
      </c>
      <c r="BD32">
        <v>833</v>
      </c>
      <c r="BE32" s="749">
        <v>2.9206450014067875</v>
      </c>
    </row>
    <row r="33" spans="1:57" x14ac:dyDescent="0.3">
      <c r="A33" s="437">
        <v>45250</v>
      </c>
      <c r="B33" s="438" t="s">
        <v>694</v>
      </c>
      <c r="C33" s="439" t="s">
        <v>548</v>
      </c>
      <c r="D33" s="472" t="s">
        <v>552</v>
      </c>
      <c r="E33" s="441" t="s">
        <v>588</v>
      </c>
      <c r="F33" s="441" t="s">
        <v>584</v>
      </c>
      <c r="G33" s="441" t="s">
        <v>564</v>
      </c>
      <c r="H33" s="464" t="s">
        <v>110</v>
      </c>
      <c r="I33" s="441" t="s">
        <v>523</v>
      </c>
      <c r="J33" s="463" t="s">
        <v>551</v>
      </c>
      <c r="K33" s="476" t="s">
        <v>531</v>
      </c>
      <c r="L33" s="441" t="s">
        <v>607</v>
      </c>
      <c r="M33" s="441" t="s">
        <v>531</v>
      </c>
      <c r="N33" s="441" t="s">
        <v>532</v>
      </c>
      <c r="O33" s="441" t="s">
        <v>570</v>
      </c>
      <c r="P33" s="441" t="s">
        <v>574</v>
      </c>
      <c r="Q33" s="442" t="s">
        <v>0</v>
      </c>
      <c r="R33" s="448" t="s">
        <v>519</v>
      </c>
      <c r="S33" s="475">
        <v>100</v>
      </c>
      <c r="T33" s="450">
        <v>25</v>
      </c>
      <c r="U33" s="442" t="s">
        <v>0</v>
      </c>
      <c r="V33" s="450" t="s">
        <v>0</v>
      </c>
      <c r="W33" s="451">
        <v>28.8</v>
      </c>
      <c r="X33" s="452">
        <v>26.9</v>
      </c>
      <c r="Y33" s="442">
        <v>673.61277210000003</v>
      </c>
      <c r="Z33" s="448">
        <v>2</v>
      </c>
      <c r="AA33" s="410" t="s">
        <v>612</v>
      </c>
      <c r="AB33" t="s">
        <v>785</v>
      </c>
      <c r="AC33" t="s">
        <v>983</v>
      </c>
      <c r="AD33">
        <v>2.7</v>
      </c>
      <c r="AE33">
        <v>15.96</v>
      </c>
      <c r="AF33" s="767">
        <v>1.2030328870147107</v>
      </c>
      <c r="AG33">
        <v>1</v>
      </c>
      <c r="AH33">
        <v>798</v>
      </c>
      <c r="AI33">
        <v>2.9020028913507296</v>
      </c>
      <c r="AW33" s="14" t="s">
        <v>82</v>
      </c>
      <c r="AX33" s="743" t="s">
        <v>796</v>
      </c>
      <c r="AY33" t="s">
        <v>821</v>
      </c>
      <c r="AZ33">
        <v>2.2999999999999998</v>
      </c>
      <c r="BA33">
        <v>14.01</v>
      </c>
      <c r="BB33" s="749">
        <v>1.1464381352857747</v>
      </c>
      <c r="BC33">
        <v>1</v>
      </c>
      <c r="BD33">
        <v>701</v>
      </c>
      <c r="BE33" s="749">
        <v>2.8457180179666586</v>
      </c>
    </row>
    <row r="34" spans="1:57" ht="16.2" thickBot="1" x14ac:dyDescent="0.35">
      <c r="A34" s="437">
        <v>45250</v>
      </c>
      <c r="B34" s="438" t="s">
        <v>695</v>
      </c>
      <c r="C34" s="439" t="s">
        <v>548</v>
      </c>
      <c r="D34" s="472" t="s">
        <v>552</v>
      </c>
      <c r="E34" s="441" t="s">
        <v>588</v>
      </c>
      <c r="F34" s="441" t="s">
        <v>584</v>
      </c>
      <c r="G34" s="441" t="s">
        <v>564</v>
      </c>
      <c r="H34" s="464" t="s">
        <v>111</v>
      </c>
      <c r="I34" s="441" t="s">
        <v>520</v>
      </c>
      <c r="J34" s="465" t="s">
        <v>0</v>
      </c>
      <c r="K34" s="476" t="s">
        <v>531</v>
      </c>
      <c r="L34" s="441" t="s">
        <v>530</v>
      </c>
      <c r="M34" s="441" t="s">
        <v>532</v>
      </c>
      <c r="N34" s="441" t="s">
        <v>532</v>
      </c>
      <c r="O34" s="441" t="s">
        <v>570</v>
      </c>
      <c r="P34" s="441" t="s">
        <v>573</v>
      </c>
      <c r="Q34" s="442" t="s">
        <v>0</v>
      </c>
      <c r="R34" s="448" t="s">
        <v>519</v>
      </c>
      <c r="S34" s="475">
        <v>100</v>
      </c>
      <c r="T34" s="450" t="s">
        <v>0</v>
      </c>
      <c r="U34" s="442" t="s">
        <v>0</v>
      </c>
      <c r="V34" s="450" t="s">
        <v>0</v>
      </c>
      <c r="W34" s="451">
        <v>13.8</v>
      </c>
      <c r="X34" s="452">
        <v>12.9</v>
      </c>
      <c r="Y34" s="442">
        <v>322.34697219999998</v>
      </c>
      <c r="Z34" s="448">
        <v>2</v>
      </c>
      <c r="AA34" s="410" t="s">
        <v>619</v>
      </c>
      <c r="AB34" t="s">
        <v>806</v>
      </c>
      <c r="AC34" t="s">
        <v>824</v>
      </c>
      <c r="AD34">
        <v>3.5</v>
      </c>
      <c r="AE34">
        <v>20.795999999999999</v>
      </c>
      <c r="AF34" s="767">
        <v>1.3179798087615417</v>
      </c>
      <c r="AG34">
        <v>1</v>
      </c>
      <c r="AH34">
        <v>1040</v>
      </c>
      <c r="AI34">
        <v>3.0170333392987803</v>
      </c>
      <c r="AW34" s="327" t="s">
        <v>83</v>
      </c>
      <c r="AX34" t="s">
        <v>797</v>
      </c>
      <c r="AY34" t="s">
        <v>821</v>
      </c>
      <c r="AZ34">
        <v>0</v>
      </c>
      <c r="BA34">
        <v>0</v>
      </c>
      <c r="BB34" s="749">
        <v>0</v>
      </c>
      <c r="BC34">
        <v>1</v>
      </c>
      <c r="BD34">
        <v>0</v>
      </c>
      <c r="BE34" s="749">
        <v>0</v>
      </c>
    </row>
    <row r="35" spans="1:57" x14ac:dyDescent="0.3">
      <c r="A35" s="437">
        <v>45250</v>
      </c>
      <c r="B35" s="438" t="s">
        <v>696</v>
      </c>
      <c r="C35" s="439" t="s">
        <v>548</v>
      </c>
      <c r="D35" s="472" t="s">
        <v>552</v>
      </c>
      <c r="E35" s="441" t="s">
        <v>588</v>
      </c>
      <c r="F35" s="441" t="s">
        <v>584</v>
      </c>
      <c r="G35" s="441" t="s">
        <v>564</v>
      </c>
      <c r="H35" s="464" t="s">
        <v>112</v>
      </c>
      <c r="I35" s="441" t="s">
        <v>520</v>
      </c>
      <c r="J35" s="465" t="s">
        <v>0</v>
      </c>
      <c r="K35" s="476" t="s">
        <v>531</v>
      </c>
      <c r="L35" s="441" t="s">
        <v>530</v>
      </c>
      <c r="M35" s="441" t="s">
        <v>532</v>
      </c>
      <c r="N35" s="441" t="s">
        <v>532</v>
      </c>
      <c r="O35" s="441" t="s">
        <v>570</v>
      </c>
      <c r="P35" s="441" t="s">
        <v>574</v>
      </c>
      <c r="Q35" s="442" t="s">
        <v>0</v>
      </c>
      <c r="R35" s="448" t="s">
        <v>519</v>
      </c>
      <c r="S35" s="475">
        <v>100</v>
      </c>
      <c r="T35" s="450" t="s">
        <v>0</v>
      </c>
      <c r="U35" s="442" t="s">
        <v>0</v>
      </c>
      <c r="V35" s="450" t="s">
        <v>0</v>
      </c>
      <c r="W35" s="451">
        <v>20.5</v>
      </c>
      <c r="X35" s="452">
        <v>19.2</v>
      </c>
      <c r="Y35" s="442">
        <v>480.30045050000001</v>
      </c>
      <c r="Z35" s="448">
        <v>2</v>
      </c>
      <c r="AA35" s="410" t="s">
        <v>619</v>
      </c>
      <c r="AB35" t="s">
        <v>807</v>
      </c>
      <c r="AC35" t="s">
        <v>824</v>
      </c>
      <c r="AD35">
        <v>2</v>
      </c>
      <c r="AE35">
        <v>11.85</v>
      </c>
      <c r="AF35" s="767">
        <v>1.0737183503461227</v>
      </c>
      <c r="AG35">
        <v>1</v>
      </c>
      <c r="AH35">
        <v>593</v>
      </c>
      <c r="AI35">
        <v>2.7730546933642626</v>
      </c>
      <c r="AW35" s="131" t="s">
        <v>84</v>
      </c>
      <c r="AX35" t="s">
        <v>798</v>
      </c>
      <c r="AY35" t="s">
        <v>821</v>
      </c>
      <c r="AZ35">
        <v>1.6</v>
      </c>
      <c r="BA35">
        <v>9.4979999999999993</v>
      </c>
      <c r="BB35" s="749">
        <v>0.9776321652459995</v>
      </c>
      <c r="BC35">
        <v>1</v>
      </c>
      <c r="BD35">
        <v>475</v>
      </c>
      <c r="BE35" s="749">
        <v>2.6766936096248664</v>
      </c>
    </row>
    <row r="36" spans="1:57" x14ac:dyDescent="0.3">
      <c r="A36" s="437">
        <v>45250</v>
      </c>
      <c r="B36" s="438" t="s">
        <v>697</v>
      </c>
      <c r="C36" s="468" t="s">
        <v>549</v>
      </c>
      <c r="D36" s="469" t="s">
        <v>0</v>
      </c>
      <c r="E36" s="469" t="s">
        <v>0</v>
      </c>
      <c r="F36" s="469" t="s">
        <v>0</v>
      </c>
      <c r="G36" s="441" t="s">
        <v>564</v>
      </c>
      <c r="H36" s="464" t="s">
        <v>113</v>
      </c>
      <c r="I36" s="441" t="s">
        <v>521</v>
      </c>
      <c r="J36" s="465" t="s">
        <v>0</v>
      </c>
      <c r="K36" s="476" t="s">
        <v>531</v>
      </c>
      <c r="L36" s="441" t="s">
        <v>521</v>
      </c>
      <c r="M36" s="441" t="s">
        <v>532</v>
      </c>
      <c r="N36" s="441" t="s">
        <v>532</v>
      </c>
      <c r="O36" s="441" t="s">
        <v>570</v>
      </c>
      <c r="P36" s="441" t="s">
        <v>573</v>
      </c>
      <c r="Q36" s="442" t="s">
        <v>0</v>
      </c>
      <c r="R36" s="448" t="s">
        <v>0</v>
      </c>
      <c r="S36" s="475">
        <v>100</v>
      </c>
      <c r="T36" s="450" t="s">
        <v>0</v>
      </c>
      <c r="U36" s="442" t="s">
        <v>0</v>
      </c>
      <c r="V36" s="450" t="s">
        <v>0</v>
      </c>
      <c r="W36" s="451">
        <v>11.2</v>
      </c>
      <c r="X36" s="452">
        <v>10.5</v>
      </c>
      <c r="Y36" s="442">
        <v>262.73154870000002</v>
      </c>
      <c r="Z36" s="448">
        <v>2</v>
      </c>
      <c r="AA36" s="410" t="s">
        <v>620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W36" s="14" t="s">
        <v>85</v>
      </c>
      <c r="AX36" t="s">
        <v>799</v>
      </c>
      <c r="AY36" t="s">
        <v>821</v>
      </c>
      <c r="AZ36">
        <v>0</v>
      </c>
      <c r="BA36">
        <v>0</v>
      </c>
      <c r="BB36" s="749">
        <v>0</v>
      </c>
      <c r="BC36">
        <v>1</v>
      </c>
      <c r="BD36">
        <v>0</v>
      </c>
      <c r="BE36" s="749">
        <v>0</v>
      </c>
    </row>
    <row r="37" spans="1:57" x14ac:dyDescent="0.3">
      <c r="A37" s="437">
        <v>45264</v>
      </c>
      <c r="B37" s="438" t="s">
        <v>698</v>
      </c>
      <c r="C37" s="468" t="s">
        <v>549</v>
      </c>
      <c r="D37" s="469" t="s">
        <v>0</v>
      </c>
      <c r="E37" s="469" t="s">
        <v>0</v>
      </c>
      <c r="F37" s="469" t="s">
        <v>0</v>
      </c>
      <c r="G37" s="442" t="s">
        <v>565</v>
      </c>
      <c r="H37" s="443" t="s">
        <v>136</v>
      </c>
      <c r="I37" s="442" t="s">
        <v>521</v>
      </c>
      <c r="J37" s="479" t="s">
        <v>0</v>
      </c>
      <c r="K37" s="441" t="s">
        <v>531</v>
      </c>
      <c r="L37" s="441" t="s">
        <v>521</v>
      </c>
      <c r="M37" s="442" t="s">
        <v>532</v>
      </c>
      <c r="N37" s="446" t="s">
        <v>532</v>
      </c>
      <c r="O37" s="446" t="s">
        <v>570</v>
      </c>
      <c r="P37" s="446" t="s">
        <v>573</v>
      </c>
      <c r="Q37" s="446" t="s">
        <v>0</v>
      </c>
      <c r="R37" s="448" t="s">
        <v>0</v>
      </c>
      <c r="S37" s="459">
        <v>100</v>
      </c>
      <c r="T37" s="450" t="s">
        <v>0</v>
      </c>
      <c r="U37" s="442" t="s">
        <v>0</v>
      </c>
      <c r="V37" s="452" t="s">
        <v>0</v>
      </c>
      <c r="W37" s="451">
        <v>17.7</v>
      </c>
      <c r="X37" s="452">
        <v>16.600000000000001</v>
      </c>
      <c r="Y37" s="442">
        <v>415.34285499999999</v>
      </c>
      <c r="Z37" s="448">
        <v>2</v>
      </c>
      <c r="AA37" s="410" t="s">
        <v>626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W37" s="14" t="s">
        <v>105</v>
      </c>
      <c r="AX37" t="s">
        <v>800</v>
      </c>
      <c r="AY37" t="s">
        <v>821</v>
      </c>
      <c r="AZ37">
        <v>1.7</v>
      </c>
      <c r="BA37">
        <v>10.050000000000001</v>
      </c>
      <c r="BB37" s="749">
        <v>1.0021660617565078</v>
      </c>
      <c r="BC37">
        <v>1</v>
      </c>
      <c r="BD37">
        <v>503</v>
      </c>
      <c r="BE37" s="749">
        <v>2.7015679850559273</v>
      </c>
    </row>
    <row r="38" spans="1:57" x14ac:dyDescent="0.3">
      <c r="A38" s="437">
        <v>45264</v>
      </c>
      <c r="B38" s="438" t="s">
        <v>699</v>
      </c>
      <c r="C38" s="468" t="s">
        <v>549</v>
      </c>
      <c r="D38" s="469" t="s">
        <v>0</v>
      </c>
      <c r="E38" s="469" t="s">
        <v>0</v>
      </c>
      <c r="F38" s="469" t="s">
        <v>0</v>
      </c>
      <c r="G38" s="466" t="s">
        <v>565</v>
      </c>
      <c r="H38" s="443" t="s">
        <v>137</v>
      </c>
      <c r="I38" s="442" t="s">
        <v>521</v>
      </c>
      <c r="J38" s="479" t="s">
        <v>0</v>
      </c>
      <c r="K38" s="441" t="s">
        <v>531</v>
      </c>
      <c r="L38" s="441" t="s">
        <v>521</v>
      </c>
      <c r="M38" s="442" t="s">
        <v>532</v>
      </c>
      <c r="N38" s="446" t="s">
        <v>532</v>
      </c>
      <c r="O38" s="446" t="s">
        <v>570</v>
      </c>
      <c r="P38" s="480" t="s">
        <v>574</v>
      </c>
      <c r="Q38" s="446" t="s">
        <v>0</v>
      </c>
      <c r="R38" s="448" t="s">
        <v>0</v>
      </c>
      <c r="S38" s="459">
        <v>100</v>
      </c>
      <c r="T38" s="450" t="s">
        <v>0</v>
      </c>
      <c r="U38" s="442" t="s">
        <v>0</v>
      </c>
      <c r="V38" s="452" t="s">
        <v>0</v>
      </c>
      <c r="W38" s="451">
        <v>33.4</v>
      </c>
      <c r="X38" s="452">
        <v>31.2</v>
      </c>
      <c r="Y38" s="442">
        <v>780.76606230000004</v>
      </c>
      <c r="Z38" s="481">
        <v>2</v>
      </c>
      <c r="AA38" s="410" t="s">
        <v>626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W38" s="14" t="s">
        <v>106</v>
      </c>
      <c r="AX38" t="s">
        <v>801</v>
      </c>
      <c r="AY38" t="s">
        <v>821</v>
      </c>
      <c r="AZ38">
        <v>0.4</v>
      </c>
      <c r="BA38">
        <v>2.3519999999999999</v>
      </c>
      <c r="BB38" s="749">
        <v>0.37143731740410085</v>
      </c>
      <c r="BC38">
        <v>1</v>
      </c>
      <c r="BD38">
        <v>118</v>
      </c>
      <c r="BE38" s="749">
        <v>2.0718820073061255</v>
      </c>
    </row>
    <row r="39" spans="1:57" x14ac:dyDescent="0.3">
      <c r="A39" s="437">
        <v>45264</v>
      </c>
      <c r="B39" s="438" t="s">
        <v>700</v>
      </c>
      <c r="C39" s="468" t="s">
        <v>549</v>
      </c>
      <c r="D39" s="482" t="s">
        <v>596</v>
      </c>
      <c r="E39" s="441" t="s">
        <v>589</v>
      </c>
      <c r="F39" s="441" t="s">
        <v>585</v>
      </c>
      <c r="G39" s="483" t="s">
        <v>565</v>
      </c>
      <c r="H39" s="443" t="s">
        <v>138</v>
      </c>
      <c r="I39" s="442" t="s">
        <v>520</v>
      </c>
      <c r="J39" s="479" t="s">
        <v>0</v>
      </c>
      <c r="K39" s="441" t="s">
        <v>531</v>
      </c>
      <c r="L39" s="441" t="s">
        <v>530</v>
      </c>
      <c r="M39" s="442" t="s">
        <v>532</v>
      </c>
      <c r="N39" s="446" t="s">
        <v>532</v>
      </c>
      <c r="O39" s="446" t="s">
        <v>570</v>
      </c>
      <c r="P39" s="484" t="s">
        <v>573</v>
      </c>
      <c r="Q39" s="446" t="s">
        <v>0</v>
      </c>
      <c r="R39" s="448" t="s">
        <v>519</v>
      </c>
      <c r="S39" s="459">
        <v>100</v>
      </c>
      <c r="T39" s="450" t="s">
        <v>0</v>
      </c>
      <c r="U39" s="442" t="s">
        <v>0</v>
      </c>
      <c r="V39" s="452" t="s">
        <v>0</v>
      </c>
      <c r="W39" s="451">
        <v>32.299999999999997</v>
      </c>
      <c r="X39" s="452">
        <v>30.3</v>
      </c>
      <c r="Y39" s="442">
        <v>756.95281720000003</v>
      </c>
      <c r="Z39" s="448">
        <v>2</v>
      </c>
      <c r="AA39" s="410" t="s">
        <v>623</v>
      </c>
      <c r="AB39" t="s">
        <v>138</v>
      </c>
      <c r="AC39" t="s">
        <v>824</v>
      </c>
      <c r="AD39">
        <v>0.3</v>
      </c>
      <c r="AE39">
        <v>1.6</v>
      </c>
      <c r="AF39" s="767">
        <v>0.20411998265592479</v>
      </c>
      <c r="AG39">
        <v>1</v>
      </c>
      <c r="AH39">
        <v>80</v>
      </c>
      <c r="AI39">
        <v>1.9030899869919435</v>
      </c>
      <c r="AW39" s="14" t="s">
        <v>107</v>
      </c>
      <c r="AX39" t="s">
        <v>802</v>
      </c>
      <c r="AY39" t="s">
        <v>821</v>
      </c>
      <c r="AZ39">
        <v>6.5</v>
      </c>
      <c r="BA39">
        <v>39.204000000000001</v>
      </c>
      <c r="BB39" s="749">
        <v>1.5933303805230623</v>
      </c>
      <c r="BC39">
        <v>1</v>
      </c>
      <c r="BD39">
        <v>1960</v>
      </c>
      <c r="BE39" s="749">
        <v>3.2922560713564759</v>
      </c>
    </row>
    <row r="40" spans="1:57" ht="16.2" thickBot="1" x14ac:dyDescent="0.35">
      <c r="A40" s="485">
        <v>45264</v>
      </c>
      <c r="B40" s="424" t="s">
        <v>701</v>
      </c>
      <c r="C40" s="486" t="s">
        <v>549</v>
      </c>
      <c r="D40" s="487" t="s">
        <v>552</v>
      </c>
      <c r="E40" s="488" t="s">
        <v>588</v>
      </c>
      <c r="F40" s="488" t="s">
        <v>584</v>
      </c>
      <c r="G40" s="442" t="s">
        <v>565</v>
      </c>
      <c r="H40" s="489" t="s">
        <v>139</v>
      </c>
      <c r="I40" s="466" t="s">
        <v>520</v>
      </c>
      <c r="J40" s="490" t="s">
        <v>0</v>
      </c>
      <c r="K40" s="441" t="s">
        <v>531</v>
      </c>
      <c r="L40" s="488" t="s">
        <v>530</v>
      </c>
      <c r="M40" s="466" t="s">
        <v>532</v>
      </c>
      <c r="N40" s="480" t="s">
        <v>532</v>
      </c>
      <c r="O40" s="480" t="s">
        <v>570</v>
      </c>
      <c r="P40" s="480" t="s">
        <v>574</v>
      </c>
      <c r="Q40" s="446" t="s">
        <v>0</v>
      </c>
      <c r="R40" s="431" t="s">
        <v>519</v>
      </c>
      <c r="S40" s="491">
        <v>100</v>
      </c>
      <c r="T40" s="433" t="s">
        <v>0</v>
      </c>
      <c r="U40" s="492" t="s">
        <v>0</v>
      </c>
      <c r="V40" s="435" t="s">
        <v>0</v>
      </c>
      <c r="W40" s="434">
        <v>36.6</v>
      </c>
      <c r="X40" s="435">
        <v>34.200000000000003</v>
      </c>
      <c r="Y40" s="428">
        <v>855.56436189999999</v>
      </c>
      <c r="Z40" s="431">
        <v>2</v>
      </c>
      <c r="AA40" s="436" t="s">
        <v>625</v>
      </c>
      <c r="AB40" t="s">
        <v>139</v>
      </c>
      <c r="AC40" t="s">
        <v>824</v>
      </c>
      <c r="AD40">
        <v>0.1</v>
      </c>
      <c r="AE40">
        <v>0.82</v>
      </c>
      <c r="AF40" s="767">
        <v>-8.6186147616283335E-2</v>
      </c>
      <c r="AG40">
        <v>1</v>
      </c>
      <c r="AH40">
        <v>41</v>
      </c>
      <c r="AI40">
        <v>1.6127838567197355</v>
      </c>
      <c r="AW40" s="14" t="s">
        <v>108</v>
      </c>
      <c r="AX40" t="s">
        <v>803</v>
      </c>
      <c r="AY40" t="s">
        <v>821</v>
      </c>
      <c r="AZ40">
        <v>2.7</v>
      </c>
      <c r="BA40">
        <v>15.96</v>
      </c>
      <c r="BB40" s="749">
        <v>1.2030328870147107</v>
      </c>
      <c r="BC40">
        <v>1</v>
      </c>
      <c r="BD40">
        <v>798</v>
      </c>
      <c r="BE40" s="749">
        <v>2.9020028913507296</v>
      </c>
    </row>
    <row r="41" spans="1:57" x14ac:dyDescent="0.3">
      <c r="A41" s="437">
        <v>45266</v>
      </c>
      <c r="B41" s="438" t="s">
        <v>702</v>
      </c>
      <c r="C41" s="493" t="s">
        <v>544</v>
      </c>
      <c r="D41" s="440" t="s">
        <v>552</v>
      </c>
      <c r="E41" s="441" t="s">
        <v>588</v>
      </c>
      <c r="F41" s="441" t="s">
        <v>584</v>
      </c>
      <c r="G41" s="441" t="s">
        <v>566</v>
      </c>
      <c r="H41" s="464" t="s">
        <v>148</v>
      </c>
      <c r="I41" s="441" t="s">
        <v>520</v>
      </c>
      <c r="J41" s="465" t="s">
        <v>0</v>
      </c>
      <c r="K41" s="441" t="s">
        <v>531</v>
      </c>
      <c r="L41" s="441" t="s">
        <v>530</v>
      </c>
      <c r="M41" s="441" t="s">
        <v>531</v>
      </c>
      <c r="N41" s="441" t="s">
        <v>531</v>
      </c>
      <c r="O41" s="441" t="s">
        <v>514</v>
      </c>
      <c r="P41" s="441" t="s">
        <v>573</v>
      </c>
      <c r="Q41" s="442" t="s">
        <v>0</v>
      </c>
      <c r="R41" s="448" t="s">
        <v>519</v>
      </c>
      <c r="S41" s="459">
        <v>100</v>
      </c>
      <c r="T41" s="450" t="s">
        <v>0</v>
      </c>
      <c r="U41" s="442" t="s">
        <v>0</v>
      </c>
      <c r="V41" s="450" t="s">
        <v>0</v>
      </c>
      <c r="W41" s="451">
        <v>21.2</v>
      </c>
      <c r="X41" s="452">
        <v>19.8</v>
      </c>
      <c r="Y41" s="442">
        <v>495.59978840000002</v>
      </c>
      <c r="Z41" s="448">
        <v>2</v>
      </c>
      <c r="AA41" s="410" t="s">
        <v>619</v>
      </c>
      <c r="AB41" t="s">
        <v>148</v>
      </c>
      <c r="AC41" t="s">
        <v>824</v>
      </c>
      <c r="AD41">
        <v>0</v>
      </c>
      <c r="AE41">
        <v>0</v>
      </c>
      <c r="AF41" s="755">
        <v>0</v>
      </c>
      <c r="AG41">
        <v>1</v>
      </c>
      <c r="AH41">
        <v>0</v>
      </c>
      <c r="AI41">
        <v>0</v>
      </c>
      <c r="AW41" s="14" t="s">
        <v>389</v>
      </c>
      <c r="AX41" s="745" t="s">
        <v>389</v>
      </c>
      <c r="AY41" t="s">
        <v>822</v>
      </c>
      <c r="AZ41">
        <v>0.4</v>
      </c>
      <c r="BA41">
        <v>2.1</v>
      </c>
      <c r="BB41" s="749">
        <v>0.3222192947339193</v>
      </c>
      <c r="BC41">
        <v>1</v>
      </c>
      <c r="BD41">
        <v>107</v>
      </c>
      <c r="BE41" s="749">
        <v>2.0293837776852097</v>
      </c>
    </row>
    <row r="42" spans="1:57" x14ac:dyDescent="0.3">
      <c r="A42" s="437">
        <v>45266</v>
      </c>
      <c r="B42" s="438" t="s">
        <v>703</v>
      </c>
      <c r="C42" s="493" t="s">
        <v>544</v>
      </c>
      <c r="D42" s="482" t="s">
        <v>596</v>
      </c>
      <c r="E42" s="441" t="s">
        <v>589</v>
      </c>
      <c r="F42" s="441" t="s">
        <v>585</v>
      </c>
      <c r="G42" s="441" t="s">
        <v>566</v>
      </c>
      <c r="H42" s="464" t="s">
        <v>159</v>
      </c>
      <c r="I42" s="441" t="s">
        <v>520</v>
      </c>
      <c r="J42" s="465" t="s">
        <v>0</v>
      </c>
      <c r="K42" s="441" t="s">
        <v>531</v>
      </c>
      <c r="L42" s="441" t="s">
        <v>530</v>
      </c>
      <c r="M42" s="441" t="s">
        <v>531</v>
      </c>
      <c r="N42" s="441" t="s">
        <v>531</v>
      </c>
      <c r="O42" s="441" t="s">
        <v>514</v>
      </c>
      <c r="P42" s="441" t="s">
        <v>573</v>
      </c>
      <c r="Q42" s="442" t="s">
        <v>0</v>
      </c>
      <c r="R42" s="448" t="s">
        <v>519</v>
      </c>
      <c r="S42" s="459">
        <v>100</v>
      </c>
      <c r="T42" s="450" t="s">
        <v>0</v>
      </c>
      <c r="U42" s="442" t="s">
        <v>0</v>
      </c>
      <c r="V42" s="450" t="s">
        <v>0</v>
      </c>
      <c r="W42" s="451">
        <v>63.3</v>
      </c>
      <c r="X42" s="452">
        <v>59.2</v>
      </c>
      <c r="Y42" s="442">
        <v>1480.8510080000001</v>
      </c>
      <c r="Z42" s="448">
        <v>2</v>
      </c>
      <c r="AA42" s="410" t="s">
        <v>619</v>
      </c>
      <c r="AB42" t="s">
        <v>159</v>
      </c>
      <c r="AC42" t="s">
        <v>824</v>
      </c>
      <c r="AD42">
        <v>0.7</v>
      </c>
      <c r="AE42">
        <v>4.3</v>
      </c>
      <c r="AF42" s="767">
        <v>0.63346845557958653</v>
      </c>
      <c r="AG42">
        <v>1</v>
      </c>
      <c r="AH42">
        <v>214</v>
      </c>
      <c r="AI42">
        <v>2.330413773349191</v>
      </c>
      <c r="AW42" s="13" t="s">
        <v>438</v>
      </c>
      <c r="AX42" s="746" t="s">
        <v>438</v>
      </c>
      <c r="AY42" t="s">
        <v>822</v>
      </c>
      <c r="AZ42">
        <v>0</v>
      </c>
      <c r="BA42">
        <v>0</v>
      </c>
      <c r="BB42" s="749">
        <v>0</v>
      </c>
      <c r="BC42">
        <v>1</v>
      </c>
      <c r="BD42">
        <v>0</v>
      </c>
      <c r="BE42" s="749">
        <v>0</v>
      </c>
    </row>
    <row r="43" spans="1:57" x14ac:dyDescent="0.3">
      <c r="A43" s="437">
        <v>45266</v>
      </c>
      <c r="B43" s="438" t="s">
        <v>704</v>
      </c>
      <c r="C43" s="493" t="s">
        <v>544</v>
      </c>
      <c r="D43" s="469" t="s">
        <v>0</v>
      </c>
      <c r="E43" s="469" t="s">
        <v>0</v>
      </c>
      <c r="F43" s="469" t="s">
        <v>0</v>
      </c>
      <c r="G43" s="441" t="s">
        <v>566</v>
      </c>
      <c r="H43" s="464" t="s">
        <v>162</v>
      </c>
      <c r="I43" s="441" t="s">
        <v>521</v>
      </c>
      <c r="J43" s="465" t="s">
        <v>0</v>
      </c>
      <c r="K43" s="441" t="s">
        <v>531</v>
      </c>
      <c r="L43" s="441" t="s">
        <v>521</v>
      </c>
      <c r="M43" s="441" t="s">
        <v>532</v>
      </c>
      <c r="N43" s="441" t="s">
        <v>531</v>
      </c>
      <c r="O43" s="441" t="s">
        <v>514</v>
      </c>
      <c r="P43" s="441" t="s">
        <v>573</v>
      </c>
      <c r="Q43" s="442" t="s">
        <v>0</v>
      </c>
      <c r="R43" s="448" t="s">
        <v>0</v>
      </c>
      <c r="S43" s="459">
        <v>100</v>
      </c>
      <c r="T43" s="450" t="s">
        <v>0</v>
      </c>
      <c r="U43" s="442" t="s">
        <v>0</v>
      </c>
      <c r="V43" s="450" t="s">
        <v>0</v>
      </c>
      <c r="W43" s="451">
        <v>14.9</v>
      </c>
      <c r="X43" s="452">
        <v>13.9</v>
      </c>
      <c r="Y43" s="442">
        <v>348.47369559999999</v>
      </c>
      <c r="Z43" s="448">
        <v>2</v>
      </c>
      <c r="AA43" s="410" t="s">
        <v>620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W43" s="738" t="s">
        <v>178</v>
      </c>
      <c r="AX43" s="747" t="s">
        <v>178</v>
      </c>
      <c r="AY43" t="s">
        <v>822</v>
      </c>
      <c r="AZ43">
        <v>2.9</v>
      </c>
      <c r="BA43">
        <v>17.100000000000001</v>
      </c>
      <c r="BB43" s="749">
        <v>1.2329961103921538</v>
      </c>
      <c r="BC43">
        <v>1</v>
      </c>
      <c r="BD43">
        <v>856</v>
      </c>
      <c r="BE43" s="749">
        <v>2.932473764677153</v>
      </c>
    </row>
    <row r="44" spans="1:57" ht="16.2" thickBot="1" x14ac:dyDescent="0.35">
      <c r="A44" s="494">
        <v>45266</v>
      </c>
      <c r="B44" s="424" t="s">
        <v>705</v>
      </c>
      <c r="C44" s="495" t="s">
        <v>544</v>
      </c>
      <c r="D44" s="496" t="s">
        <v>0</v>
      </c>
      <c r="E44" s="496" t="s">
        <v>0</v>
      </c>
      <c r="F44" s="496" t="s">
        <v>0</v>
      </c>
      <c r="G44" s="497" t="s">
        <v>566</v>
      </c>
      <c r="H44" s="498" t="s">
        <v>163</v>
      </c>
      <c r="I44" s="497" t="s">
        <v>521</v>
      </c>
      <c r="J44" s="499" t="s">
        <v>0</v>
      </c>
      <c r="K44" s="497" t="s">
        <v>531</v>
      </c>
      <c r="L44" s="497" t="s">
        <v>521</v>
      </c>
      <c r="M44" s="497" t="s">
        <v>532</v>
      </c>
      <c r="N44" s="497" t="s">
        <v>531</v>
      </c>
      <c r="O44" s="497" t="s">
        <v>514</v>
      </c>
      <c r="P44" s="497" t="s">
        <v>574</v>
      </c>
      <c r="Q44" s="492" t="s">
        <v>0</v>
      </c>
      <c r="R44" s="431" t="s">
        <v>0</v>
      </c>
      <c r="S44" s="500">
        <v>100</v>
      </c>
      <c r="T44" s="433" t="s">
        <v>0</v>
      </c>
      <c r="U44" s="492" t="s">
        <v>0</v>
      </c>
      <c r="V44" s="433" t="s">
        <v>0</v>
      </c>
      <c r="W44" s="434">
        <v>12.3</v>
      </c>
      <c r="X44" s="435">
        <v>11.5</v>
      </c>
      <c r="Y44" s="428">
        <v>287.56375550000001</v>
      </c>
      <c r="Z44" s="431">
        <v>2</v>
      </c>
      <c r="AA44" s="436" t="s">
        <v>620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W44" s="14" t="s">
        <v>390</v>
      </c>
      <c r="AX44" s="745" t="s">
        <v>390</v>
      </c>
      <c r="AY44" t="s">
        <v>823</v>
      </c>
      <c r="AZ44">
        <v>0.7</v>
      </c>
      <c r="BA44">
        <v>4.3</v>
      </c>
      <c r="BB44" s="749">
        <v>0.63346845557958653</v>
      </c>
      <c r="BC44">
        <v>1</v>
      </c>
      <c r="BD44">
        <v>214</v>
      </c>
      <c r="BE44" s="749">
        <v>2.330413773349191</v>
      </c>
    </row>
    <row r="45" spans="1:57" x14ac:dyDescent="0.3">
      <c r="A45" s="437">
        <v>45271</v>
      </c>
      <c r="B45" s="438" t="s">
        <v>706</v>
      </c>
      <c r="C45" s="501" t="s">
        <v>544</v>
      </c>
      <c r="D45" s="440" t="s">
        <v>552</v>
      </c>
      <c r="E45" s="441" t="s">
        <v>588</v>
      </c>
      <c r="F45" s="441" t="s">
        <v>584</v>
      </c>
      <c r="G45" s="441" t="s">
        <v>567</v>
      </c>
      <c r="H45" s="464" t="s">
        <v>178</v>
      </c>
      <c r="I45" s="441" t="s">
        <v>528</v>
      </c>
      <c r="J45" s="457" t="s">
        <v>550</v>
      </c>
      <c r="K45" s="441" t="s">
        <v>531</v>
      </c>
      <c r="L45" s="441" t="s">
        <v>534</v>
      </c>
      <c r="M45" s="441" t="s">
        <v>531</v>
      </c>
      <c r="N45" s="441" t="s">
        <v>531</v>
      </c>
      <c r="O45" s="441" t="s">
        <v>571</v>
      </c>
      <c r="P45" s="441" t="s">
        <v>573</v>
      </c>
      <c r="Q45" s="442" t="s">
        <v>0</v>
      </c>
      <c r="R45" s="448" t="s">
        <v>519</v>
      </c>
      <c r="S45" s="459">
        <v>100</v>
      </c>
      <c r="T45" s="450" t="s">
        <v>0</v>
      </c>
      <c r="U45" s="442" t="s">
        <v>0</v>
      </c>
      <c r="V45" s="450" t="s">
        <v>0</v>
      </c>
      <c r="W45" s="451">
        <v>198</v>
      </c>
      <c r="X45" s="452">
        <v>186</v>
      </c>
      <c r="Y45" s="442">
        <v>4642.7125990000004</v>
      </c>
      <c r="Z45" s="448">
        <v>2</v>
      </c>
      <c r="AA45" s="410" t="s">
        <v>617</v>
      </c>
      <c r="AB45" t="s">
        <v>178</v>
      </c>
      <c r="AC45" t="s">
        <v>822</v>
      </c>
      <c r="AD45">
        <v>2.9</v>
      </c>
      <c r="AE45">
        <v>17.100000000000001</v>
      </c>
      <c r="AF45" s="767">
        <v>1.2329961103921538</v>
      </c>
      <c r="AG45">
        <v>1</v>
      </c>
      <c r="AH45">
        <v>856</v>
      </c>
      <c r="AI45">
        <v>2.932473764677153</v>
      </c>
      <c r="AW45" s="13" t="s">
        <v>439</v>
      </c>
      <c r="AX45" s="746" t="s">
        <v>439</v>
      </c>
      <c r="AY45" t="s">
        <v>823</v>
      </c>
      <c r="AZ45">
        <v>0.4</v>
      </c>
      <c r="BA45">
        <v>2.1</v>
      </c>
      <c r="BB45" s="749">
        <v>0.3222192947339193</v>
      </c>
      <c r="BC45">
        <v>1</v>
      </c>
      <c r="BD45">
        <v>107</v>
      </c>
      <c r="BE45" s="749">
        <v>2.0293837776852097</v>
      </c>
    </row>
    <row r="46" spans="1:57" x14ac:dyDescent="0.3">
      <c r="A46" s="437">
        <v>45271</v>
      </c>
      <c r="B46" s="438" t="s">
        <v>707</v>
      </c>
      <c r="C46" s="501" t="s">
        <v>544</v>
      </c>
      <c r="D46" s="440" t="s">
        <v>552</v>
      </c>
      <c r="E46" s="441" t="s">
        <v>588</v>
      </c>
      <c r="F46" s="441" t="s">
        <v>584</v>
      </c>
      <c r="G46" s="441" t="s">
        <v>567</v>
      </c>
      <c r="H46" s="464" t="s">
        <v>179</v>
      </c>
      <c r="I46" s="441" t="s">
        <v>528</v>
      </c>
      <c r="J46" s="463" t="s">
        <v>551</v>
      </c>
      <c r="K46" s="441" t="s">
        <v>531</v>
      </c>
      <c r="L46" s="441" t="s">
        <v>534</v>
      </c>
      <c r="M46" s="441" t="s">
        <v>531</v>
      </c>
      <c r="N46" s="441" t="s">
        <v>531</v>
      </c>
      <c r="O46" s="441" t="s">
        <v>571</v>
      </c>
      <c r="P46" s="441" t="s">
        <v>573</v>
      </c>
      <c r="Q46" s="442" t="s">
        <v>0</v>
      </c>
      <c r="R46" s="448" t="s">
        <v>519</v>
      </c>
      <c r="S46" s="459">
        <v>100</v>
      </c>
      <c r="T46" s="450" t="s">
        <v>0</v>
      </c>
      <c r="U46" s="442" t="s">
        <v>0</v>
      </c>
      <c r="V46" s="450" t="s">
        <v>0</v>
      </c>
      <c r="W46" s="451">
        <v>6.2</v>
      </c>
      <c r="X46" s="452">
        <v>5.81</v>
      </c>
      <c r="Y46" s="442">
        <v>145.1647696</v>
      </c>
      <c r="Z46" s="448">
        <v>2</v>
      </c>
      <c r="AA46" s="410" t="s">
        <v>618</v>
      </c>
      <c r="AB46" t="s">
        <v>179</v>
      </c>
      <c r="AC46" t="s">
        <v>823</v>
      </c>
      <c r="AD46">
        <v>0.7</v>
      </c>
      <c r="AE46">
        <v>4.3</v>
      </c>
      <c r="AF46" s="767">
        <v>0.63346845557958653</v>
      </c>
      <c r="AG46">
        <v>1</v>
      </c>
      <c r="AH46">
        <v>215</v>
      </c>
      <c r="AI46">
        <v>2.3324384599156054</v>
      </c>
      <c r="AW46" s="13" t="s">
        <v>485</v>
      </c>
      <c r="AX46" s="746" t="s">
        <v>485</v>
      </c>
      <c r="AY46" t="s">
        <v>823</v>
      </c>
      <c r="AZ46">
        <v>0.4</v>
      </c>
      <c r="BA46">
        <v>2.1</v>
      </c>
      <c r="BB46" s="749">
        <v>0.3222192947339193</v>
      </c>
      <c r="BC46">
        <v>1</v>
      </c>
      <c r="BD46">
        <v>107</v>
      </c>
      <c r="BE46" s="749">
        <v>2.0293837776852097</v>
      </c>
    </row>
    <row r="47" spans="1:57" x14ac:dyDescent="0.3">
      <c r="A47" s="437">
        <v>45271</v>
      </c>
      <c r="B47" s="438" t="s">
        <v>708</v>
      </c>
      <c r="C47" s="501" t="s">
        <v>544</v>
      </c>
      <c r="D47" s="440" t="s">
        <v>552</v>
      </c>
      <c r="E47" s="441" t="s">
        <v>588</v>
      </c>
      <c r="F47" s="441" t="s">
        <v>584</v>
      </c>
      <c r="G47" s="441" t="s">
        <v>567</v>
      </c>
      <c r="H47" s="464" t="s">
        <v>180</v>
      </c>
      <c r="I47" s="441" t="s">
        <v>520</v>
      </c>
      <c r="J47" s="465" t="s">
        <v>0</v>
      </c>
      <c r="K47" s="441" t="s">
        <v>531</v>
      </c>
      <c r="L47" s="441" t="s">
        <v>530</v>
      </c>
      <c r="M47" s="441" t="s">
        <v>531</v>
      </c>
      <c r="N47" s="441" t="s">
        <v>532</v>
      </c>
      <c r="O47" s="441" t="s">
        <v>571</v>
      </c>
      <c r="P47" s="441" t="s">
        <v>573</v>
      </c>
      <c r="Q47" s="442" t="s">
        <v>0</v>
      </c>
      <c r="R47" s="448" t="s">
        <v>519</v>
      </c>
      <c r="S47" s="459">
        <v>100</v>
      </c>
      <c r="T47" s="450" t="s">
        <v>0</v>
      </c>
      <c r="U47" s="442" t="s">
        <v>0</v>
      </c>
      <c r="V47" s="450" t="s">
        <v>0</v>
      </c>
      <c r="W47" s="451">
        <v>211</v>
      </c>
      <c r="X47" s="452">
        <v>197</v>
      </c>
      <c r="Y47" s="442">
        <v>4930.8793409999998</v>
      </c>
      <c r="Z47" s="448">
        <v>2</v>
      </c>
      <c r="AA47" s="410" t="s">
        <v>619</v>
      </c>
      <c r="AB47" t="s">
        <v>180</v>
      </c>
      <c r="AC47" t="s">
        <v>824</v>
      </c>
      <c r="AD47">
        <v>1.1000000000000001</v>
      </c>
      <c r="AE47">
        <v>6.4</v>
      </c>
      <c r="AF47" s="767">
        <v>0.80617997398388719</v>
      </c>
      <c r="AG47">
        <v>1</v>
      </c>
      <c r="AH47">
        <v>320</v>
      </c>
      <c r="AI47">
        <v>2.5051499783199058</v>
      </c>
      <c r="AW47" s="14" t="s">
        <v>179</v>
      </c>
      <c r="AX47" s="745" t="s">
        <v>179</v>
      </c>
      <c r="AY47" t="s">
        <v>823</v>
      </c>
      <c r="AZ47">
        <v>0.7</v>
      </c>
      <c r="BA47">
        <v>4.3</v>
      </c>
      <c r="BB47" s="749">
        <v>0.63346845557958653</v>
      </c>
      <c r="BC47">
        <v>1</v>
      </c>
      <c r="BD47">
        <v>215</v>
      </c>
      <c r="BE47" s="749">
        <v>2.3324384599156054</v>
      </c>
    </row>
    <row r="48" spans="1:57" x14ac:dyDescent="0.3">
      <c r="A48" s="437">
        <v>45271</v>
      </c>
      <c r="B48" s="438" t="s">
        <v>709</v>
      </c>
      <c r="C48" s="501" t="s">
        <v>544</v>
      </c>
      <c r="D48" s="440" t="s">
        <v>552</v>
      </c>
      <c r="E48" s="441" t="s">
        <v>588</v>
      </c>
      <c r="F48" s="441" t="s">
        <v>584</v>
      </c>
      <c r="G48" s="441" t="s">
        <v>567</v>
      </c>
      <c r="H48" s="464" t="s">
        <v>181</v>
      </c>
      <c r="I48" s="441" t="s">
        <v>520</v>
      </c>
      <c r="J48" s="465" t="s">
        <v>0</v>
      </c>
      <c r="K48" s="441" t="s">
        <v>531</v>
      </c>
      <c r="L48" s="441" t="s">
        <v>530</v>
      </c>
      <c r="M48" s="441" t="s">
        <v>531</v>
      </c>
      <c r="N48" s="441" t="s">
        <v>532</v>
      </c>
      <c r="O48" s="441" t="s">
        <v>571</v>
      </c>
      <c r="P48" s="441" t="s">
        <v>574</v>
      </c>
      <c r="Q48" s="442" t="s">
        <v>0</v>
      </c>
      <c r="R48" s="448" t="s">
        <v>519</v>
      </c>
      <c r="S48" s="459">
        <v>100</v>
      </c>
      <c r="T48" s="450" t="s">
        <v>0</v>
      </c>
      <c r="U48" s="442" t="s">
        <v>0</v>
      </c>
      <c r="V48" s="450" t="s">
        <v>0</v>
      </c>
      <c r="W48" s="451">
        <v>17.899999999999999</v>
      </c>
      <c r="X48" s="452">
        <v>16.8</v>
      </c>
      <c r="Y48" s="442">
        <v>419.2695817</v>
      </c>
      <c r="Z48" s="448">
        <v>2</v>
      </c>
      <c r="AA48" s="410" t="s">
        <v>619</v>
      </c>
      <c r="AB48" t="s">
        <v>181</v>
      </c>
      <c r="AC48" t="s">
        <v>824</v>
      </c>
      <c r="AD48">
        <v>0</v>
      </c>
      <c r="AE48">
        <v>0</v>
      </c>
      <c r="AF48" s="755">
        <v>0</v>
      </c>
      <c r="AG48">
        <v>1</v>
      </c>
      <c r="AH48">
        <v>0</v>
      </c>
      <c r="AI48">
        <v>0</v>
      </c>
      <c r="AW48" s="14" t="s">
        <v>303</v>
      </c>
      <c r="AX48" s="745" t="s">
        <v>303</v>
      </c>
      <c r="AY48" t="s">
        <v>824</v>
      </c>
      <c r="AZ48">
        <v>4.2</v>
      </c>
      <c r="BA48">
        <v>24.91</v>
      </c>
      <c r="BB48" s="749">
        <v>1.3963737275365065</v>
      </c>
      <c r="BC48">
        <v>1</v>
      </c>
      <c r="BD48">
        <v>1250</v>
      </c>
      <c r="BE48" s="749">
        <v>3.0969100130080562</v>
      </c>
    </row>
    <row r="49" spans="1:57" x14ac:dyDescent="0.3">
      <c r="A49" s="437">
        <v>45271</v>
      </c>
      <c r="B49" s="438" t="s">
        <v>710</v>
      </c>
      <c r="C49" s="501" t="s">
        <v>544</v>
      </c>
      <c r="D49" s="469" t="s">
        <v>0</v>
      </c>
      <c r="E49" s="469" t="s">
        <v>0</v>
      </c>
      <c r="F49" s="469" t="s">
        <v>0</v>
      </c>
      <c r="G49" s="441" t="s">
        <v>567</v>
      </c>
      <c r="H49" s="464" t="s">
        <v>184</v>
      </c>
      <c r="I49" s="441" t="s">
        <v>521</v>
      </c>
      <c r="J49" s="465" t="s">
        <v>0</v>
      </c>
      <c r="K49" s="441" t="s">
        <v>531</v>
      </c>
      <c r="L49" s="441" t="s">
        <v>521</v>
      </c>
      <c r="M49" s="441" t="s">
        <v>532</v>
      </c>
      <c r="N49" s="441" t="s">
        <v>532</v>
      </c>
      <c r="O49" s="441" t="s">
        <v>571</v>
      </c>
      <c r="P49" s="441" t="s">
        <v>573</v>
      </c>
      <c r="Q49" s="442" t="s">
        <v>0</v>
      </c>
      <c r="R49" s="448" t="s">
        <v>519</v>
      </c>
      <c r="S49" s="459">
        <v>100</v>
      </c>
      <c r="T49" s="450" t="s">
        <v>0</v>
      </c>
      <c r="U49" s="442" t="s">
        <v>0</v>
      </c>
      <c r="V49" s="450" t="s">
        <v>0</v>
      </c>
      <c r="W49" s="451">
        <v>8.5399999999999991</v>
      </c>
      <c r="X49" s="477" t="s">
        <v>0</v>
      </c>
      <c r="Y49" s="478" t="s">
        <v>0</v>
      </c>
      <c r="Z49" s="462">
        <v>2</v>
      </c>
      <c r="AA49" s="410" t="s">
        <v>620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W49" s="738" t="s">
        <v>304</v>
      </c>
      <c r="AX49" s="747" t="s">
        <v>304</v>
      </c>
      <c r="AY49" t="s">
        <v>824</v>
      </c>
      <c r="AZ49">
        <v>0.9</v>
      </c>
      <c r="BA49">
        <v>5.08</v>
      </c>
      <c r="BB49" s="749">
        <v>0.70586371228391931</v>
      </c>
      <c r="BC49">
        <v>1</v>
      </c>
      <c r="BD49">
        <v>254</v>
      </c>
      <c r="BE49" s="749">
        <v>2.4048337166199381</v>
      </c>
    </row>
    <row r="50" spans="1:57" x14ac:dyDescent="0.3">
      <c r="A50" s="437">
        <v>45271</v>
      </c>
      <c r="B50" s="438" t="s">
        <v>711</v>
      </c>
      <c r="C50" s="501" t="s">
        <v>544</v>
      </c>
      <c r="D50" s="469" t="s">
        <v>0</v>
      </c>
      <c r="E50" s="469" t="s">
        <v>0</v>
      </c>
      <c r="F50" s="469" t="s">
        <v>0</v>
      </c>
      <c r="G50" s="441" t="s">
        <v>567</v>
      </c>
      <c r="H50" s="464" t="s">
        <v>185</v>
      </c>
      <c r="I50" s="441" t="s">
        <v>521</v>
      </c>
      <c r="J50" s="465" t="s">
        <v>0</v>
      </c>
      <c r="K50" s="441" t="s">
        <v>531</v>
      </c>
      <c r="L50" s="441" t="s">
        <v>521</v>
      </c>
      <c r="M50" s="441" t="s">
        <v>532</v>
      </c>
      <c r="N50" s="441" t="s">
        <v>532</v>
      </c>
      <c r="O50" s="441" t="s">
        <v>571</v>
      </c>
      <c r="P50" s="441" t="s">
        <v>574</v>
      </c>
      <c r="Q50" s="442" t="s">
        <v>0</v>
      </c>
      <c r="R50" s="448" t="s">
        <v>0</v>
      </c>
      <c r="S50" s="491">
        <v>100</v>
      </c>
      <c r="T50" s="450" t="s">
        <v>0</v>
      </c>
      <c r="U50" s="442" t="s">
        <v>0</v>
      </c>
      <c r="V50" s="450" t="s">
        <v>0</v>
      </c>
      <c r="W50" s="451" t="s">
        <v>0</v>
      </c>
      <c r="X50" s="460" t="s">
        <v>0</v>
      </c>
      <c r="Y50" s="478" t="s">
        <v>0</v>
      </c>
      <c r="Z50" s="462">
        <v>2</v>
      </c>
      <c r="AA50" s="410" t="s">
        <v>620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W50" s="14" t="s">
        <v>305</v>
      </c>
      <c r="AX50" s="745" t="s">
        <v>305</v>
      </c>
      <c r="AY50" t="s">
        <v>824</v>
      </c>
      <c r="AZ50">
        <v>0.1</v>
      </c>
      <c r="BA50">
        <v>0.82</v>
      </c>
      <c r="BB50" s="749">
        <v>-8.6186147616283335E-2</v>
      </c>
      <c r="BC50">
        <v>1</v>
      </c>
      <c r="BD50">
        <v>41</v>
      </c>
      <c r="BE50" s="749">
        <v>1.6127838567197355</v>
      </c>
    </row>
    <row r="51" spans="1:57" ht="16.2" thickBot="1" x14ac:dyDescent="0.35">
      <c r="A51" s="494">
        <v>45271</v>
      </c>
      <c r="B51" s="502" t="s">
        <v>712</v>
      </c>
      <c r="C51" s="503" t="s">
        <v>544</v>
      </c>
      <c r="D51" s="504" t="s">
        <v>0</v>
      </c>
      <c r="E51" s="496" t="s">
        <v>0</v>
      </c>
      <c r="F51" s="496" t="s">
        <v>0</v>
      </c>
      <c r="G51" s="497" t="s">
        <v>567</v>
      </c>
      <c r="H51" s="498" t="s">
        <v>186</v>
      </c>
      <c r="I51" s="497" t="s">
        <v>521</v>
      </c>
      <c r="J51" s="499" t="s">
        <v>0</v>
      </c>
      <c r="K51" s="497" t="s">
        <v>531</v>
      </c>
      <c r="L51" s="492" t="s">
        <v>521</v>
      </c>
      <c r="M51" s="505" t="s">
        <v>532</v>
      </c>
      <c r="N51" s="506" t="s">
        <v>532</v>
      </c>
      <c r="O51" s="497" t="s">
        <v>571</v>
      </c>
      <c r="P51" s="497" t="s">
        <v>503</v>
      </c>
      <c r="Q51" s="442" t="s">
        <v>0</v>
      </c>
      <c r="R51" s="431" t="s">
        <v>0</v>
      </c>
      <c r="S51" s="507">
        <v>100</v>
      </c>
      <c r="T51" s="433" t="s">
        <v>0</v>
      </c>
      <c r="U51" s="466" t="s">
        <v>0</v>
      </c>
      <c r="V51" s="433" t="s">
        <v>0</v>
      </c>
      <c r="W51" s="434">
        <v>5.79</v>
      </c>
      <c r="X51" s="508" t="s">
        <v>0</v>
      </c>
      <c r="Y51" s="509" t="s">
        <v>0</v>
      </c>
      <c r="Z51" s="510">
        <v>2</v>
      </c>
      <c r="AA51" s="436" t="s">
        <v>620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W51" s="14" t="s">
        <v>306</v>
      </c>
      <c r="AX51" s="745" t="s">
        <v>306</v>
      </c>
      <c r="AY51" t="s">
        <v>824</v>
      </c>
      <c r="AZ51">
        <v>1.4</v>
      </c>
      <c r="BA51">
        <v>8.5500000000000007</v>
      </c>
      <c r="BB51" s="749">
        <v>0.9319661147281727</v>
      </c>
      <c r="BC51">
        <v>1</v>
      </c>
      <c r="BD51">
        <v>428</v>
      </c>
      <c r="BE51" s="749">
        <v>2.6314437690131722</v>
      </c>
    </row>
    <row r="52" spans="1:57" x14ac:dyDescent="0.3">
      <c r="A52" s="437">
        <v>45279</v>
      </c>
      <c r="B52" s="438" t="s">
        <v>713</v>
      </c>
      <c r="C52" s="468" t="s">
        <v>549</v>
      </c>
      <c r="D52" s="469" t="s">
        <v>0</v>
      </c>
      <c r="E52" s="469" t="s">
        <v>0</v>
      </c>
      <c r="F52" s="469" t="s">
        <v>0</v>
      </c>
      <c r="G52" s="441" t="s">
        <v>568</v>
      </c>
      <c r="H52" s="464" t="s">
        <v>229</v>
      </c>
      <c r="I52" s="441" t="s">
        <v>521</v>
      </c>
      <c r="J52" s="465" t="s">
        <v>0</v>
      </c>
      <c r="K52" s="441" t="s">
        <v>531</v>
      </c>
      <c r="L52" s="441" t="s">
        <v>521</v>
      </c>
      <c r="M52" s="441" t="s">
        <v>532</v>
      </c>
      <c r="N52" s="441" t="s">
        <v>532</v>
      </c>
      <c r="O52" s="441" t="s">
        <v>570</v>
      </c>
      <c r="P52" s="441" t="s">
        <v>573</v>
      </c>
      <c r="Q52" s="442" t="s">
        <v>0</v>
      </c>
      <c r="R52" s="448" t="s">
        <v>0</v>
      </c>
      <c r="S52" s="511">
        <v>100</v>
      </c>
      <c r="T52" s="511" t="s">
        <v>0</v>
      </c>
      <c r="U52" s="442" t="s">
        <v>0</v>
      </c>
      <c r="V52" s="452" t="s">
        <v>0</v>
      </c>
      <c r="W52" s="451" t="s">
        <v>0</v>
      </c>
      <c r="X52" s="512" t="s">
        <v>0</v>
      </c>
      <c r="Y52" s="478" t="s">
        <v>0</v>
      </c>
      <c r="Z52" s="462">
        <v>2</v>
      </c>
      <c r="AA52" s="410" t="s">
        <v>620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W52" s="14" t="s">
        <v>307</v>
      </c>
      <c r="AX52" s="745" t="s">
        <v>307</v>
      </c>
      <c r="AY52" t="s">
        <v>824</v>
      </c>
      <c r="AZ52">
        <v>0.5</v>
      </c>
      <c r="BA52">
        <v>3.13</v>
      </c>
      <c r="BB52" s="749">
        <v>0.49554433754644844</v>
      </c>
      <c r="BC52">
        <v>1</v>
      </c>
      <c r="BD52">
        <v>157</v>
      </c>
      <c r="BE52" s="749">
        <v>2.1958996524092336</v>
      </c>
    </row>
    <row r="53" spans="1:57" ht="16.2" thickBot="1" x14ac:dyDescent="0.35">
      <c r="A53" s="494">
        <v>45279</v>
      </c>
      <c r="B53" s="424" t="s">
        <v>714</v>
      </c>
      <c r="C53" s="513" t="s">
        <v>549</v>
      </c>
      <c r="D53" s="496" t="s">
        <v>0</v>
      </c>
      <c r="E53" s="496" t="s">
        <v>0</v>
      </c>
      <c r="F53" s="496" t="s">
        <v>0</v>
      </c>
      <c r="G53" s="497" t="s">
        <v>568</v>
      </c>
      <c r="H53" s="498" t="s">
        <v>230</v>
      </c>
      <c r="I53" s="497" t="s">
        <v>521</v>
      </c>
      <c r="J53" s="499" t="s">
        <v>0</v>
      </c>
      <c r="K53" s="497" t="s">
        <v>531</v>
      </c>
      <c r="L53" s="497" t="s">
        <v>521</v>
      </c>
      <c r="M53" s="497" t="s">
        <v>532</v>
      </c>
      <c r="N53" s="497" t="s">
        <v>532</v>
      </c>
      <c r="O53" s="497" t="s">
        <v>570</v>
      </c>
      <c r="P53" s="497" t="s">
        <v>574</v>
      </c>
      <c r="Q53" s="428" t="s">
        <v>0</v>
      </c>
      <c r="R53" s="431" t="s">
        <v>0</v>
      </c>
      <c r="S53" s="511">
        <v>100</v>
      </c>
      <c r="T53" s="514" t="s">
        <v>0</v>
      </c>
      <c r="U53" s="442" t="s">
        <v>0</v>
      </c>
      <c r="V53" s="435" t="s">
        <v>0</v>
      </c>
      <c r="W53" s="434" t="s">
        <v>0</v>
      </c>
      <c r="X53" s="515" t="s">
        <v>0</v>
      </c>
      <c r="Y53" s="509" t="s">
        <v>0</v>
      </c>
      <c r="Z53" s="510">
        <v>2</v>
      </c>
      <c r="AA53" s="436" t="s">
        <v>620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W53" s="14" t="s">
        <v>308</v>
      </c>
      <c r="AX53" s="745" t="s">
        <v>308</v>
      </c>
      <c r="AY53" t="s">
        <v>824</v>
      </c>
      <c r="AZ53">
        <v>0.4</v>
      </c>
      <c r="BA53">
        <v>2.44</v>
      </c>
      <c r="BB53" s="749">
        <v>0.38738982633872943</v>
      </c>
      <c r="BC53">
        <v>1</v>
      </c>
      <c r="BD53">
        <v>122</v>
      </c>
      <c r="BE53" s="749">
        <v>2.0863598306747484</v>
      </c>
    </row>
    <row r="54" spans="1:57" x14ac:dyDescent="0.3">
      <c r="A54" s="516">
        <v>45300</v>
      </c>
      <c r="B54" s="438" t="s">
        <v>715</v>
      </c>
      <c r="C54" s="517" t="s">
        <v>546</v>
      </c>
      <c r="D54" s="518" t="s">
        <v>552</v>
      </c>
      <c r="E54" s="519" t="s">
        <v>588</v>
      </c>
      <c r="F54" s="519" t="s">
        <v>584</v>
      </c>
      <c r="G54" s="520" t="s">
        <v>556</v>
      </c>
      <c r="H54" s="521" t="s">
        <v>303</v>
      </c>
      <c r="I54" s="522" t="s">
        <v>520</v>
      </c>
      <c r="J54" s="523" t="s">
        <v>0</v>
      </c>
      <c r="K54" s="520" t="s">
        <v>531</v>
      </c>
      <c r="L54" s="519" t="s">
        <v>530</v>
      </c>
      <c r="M54" s="520" t="s">
        <v>531</v>
      </c>
      <c r="N54" s="520" t="s">
        <v>532</v>
      </c>
      <c r="O54" s="520" t="s">
        <v>570</v>
      </c>
      <c r="P54" s="524" t="s">
        <v>573</v>
      </c>
      <c r="Q54" s="446" t="s">
        <v>0</v>
      </c>
      <c r="R54" s="448" t="s">
        <v>519</v>
      </c>
      <c r="S54" s="525">
        <v>100</v>
      </c>
      <c r="T54" s="526" t="s">
        <v>0</v>
      </c>
      <c r="U54" s="448" t="s">
        <v>0</v>
      </c>
      <c r="V54" s="527" t="s">
        <v>0</v>
      </c>
      <c r="W54" s="451">
        <v>39.6</v>
      </c>
      <c r="X54" s="452">
        <v>37.1</v>
      </c>
      <c r="Y54" s="442">
        <v>926.29667440000003</v>
      </c>
      <c r="Z54" s="448">
        <v>2</v>
      </c>
      <c r="AA54" s="410" t="s">
        <v>619</v>
      </c>
      <c r="AB54" t="s">
        <v>303</v>
      </c>
      <c r="AC54" t="s">
        <v>824</v>
      </c>
      <c r="AD54">
        <v>4.2</v>
      </c>
      <c r="AE54">
        <v>24.91</v>
      </c>
      <c r="AF54" s="767">
        <v>1.3963737275365065</v>
      </c>
      <c r="AG54">
        <v>1</v>
      </c>
      <c r="AH54">
        <v>1250</v>
      </c>
      <c r="AI54">
        <v>3.0969100130080562</v>
      </c>
      <c r="AW54" s="14" t="s">
        <v>309</v>
      </c>
      <c r="AX54" s="745" t="s">
        <v>309</v>
      </c>
      <c r="AY54" t="s">
        <v>824</v>
      </c>
      <c r="AZ54">
        <v>0.4</v>
      </c>
      <c r="BA54">
        <v>2.44</v>
      </c>
      <c r="BB54" s="749">
        <v>0.38738982633872943</v>
      </c>
      <c r="BC54">
        <v>1</v>
      </c>
      <c r="BD54">
        <v>122</v>
      </c>
      <c r="BE54" s="749">
        <v>2.0863598306747484</v>
      </c>
    </row>
    <row r="55" spans="1:57" ht="16.2" thickBot="1" x14ac:dyDescent="0.35">
      <c r="A55" s="528">
        <v>45300</v>
      </c>
      <c r="B55" s="529" t="s">
        <v>716</v>
      </c>
      <c r="C55" s="530" t="s">
        <v>546</v>
      </c>
      <c r="D55" s="440" t="s">
        <v>552</v>
      </c>
      <c r="E55" s="441" t="s">
        <v>588</v>
      </c>
      <c r="F55" s="441" t="s">
        <v>584</v>
      </c>
      <c r="G55" s="474" t="s">
        <v>556</v>
      </c>
      <c r="H55" s="531" t="s">
        <v>304</v>
      </c>
      <c r="I55" s="474" t="s">
        <v>520</v>
      </c>
      <c r="J55" s="532" t="s">
        <v>0</v>
      </c>
      <c r="K55" s="474" t="s">
        <v>531</v>
      </c>
      <c r="L55" s="441" t="s">
        <v>530</v>
      </c>
      <c r="M55" s="474" t="s">
        <v>531</v>
      </c>
      <c r="N55" s="474" t="s">
        <v>532</v>
      </c>
      <c r="O55" s="474" t="s">
        <v>570</v>
      </c>
      <c r="P55" s="474" t="s">
        <v>574</v>
      </c>
      <c r="Q55" s="442" t="s">
        <v>0</v>
      </c>
      <c r="R55" s="448" t="s">
        <v>519</v>
      </c>
      <c r="S55" s="511">
        <v>100</v>
      </c>
      <c r="T55" s="511" t="s">
        <v>0</v>
      </c>
      <c r="U55" s="442" t="s">
        <v>0</v>
      </c>
      <c r="V55" s="450" t="s">
        <v>0</v>
      </c>
      <c r="W55" s="451">
        <v>70.400000000000006</v>
      </c>
      <c r="X55" s="452">
        <v>65.8</v>
      </c>
      <c r="Y55" s="442">
        <v>1646.2336459999999</v>
      </c>
      <c r="Z55" s="448">
        <v>2</v>
      </c>
      <c r="AA55" s="410" t="s">
        <v>619</v>
      </c>
      <c r="AB55" t="s">
        <v>304</v>
      </c>
      <c r="AC55" t="s">
        <v>824</v>
      </c>
      <c r="AD55">
        <v>0.9</v>
      </c>
      <c r="AE55">
        <v>5.08</v>
      </c>
      <c r="AF55" s="767">
        <v>0.70586371228391931</v>
      </c>
      <c r="AG55">
        <v>1</v>
      </c>
      <c r="AH55">
        <v>254</v>
      </c>
      <c r="AI55">
        <v>2.4048337166199381</v>
      </c>
      <c r="AW55" s="328" t="s">
        <v>310</v>
      </c>
      <c r="AX55" s="745" t="s">
        <v>310</v>
      </c>
      <c r="AY55" t="s">
        <v>824</v>
      </c>
      <c r="AZ55">
        <v>1.1000000000000001</v>
      </c>
      <c r="BA55">
        <v>6.66</v>
      </c>
      <c r="BB55" s="749">
        <v>0.82347422917030111</v>
      </c>
      <c r="BC55">
        <v>1</v>
      </c>
      <c r="BD55">
        <v>333</v>
      </c>
      <c r="BE55" s="749">
        <v>2.5224442335063197</v>
      </c>
    </row>
    <row r="56" spans="1:57" x14ac:dyDescent="0.3">
      <c r="A56" s="528">
        <v>45300</v>
      </c>
      <c r="B56" s="529" t="s">
        <v>717</v>
      </c>
      <c r="C56" s="533" t="s">
        <v>546</v>
      </c>
      <c r="D56" s="482" t="s">
        <v>596</v>
      </c>
      <c r="E56" s="441" t="s">
        <v>589</v>
      </c>
      <c r="F56" s="441" t="s">
        <v>585</v>
      </c>
      <c r="G56" s="441" t="s">
        <v>556</v>
      </c>
      <c r="H56" s="464" t="s">
        <v>305</v>
      </c>
      <c r="I56" s="441" t="s">
        <v>520</v>
      </c>
      <c r="J56" s="465" t="s">
        <v>0</v>
      </c>
      <c r="K56" s="441" t="s">
        <v>531</v>
      </c>
      <c r="L56" s="441" t="s">
        <v>530</v>
      </c>
      <c r="M56" s="441" t="s">
        <v>531</v>
      </c>
      <c r="N56" s="441" t="s">
        <v>532</v>
      </c>
      <c r="O56" s="441" t="s">
        <v>570</v>
      </c>
      <c r="P56" s="441" t="s">
        <v>573</v>
      </c>
      <c r="Q56" s="442" t="s">
        <v>0</v>
      </c>
      <c r="R56" s="448" t="s">
        <v>519</v>
      </c>
      <c r="S56" s="511">
        <v>100</v>
      </c>
      <c r="T56" s="511" t="s">
        <v>0</v>
      </c>
      <c r="U56" s="442" t="s">
        <v>0</v>
      </c>
      <c r="V56" s="450" t="s">
        <v>0</v>
      </c>
      <c r="W56" s="451">
        <v>38.1</v>
      </c>
      <c r="X56" s="452">
        <v>35.6</v>
      </c>
      <c r="Y56" s="442">
        <v>891.22253909999995</v>
      </c>
      <c r="Z56" s="448">
        <v>2</v>
      </c>
      <c r="AA56" s="410" t="s">
        <v>619</v>
      </c>
      <c r="AB56" t="s">
        <v>305</v>
      </c>
      <c r="AC56" t="s">
        <v>824</v>
      </c>
      <c r="AD56">
        <v>0.1</v>
      </c>
      <c r="AE56">
        <v>0.82</v>
      </c>
      <c r="AF56" s="767">
        <v>-8.6186147616283335E-2</v>
      </c>
      <c r="AG56">
        <v>1</v>
      </c>
      <c r="AH56">
        <v>41</v>
      </c>
      <c r="AI56">
        <v>1.6127838567197355</v>
      </c>
      <c r="AW56" s="329" t="s">
        <v>358</v>
      </c>
      <c r="AX56" s="745" t="s">
        <v>358</v>
      </c>
      <c r="AY56" t="s">
        <v>824</v>
      </c>
      <c r="AZ56">
        <v>0</v>
      </c>
      <c r="BA56">
        <v>0</v>
      </c>
      <c r="BB56" s="749">
        <v>0</v>
      </c>
      <c r="BC56">
        <v>1</v>
      </c>
      <c r="BD56">
        <v>0</v>
      </c>
      <c r="BE56" s="749">
        <v>0</v>
      </c>
    </row>
    <row r="57" spans="1:57" x14ac:dyDescent="0.3">
      <c r="A57" s="528">
        <v>45300</v>
      </c>
      <c r="B57" s="529" t="s">
        <v>718</v>
      </c>
      <c r="C57" s="533" t="s">
        <v>546</v>
      </c>
      <c r="D57" s="482" t="s">
        <v>596</v>
      </c>
      <c r="E57" s="441" t="s">
        <v>589</v>
      </c>
      <c r="F57" s="441" t="s">
        <v>585</v>
      </c>
      <c r="G57" s="441" t="s">
        <v>556</v>
      </c>
      <c r="H57" s="464" t="s">
        <v>306</v>
      </c>
      <c r="I57" s="441" t="s">
        <v>520</v>
      </c>
      <c r="J57" s="465" t="s">
        <v>0</v>
      </c>
      <c r="K57" s="441" t="s">
        <v>531</v>
      </c>
      <c r="L57" s="441" t="s">
        <v>530</v>
      </c>
      <c r="M57" s="441" t="s">
        <v>531</v>
      </c>
      <c r="N57" s="441" t="s">
        <v>532</v>
      </c>
      <c r="O57" s="441" t="s">
        <v>570</v>
      </c>
      <c r="P57" s="441" t="s">
        <v>574</v>
      </c>
      <c r="Q57" s="442" t="s">
        <v>0</v>
      </c>
      <c r="R57" s="448" t="s">
        <v>519</v>
      </c>
      <c r="S57" s="511">
        <v>100</v>
      </c>
      <c r="T57" s="511" t="s">
        <v>0</v>
      </c>
      <c r="U57" s="442" t="s">
        <v>0</v>
      </c>
      <c r="V57" s="450" t="s">
        <v>0</v>
      </c>
      <c r="W57" s="451">
        <v>31.1</v>
      </c>
      <c r="X57" s="452">
        <v>29.1</v>
      </c>
      <c r="Y57" s="442">
        <v>727.2498071</v>
      </c>
      <c r="Z57" s="448">
        <v>2</v>
      </c>
      <c r="AA57" s="410" t="s">
        <v>619</v>
      </c>
      <c r="AB57" t="s">
        <v>306</v>
      </c>
      <c r="AC57" t="s">
        <v>824</v>
      </c>
      <c r="AD57">
        <v>1.4</v>
      </c>
      <c r="AE57">
        <v>8.5500000000000007</v>
      </c>
      <c r="AF57" s="767">
        <v>0.9319661147281727</v>
      </c>
      <c r="AG57">
        <v>1</v>
      </c>
      <c r="AH57">
        <v>428</v>
      </c>
      <c r="AI57">
        <v>2.6314437690131722</v>
      </c>
      <c r="AW57" s="132" t="s">
        <v>369</v>
      </c>
      <c r="AX57" s="745" t="s">
        <v>369</v>
      </c>
      <c r="AY57" t="s">
        <v>824</v>
      </c>
      <c r="AZ57">
        <v>0.7</v>
      </c>
      <c r="BA57">
        <v>4.3</v>
      </c>
      <c r="BB57" s="749">
        <v>0.63346845557958653</v>
      </c>
      <c r="BC57">
        <v>1</v>
      </c>
      <c r="BD57">
        <v>215</v>
      </c>
      <c r="BE57" s="749">
        <v>2.3324384599156054</v>
      </c>
    </row>
    <row r="58" spans="1:57" x14ac:dyDescent="0.3">
      <c r="A58" s="528">
        <v>45300</v>
      </c>
      <c r="B58" s="529" t="s">
        <v>719</v>
      </c>
      <c r="C58" s="533" t="s">
        <v>546</v>
      </c>
      <c r="D58" s="440" t="s">
        <v>552</v>
      </c>
      <c r="E58" s="441" t="s">
        <v>588</v>
      </c>
      <c r="F58" s="441" t="s">
        <v>584</v>
      </c>
      <c r="G58" s="441" t="s">
        <v>556</v>
      </c>
      <c r="H58" s="464" t="s">
        <v>307</v>
      </c>
      <c r="I58" s="441" t="s">
        <v>520</v>
      </c>
      <c r="J58" s="465" t="s">
        <v>0</v>
      </c>
      <c r="K58" s="441" t="s">
        <v>531</v>
      </c>
      <c r="L58" s="441" t="s">
        <v>530</v>
      </c>
      <c r="M58" s="441" t="s">
        <v>531</v>
      </c>
      <c r="N58" s="441" t="s">
        <v>532</v>
      </c>
      <c r="O58" s="441" t="s">
        <v>570</v>
      </c>
      <c r="P58" s="441" t="s">
        <v>573</v>
      </c>
      <c r="Q58" s="442" t="s">
        <v>0</v>
      </c>
      <c r="R58" s="448" t="s">
        <v>519</v>
      </c>
      <c r="S58" s="511">
        <v>400</v>
      </c>
      <c r="T58" s="511" t="s">
        <v>0</v>
      </c>
      <c r="U58" s="442" t="s">
        <v>0</v>
      </c>
      <c r="V58" s="450" t="s">
        <v>0</v>
      </c>
      <c r="W58" s="451">
        <v>17.899999999999999</v>
      </c>
      <c r="X58" s="452">
        <v>16.8</v>
      </c>
      <c r="Y58" s="442">
        <v>419.1831765</v>
      </c>
      <c r="Z58" s="448">
        <v>2</v>
      </c>
      <c r="AA58" s="410" t="s">
        <v>619</v>
      </c>
      <c r="AB58" t="s">
        <v>307</v>
      </c>
      <c r="AC58" t="s">
        <v>824</v>
      </c>
      <c r="AD58">
        <v>0.5</v>
      </c>
      <c r="AE58">
        <v>3.13</v>
      </c>
      <c r="AF58" s="767">
        <v>0.49554433754644844</v>
      </c>
      <c r="AG58">
        <v>1</v>
      </c>
      <c r="AH58">
        <v>157</v>
      </c>
      <c r="AI58">
        <v>2.1958996524092336</v>
      </c>
      <c r="AW58" s="132" t="s">
        <v>392</v>
      </c>
      <c r="AX58" s="745" t="s">
        <v>392</v>
      </c>
      <c r="AY58" t="s">
        <v>824</v>
      </c>
      <c r="AZ58">
        <v>0.4</v>
      </c>
      <c r="BA58">
        <v>2.1</v>
      </c>
      <c r="BB58" s="749">
        <v>0.3222192947339193</v>
      </c>
      <c r="BC58">
        <v>1</v>
      </c>
      <c r="BD58">
        <v>107</v>
      </c>
      <c r="BE58" s="749">
        <v>2.0293837776852097</v>
      </c>
    </row>
    <row r="59" spans="1:57" x14ac:dyDescent="0.3">
      <c r="A59" s="528">
        <v>45300</v>
      </c>
      <c r="B59" s="529" t="s">
        <v>720</v>
      </c>
      <c r="C59" s="533" t="s">
        <v>546</v>
      </c>
      <c r="D59" s="440" t="s">
        <v>552</v>
      </c>
      <c r="E59" s="441" t="s">
        <v>588</v>
      </c>
      <c r="F59" s="441" t="s">
        <v>584</v>
      </c>
      <c r="G59" s="441" t="s">
        <v>556</v>
      </c>
      <c r="H59" s="464" t="s">
        <v>308</v>
      </c>
      <c r="I59" s="441" t="s">
        <v>520</v>
      </c>
      <c r="J59" s="465" t="s">
        <v>0</v>
      </c>
      <c r="K59" s="441" t="s">
        <v>531</v>
      </c>
      <c r="L59" s="441" t="s">
        <v>530</v>
      </c>
      <c r="M59" s="441" t="s">
        <v>531</v>
      </c>
      <c r="N59" s="441" t="s">
        <v>532</v>
      </c>
      <c r="O59" s="441" t="s">
        <v>570</v>
      </c>
      <c r="P59" s="441" t="s">
        <v>574</v>
      </c>
      <c r="Q59" s="442" t="s">
        <v>0</v>
      </c>
      <c r="R59" s="448" t="s">
        <v>519</v>
      </c>
      <c r="S59" s="511">
        <v>400</v>
      </c>
      <c r="T59" s="511" t="s">
        <v>0</v>
      </c>
      <c r="U59" s="442" t="s">
        <v>0</v>
      </c>
      <c r="V59" s="450" t="s">
        <v>0</v>
      </c>
      <c r="W59" s="451">
        <v>20.2</v>
      </c>
      <c r="X59" s="460" t="s">
        <v>0</v>
      </c>
      <c r="Y59" s="478" t="s">
        <v>0</v>
      </c>
      <c r="Z59" s="462">
        <v>2</v>
      </c>
      <c r="AA59" s="410" t="s">
        <v>619</v>
      </c>
      <c r="AB59" t="s">
        <v>308</v>
      </c>
      <c r="AC59" t="s">
        <v>824</v>
      </c>
      <c r="AD59">
        <v>0.4</v>
      </c>
      <c r="AE59">
        <v>2.44</v>
      </c>
      <c r="AF59" s="767">
        <v>0.38738982633872943</v>
      </c>
      <c r="AG59">
        <v>1</v>
      </c>
      <c r="AH59">
        <v>122</v>
      </c>
      <c r="AI59">
        <v>2.0863598306747484</v>
      </c>
      <c r="AW59" s="132" t="s">
        <v>393</v>
      </c>
      <c r="AX59" s="745" t="s">
        <v>393</v>
      </c>
      <c r="AY59" t="s">
        <v>824</v>
      </c>
      <c r="AZ59">
        <v>0</v>
      </c>
      <c r="BA59">
        <v>0</v>
      </c>
      <c r="BB59" s="749">
        <v>0</v>
      </c>
      <c r="BC59">
        <v>1</v>
      </c>
      <c r="BD59">
        <v>0</v>
      </c>
      <c r="BE59" s="749">
        <v>0</v>
      </c>
    </row>
    <row r="60" spans="1:57" x14ac:dyDescent="0.3">
      <c r="A60" s="528">
        <v>45300</v>
      </c>
      <c r="B60" s="529" t="s">
        <v>721</v>
      </c>
      <c r="C60" s="533" t="s">
        <v>546</v>
      </c>
      <c r="D60" s="482" t="s">
        <v>596</v>
      </c>
      <c r="E60" s="441" t="s">
        <v>589</v>
      </c>
      <c r="F60" s="441" t="s">
        <v>585</v>
      </c>
      <c r="G60" s="441" t="s">
        <v>556</v>
      </c>
      <c r="H60" s="464" t="s">
        <v>309</v>
      </c>
      <c r="I60" s="441" t="s">
        <v>520</v>
      </c>
      <c r="J60" s="465" t="s">
        <v>0</v>
      </c>
      <c r="K60" s="441" t="s">
        <v>531</v>
      </c>
      <c r="L60" s="441" t="s">
        <v>530</v>
      </c>
      <c r="M60" s="441" t="s">
        <v>531</v>
      </c>
      <c r="N60" s="441" t="s">
        <v>532</v>
      </c>
      <c r="O60" s="441" t="s">
        <v>570</v>
      </c>
      <c r="P60" s="441" t="s">
        <v>573</v>
      </c>
      <c r="Q60" s="442" t="s">
        <v>0</v>
      </c>
      <c r="R60" s="448" t="s">
        <v>519</v>
      </c>
      <c r="S60" s="511">
        <v>400</v>
      </c>
      <c r="T60" s="511" t="s">
        <v>0</v>
      </c>
      <c r="U60" s="442" t="s">
        <v>0</v>
      </c>
      <c r="V60" s="450" t="s">
        <v>0</v>
      </c>
      <c r="W60" s="451">
        <v>36.9</v>
      </c>
      <c r="X60" s="452">
        <v>34.6</v>
      </c>
      <c r="Y60" s="442">
        <v>863.95960390000005</v>
      </c>
      <c r="Z60" s="448">
        <v>2</v>
      </c>
      <c r="AA60" s="410" t="s">
        <v>619</v>
      </c>
      <c r="AB60" t="s">
        <v>309</v>
      </c>
      <c r="AC60" t="s">
        <v>824</v>
      </c>
      <c r="AD60">
        <v>0.4</v>
      </c>
      <c r="AE60">
        <v>2.44</v>
      </c>
      <c r="AF60" s="767">
        <v>0.38738982633872943</v>
      </c>
      <c r="AG60">
        <v>1</v>
      </c>
      <c r="AH60">
        <v>122</v>
      </c>
      <c r="AI60">
        <v>2.0863598306747484</v>
      </c>
      <c r="AW60" s="351" t="s">
        <v>442</v>
      </c>
      <c r="AX60" s="746" t="s">
        <v>442</v>
      </c>
      <c r="AY60" t="s">
        <v>824</v>
      </c>
      <c r="AZ60">
        <v>0.4</v>
      </c>
      <c r="BA60">
        <v>2.1</v>
      </c>
      <c r="BB60" s="749">
        <v>0.3222192947339193</v>
      </c>
      <c r="BC60">
        <v>1</v>
      </c>
      <c r="BD60">
        <v>107</v>
      </c>
      <c r="BE60" s="749">
        <v>2.0293837776852097</v>
      </c>
    </row>
    <row r="61" spans="1:57" x14ac:dyDescent="0.3">
      <c r="A61" s="528">
        <v>45300</v>
      </c>
      <c r="B61" s="529" t="s">
        <v>722</v>
      </c>
      <c r="C61" s="533" t="s">
        <v>546</v>
      </c>
      <c r="D61" s="482" t="s">
        <v>596</v>
      </c>
      <c r="E61" s="441" t="s">
        <v>589</v>
      </c>
      <c r="F61" s="441" t="s">
        <v>585</v>
      </c>
      <c r="G61" s="441" t="s">
        <v>556</v>
      </c>
      <c r="H61" s="464" t="s">
        <v>310</v>
      </c>
      <c r="I61" s="441" t="s">
        <v>520</v>
      </c>
      <c r="J61" s="465" t="s">
        <v>0</v>
      </c>
      <c r="K61" s="441" t="s">
        <v>531</v>
      </c>
      <c r="L61" s="441" t="s">
        <v>530</v>
      </c>
      <c r="M61" s="441" t="s">
        <v>531</v>
      </c>
      <c r="N61" s="441" t="s">
        <v>532</v>
      </c>
      <c r="O61" s="441" t="s">
        <v>570</v>
      </c>
      <c r="P61" s="441" t="s">
        <v>574</v>
      </c>
      <c r="Q61" s="442" t="s">
        <v>0</v>
      </c>
      <c r="R61" s="448" t="s">
        <v>519</v>
      </c>
      <c r="S61" s="511">
        <v>400</v>
      </c>
      <c r="T61" s="511" t="s">
        <v>0</v>
      </c>
      <c r="U61" s="442" t="s">
        <v>0</v>
      </c>
      <c r="V61" s="450" t="s">
        <v>0</v>
      </c>
      <c r="W61" s="451">
        <v>21.3</v>
      </c>
      <c r="X61" s="452">
        <v>20</v>
      </c>
      <c r="Y61" s="442">
        <v>498.97563459999998</v>
      </c>
      <c r="Z61" s="448">
        <v>2</v>
      </c>
      <c r="AA61" s="410" t="s">
        <v>619</v>
      </c>
      <c r="AB61" t="s">
        <v>310</v>
      </c>
      <c r="AC61" t="s">
        <v>824</v>
      </c>
      <c r="AD61">
        <v>1.1000000000000001</v>
      </c>
      <c r="AE61">
        <v>6.66</v>
      </c>
      <c r="AF61" s="767">
        <v>0.82347422917030111</v>
      </c>
      <c r="AG61">
        <v>1</v>
      </c>
      <c r="AH61">
        <v>333</v>
      </c>
      <c r="AI61">
        <v>2.5224442335063197</v>
      </c>
      <c r="AW61" s="351" t="s">
        <v>443</v>
      </c>
      <c r="AX61" s="746" t="s">
        <v>443</v>
      </c>
      <c r="AY61" t="s">
        <v>824</v>
      </c>
      <c r="AZ61">
        <v>0</v>
      </c>
      <c r="BA61">
        <v>0</v>
      </c>
      <c r="BB61" s="749">
        <v>0</v>
      </c>
      <c r="BC61">
        <v>1</v>
      </c>
      <c r="BD61">
        <v>0</v>
      </c>
      <c r="BE61" s="749">
        <v>0</v>
      </c>
    </row>
    <row r="62" spans="1:57" x14ac:dyDescent="0.3">
      <c r="A62" s="437">
        <v>45302</v>
      </c>
      <c r="B62" s="438" t="s">
        <v>723</v>
      </c>
      <c r="C62" s="534" t="s">
        <v>547</v>
      </c>
      <c r="D62" s="482" t="s">
        <v>596</v>
      </c>
      <c r="E62" s="441" t="s">
        <v>589</v>
      </c>
      <c r="F62" s="441" t="s">
        <v>585</v>
      </c>
      <c r="G62" s="441" t="s">
        <v>557</v>
      </c>
      <c r="H62" s="464" t="s">
        <v>338</v>
      </c>
      <c r="I62" s="441" t="s">
        <v>526</v>
      </c>
      <c r="J62" s="457" t="s">
        <v>550</v>
      </c>
      <c r="K62" s="441" t="s">
        <v>531</v>
      </c>
      <c r="L62" s="441" t="s">
        <v>535</v>
      </c>
      <c r="M62" s="441" t="s">
        <v>531</v>
      </c>
      <c r="N62" s="441" t="s">
        <v>532</v>
      </c>
      <c r="O62" s="441" t="s">
        <v>570</v>
      </c>
      <c r="P62" s="441" t="s">
        <v>573</v>
      </c>
      <c r="Q62" s="442" t="s">
        <v>0</v>
      </c>
      <c r="R62" s="448" t="s">
        <v>519</v>
      </c>
      <c r="S62" s="511">
        <v>100</v>
      </c>
      <c r="T62" s="511" t="s">
        <v>0</v>
      </c>
      <c r="U62" s="442" t="s">
        <v>0</v>
      </c>
      <c r="V62" s="450" t="s">
        <v>0</v>
      </c>
      <c r="W62" s="451">
        <v>43</v>
      </c>
      <c r="X62" s="452">
        <v>40.200000000000003</v>
      </c>
      <c r="Y62" s="442">
        <v>1005.803221</v>
      </c>
      <c r="Z62" s="448">
        <v>2</v>
      </c>
      <c r="AA62" s="410" t="s">
        <v>610</v>
      </c>
      <c r="AB62" t="s">
        <v>338</v>
      </c>
      <c r="AC62" t="s">
        <v>817</v>
      </c>
      <c r="AD62">
        <v>0.3</v>
      </c>
      <c r="AE62">
        <v>1.6</v>
      </c>
      <c r="AF62" s="767">
        <v>0.20411998265592479</v>
      </c>
      <c r="AG62">
        <v>1</v>
      </c>
      <c r="AH62">
        <v>40</v>
      </c>
      <c r="AI62">
        <v>1.6020599913279623</v>
      </c>
      <c r="AW62" s="132" t="s">
        <v>481</v>
      </c>
      <c r="AX62" s="745" t="s">
        <v>481</v>
      </c>
      <c r="AY62" t="s">
        <v>824</v>
      </c>
      <c r="AZ62">
        <v>1.1000000000000001</v>
      </c>
      <c r="BA62">
        <v>6.4</v>
      </c>
      <c r="BB62" s="749">
        <v>0.80617997398388719</v>
      </c>
      <c r="BC62">
        <v>1</v>
      </c>
      <c r="BD62">
        <v>321</v>
      </c>
      <c r="BE62" s="749">
        <v>2.5065050324048719</v>
      </c>
    </row>
    <row r="63" spans="1:57" x14ac:dyDescent="0.3">
      <c r="A63" s="437">
        <v>45302</v>
      </c>
      <c r="B63" s="438" t="s">
        <v>724</v>
      </c>
      <c r="C63" s="534" t="s">
        <v>547</v>
      </c>
      <c r="D63" s="482" t="s">
        <v>596</v>
      </c>
      <c r="E63" s="441" t="s">
        <v>589</v>
      </c>
      <c r="F63" s="441" t="s">
        <v>585</v>
      </c>
      <c r="G63" s="441" t="s">
        <v>557</v>
      </c>
      <c r="H63" s="464" t="s">
        <v>343</v>
      </c>
      <c r="I63" s="445" t="s">
        <v>526</v>
      </c>
      <c r="J63" s="463" t="s">
        <v>551</v>
      </c>
      <c r="K63" s="441" t="s">
        <v>531</v>
      </c>
      <c r="L63" s="441" t="s">
        <v>535</v>
      </c>
      <c r="M63" s="441" t="s">
        <v>531</v>
      </c>
      <c r="N63" s="441" t="s">
        <v>532</v>
      </c>
      <c r="O63" s="441" t="s">
        <v>570</v>
      </c>
      <c r="P63" s="441" t="s">
        <v>573</v>
      </c>
      <c r="Q63" s="442" t="s">
        <v>0</v>
      </c>
      <c r="R63" s="448" t="s">
        <v>519</v>
      </c>
      <c r="S63" s="511">
        <v>100</v>
      </c>
      <c r="T63" s="511" t="s">
        <v>0</v>
      </c>
      <c r="U63" s="442" t="s">
        <v>0</v>
      </c>
      <c r="V63" s="450" t="s">
        <v>0</v>
      </c>
      <c r="W63" s="451">
        <v>47.3</v>
      </c>
      <c r="X63" s="452">
        <v>44.3</v>
      </c>
      <c r="Y63" s="442">
        <v>1107.803402</v>
      </c>
      <c r="Z63" s="448">
        <v>2</v>
      </c>
      <c r="AA63" s="410" t="s">
        <v>611</v>
      </c>
      <c r="AB63" t="s">
        <v>343</v>
      </c>
      <c r="AC63" t="s">
        <v>818</v>
      </c>
      <c r="AD63">
        <v>0.6</v>
      </c>
      <c r="AE63">
        <v>3.9</v>
      </c>
      <c r="AF63" s="767">
        <v>0.59106460702649921</v>
      </c>
      <c r="AG63">
        <v>1</v>
      </c>
      <c r="AH63">
        <v>97</v>
      </c>
      <c r="AI63">
        <v>1.9867717342662448</v>
      </c>
      <c r="AW63" s="351" t="s">
        <v>486</v>
      </c>
      <c r="AX63" s="746" t="s">
        <v>486</v>
      </c>
      <c r="AY63" t="s">
        <v>824</v>
      </c>
      <c r="AZ63">
        <v>0.4</v>
      </c>
      <c r="BA63">
        <v>2.2000000000000002</v>
      </c>
      <c r="BB63" s="749">
        <v>0.34242268082220628</v>
      </c>
      <c r="BC63">
        <v>1</v>
      </c>
      <c r="BD63">
        <v>109</v>
      </c>
      <c r="BE63" s="749">
        <v>2.0374264979406238</v>
      </c>
    </row>
    <row r="64" spans="1:57" x14ac:dyDescent="0.3">
      <c r="A64" s="437">
        <v>45307</v>
      </c>
      <c r="B64" s="438" t="s">
        <v>725</v>
      </c>
      <c r="C64" s="493" t="s">
        <v>544</v>
      </c>
      <c r="D64" s="440" t="s">
        <v>552</v>
      </c>
      <c r="E64" s="441" t="s">
        <v>588</v>
      </c>
      <c r="F64" s="441" t="s">
        <v>584</v>
      </c>
      <c r="G64" s="441" t="s">
        <v>558</v>
      </c>
      <c r="H64" s="464" t="s">
        <v>356</v>
      </c>
      <c r="I64" s="441" t="s">
        <v>526</v>
      </c>
      <c r="J64" s="457" t="s">
        <v>550</v>
      </c>
      <c r="K64" s="441" t="s">
        <v>531</v>
      </c>
      <c r="L64" s="441" t="s">
        <v>535</v>
      </c>
      <c r="M64" s="441" t="s">
        <v>531</v>
      </c>
      <c r="N64" s="441" t="s">
        <v>532</v>
      </c>
      <c r="O64" s="441" t="s">
        <v>514</v>
      </c>
      <c r="P64" s="441" t="s">
        <v>573</v>
      </c>
      <c r="Q64" s="442" t="s">
        <v>0</v>
      </c>
      <c r="R64" s="448" t="s">
        <v>519</v>
      </c>
      <c r="S64" s="511">
        <v>100</v>
      </c>
      <c r="T64" s="511" t="s">
        <v>0</v>
      </c>
      <c r="U64" s="442" t="s">
        <v>0</v>
      </c>
      <c r="V64" s="450" t="s">
        <v>0</v>
      </c>
      <c r="W64" s="451">
        <v>29.1</v>
      </c>
      <c r="X64" s="452">
        <v>27.2</v>
      </c>
      <c r="Y64" s="442">
        <v>679.96838630000002</v>
      </c>
      <c r="Z64" s="448">
        <v>2</v>
      </c>
      <c r="AA64" s="410" t="s">
        <v>610</v>
      </c>
      <c r="AB64" t="s">
        <v>356</v>
      </c>
      <c r="AC64" t="s">
        <v>817</v>
      </c>
      <c r="AD64">
        <v>1.1000000000000001</v>
      </c>
      <c r="AE64">
        <v>6.4</v>
      </c>
      <c r="AF64" s="767">
        <v>0.80617997398388719</v>
      </c>
      <c r="AG64">
        <v>1</v>
      </c>
      <c r="AH64">
        <v>321</v>
      </c>
      <c r="AI64">
        <v>2.5065050324048719</v>
      </c>
      <c r="AW64" s="131" t="s">
        <v>88</v>
      </c>
      <c r="AX64" t="s">
        <v>804</v>
      </c>
      <c r="AY64" t="s">
        <v>824</v>
      </c>
      <c r="AZ64">
        <v>2.7</v>
      </c>
      <c r="BA64">
        <v>16.422000000000001</v>
      </c>
      <c r="BB64" s="749">
        <v>1.2154260477937673</v>
      </c>
      <c r="BC64">
        <v>1</v>
      </c>
      <c r="BD64">
        <v>821</v>
      </c>
      <c r="BE64" s="749">
        <v>2.9143431571194407</v>
      </c>
    </row>
    <row r="65" spans="1:57" x14ac:dyDescent="0.3">
      <c r="A65" s="437">
        <v>45307</v>
      </c>
      <c r="B65" s="438" t="s">
        <v>726</v>
      </c>
      <c r="C65" s="493" t="s">
        <v>544</v>
      </c>
      <c r="D65" s="440" t="s">
        <v>552</v>
      </c>
      <c r="E65" s="441" t="s">
        <v>588</v>
      </c>
      <c r="F65" s="441" t="s">
        <v>584</v>
      </c>
      <c r="G65" s="441" t="s">
        <v>558</v>
      </c>
      <c r="H65" s="464" t="s">
        <v>358</v>
      </c>
      <c r="I65" s="441" t="s">
        <v>520</v>
      </c>
      <c r="J65" s="465" t="s">
        <v>0</v>
      </c>
      <c r="K65" s="441" t="s">
        <v>531</v>
      </c>
      <c r="L65" s="441" t="s">
        <v>530</v>
      </c>
      <c r="M65" s="441" t="s">
        <v>531</v>
      </c>
      <c r="N65" s="441" t="s">
        <v>532</v>
      </c>
      <c r="O65" s="441" t="s">
        <v>514</v>
      </c>
      <c r="P65" s="441" t="s">
        <v>573</v>
      </c>
      <c r="Q65" s="442" t="s">
        <v>0</v>
      </c>
      <c r="R65" s="448" t="s">
        <v>519</v>
      </c>
      <c r="S65" s="511">
        <v>100</v>
      </c>
      <c r="T65" s="511" t="s">
        <v>0</v>
      </c>
      <c r="U65" s="442" t="s">
        <v>0</v>
      </c>
      <c r="V65" s="450" t="s">
        <v>0</v>
      </c>
      <c r="W65" s="451">
        <v>18</v>
      </c>
      <c r="X65" s="452">
        <v>16.899999999999999</v>
      </c>
      <c r="Y65" s="442">
        <v>421.8177882</v>
      </c>
      <c r="Z65" s="448">
        <v>2</v>
      </c>
      <c r="AA65" s="410" t="s">
        <v>619</v>
      </c>
      <c r="AB65" t="s">
        <v>358</v>
      </c>
      <c r="AC65" t="s">
        <v>824</v>
      </c>
      <c r="AD65">
        <v>0</v>
      </c>
      <c r="AE65">
        <v>0</v>
      </c>
      <c r="AF65" s="767">
        <v>0</v>
      </c>
      <c r="AG65">
        <v>1</v>
      </c>
      <c r="AH65">
        <v>0</v>
      </c>
      <c r="AI65">
        <v>0</v>
      </c>
      <c r="AW65" s="14" t="s">
        <v>89</v>
      </c>
      <c r="AX65" t="s">
        <v>805</v>
      </c>
      <c r="AY65" t="s">
        <v>824</v>
      </c>
      <c r="AZ65">
        <v>3.6</v>
      </c>
      <c r="BA65">
        <v>21.335999999999999</v>
      </c>
      <c r="BB65" s="749">
        <v>1.3291130026818196</v>
      </c>
      <c r="BC65">
        <v>1</v>
      </c>
      <c r="BD65">
        <v>1070</v>
      </c>
      <c r="BE65" s="749">
        <v>3.0293837776852097</v>
      </c>
    </row>
    <row r="66" spans="1:57" x14ac:dyDescent="0.3">
      <c r="A66" s="437">
        <v>45307</v>
      </c>
      <c r="B66" s="438" t="s">
        <v>727</v>
      </c>
      <c r="C66" s="493" t="s">
        <v>544</v>
      </c>
      <c r="D66" s="482" t="s">
        <v>596</v>
      </c>
      <c r="E66" s="441" t="s">
        <v>589</v>
      </c>
      <c r="F66" s="441" t="s">
        <v>585</v>
      </c>
      <c r="G66" s="441" t="s">
        <v>558</v>
      </c>
      <c r="H66" s="464" t="s">
        <v>367</v>
      </c>
      <c r="I66" s="441" t="s">
        <v>526</v>
      </c>
      <c r="J66" s="457" t="s">
        <v>550</v>
      </c>
      <c r="K66" s="441" t="s">
        <v>531</v>
      </c>
      <c r="L66" s="441" t="s">
        <v>535</v>
      </c>
      <c r="M66" s="535" t="s">
        <v>531</v>
      </c>
      <c r="N66" s="441" t="s">
        <v>532</v>
      </c>
      <c r="O66" s="441" t="s">
        <v>514</v>
      </c>
      <c r="P66" s="441" t="s">
        <v>573</v>
      </c>
      <c r="Q66" s="442" t="s">
        <v>0</v>
      </c>
      <c r="R66" s="448" t="s">
        <v>519</v>
      </c>
      <c r="S66" s="511">
        <v>100</v>
      </c>
      <c r="T66" s="511" t="s">
        <v>0</v>
      </c>
      <c r="U66" s="442" t="s">
        <v>0</v>
      </c>
      <c r="V66" s="450" t="s">
        <v>0</v>
      </c>
      <c r="W66" s="451">
        <v>182</v>
      </c>
      <c r="X66" s="452">
        <v>170</v>
      </c>
      <c r="Y66" s="442">
        <v>4248.3376820000003</v>
      </c>
      <c r="Z66" s="448">
        <v>2</v>
      </c>
      <c r="AA66" s="410" t="s">
        <v>610</v>
      </c>
      <c r="AB66" t="s">
        <v>367</v>
      </c>
      <c r="AC66" t="s">
        <v>817</v>
      </c>
      <c r="AD66">
        <v>2.1</v>
      </c>
      <c r="AE66">
        <v>12.8</v>
      </c>
      <c r="AF66" s="767">
        <v>1.1072099696478683</v>
      </c>
      <c r="AG66">
        <v>1</v>
      </c>
      <c r="AH66">
        <v>641</v>
      </c>
      <c r="AI66">
        <v>2.8068580295188172</v>
      </c>
      <c r="AW66" s="14" t="s">
        <v>111</v>
      </c>
      <c r="AX66" t="s">
        <v>806</v>
      </c>
      <c r="AY66" t="s">
        <v>824</v>
      </c>
      <c r="AZ66">
        <v>3.5</v>
      </c>
      <c r="BA66">
        <v>20.795999999999999</v>
      </c>
      <c r="BB66" s="749">
        <v>1.3179798087615417</v>
      </c>
      <c r="BC66">
        <v>1</v>
      </c>
      <c r="BD66">
        <v>1040</v>
      </c>
      <c r="BE66" s="749">
        <v>3.0170333392987803</v>
      </c>
    </row>
    <row r="67" spans="1:57" x14ac:dyDescent="0.3">
      <c r="A67" s="437">
        <v>45307</v>
      </c>
      <c r="B67" s="438" t="s">
        <v>728</v>
      </c>
      <c r="C67" s="493" t="s">
        <v>544</v>
      </c>
      <c r="D67" s="482" t="s">
        <v>596</v>
      </c>
      <c r="E67" s="441" t="s">
        <v>589</v>
      </c>
      <c r="F67" s="441" t="s">
        <v>585</v>
      </c>
      <c r="G67" s="441" t="s">
        <v>558</v>
      </c>
      <c r="H67" s="464" t="s">
        <v>368</v>
      </c>
      <c r="I67" s="441" t="s">
        <v>526</v>
      </c>
      <c r="J67" s="463" t="s">
        <v>551</v>
      </c>
      <c r="K67" s="441" t="s">
        <v>531</v>
      </c>
      <c r="L67" s="441" t="s">
        <v>535</v>
      </c>
      <c r="M67" s="535" t="s">
        <v>531</v>
      </c>
      <c r="N67" s="441" t="s">
        <v>532</v>
      </c>
      <c r="O67" s="441" t="s">
        <v>514</v>
      </c>
      <c r="P67" s="441" t="s">
        <v>573</v>
      </c>
      <c r="Q67" s="442" t="s">
        <v>0</v>
      </c>
      <c r="R67" s="448" t="s">
        <v>519</v>
      </c>
      <c r="S67" s="511">
        <v>100</v>
      </c>
      <c r="T67" s="511" t="s">
        <v>0</v>
      </c>
      <c r="U67" s="442" t="s">
        <v>0</v>
      </c>
      <c r="V67" s="450" t="s">
        <v>0</v>
      </c>
      <c r="W67" s="451">
        <v>58.6</v>
      </c>
      <c r="X67" s="452">
        <v>54.8</v>
      </c>
      <c r="Y67" s="442">
        <v>1370.1829809999999</v>
      </c>
      <c r="Z67" s="448">
        <v>2</v>
      </c>
      <c r="AA67" s="410" t="s">
        <v>611</v>
      </c>
      <c r="AB67" t="s">
        <v>368</v>
      </c>
      <c r="AC67" t="s">
        <v>818</v>
      </c>
      <c r="AD67">
        <v>0.4</v>
      </c>
      <c r="AE67">
        <v>2.2000000000000002</v>
      </c>
      <c r="AF67" s="767">
        <v>0.34242268082220628</v>
      </c>
      <c r="AG67">
        <v>1</v>
      </c>
      <c r="AH67">
        <v>109</v>
      </c>
      <c r="AI67">
        <v>2.0374264979406238</v>
      </c>
      <c r="AW67" s="14" t="s">
        <v>112</v>
      </c>
      <c r="AX67" t="s">
        <v>807</v>
      </c>
      <c r="AY67" t="s">
        <v>824</v>
      </c>
      <c r="AZ67">
        <v>2</v>
      </c>
      <c r="BA67">
        <v>11.85</v>
      </c>
      <c r="BB67" s="749">
        <v>1.0737183503461227</v>
      </c>
      <c r="BC67">
        <v>1</v>
      </c>
      <c r="BD67">
        <v>593</v>
      </c>
      <c r="BE67" s="749">
        <v>2.7730546933642626</v>
      </c>
    </row>
    <row r="68" spans="1:57" x14ac:dyDescent="0.3">
      <c r="A68" s="437">
        <v>45307</v>
      </c>
      <c r="B68" s="438" t="s">
        <v>729</v>
      </c>
      <c r="C68" s="493" t="s">
        <v>544</v>
      </c>
      <c r="D68" s="482" t="s">
        <v>596</v>
      </c>
      <c r="E68" s="441" t="s">
        <v>589</v>
      </c>
      <c r="F68" s="441" t="s">
        <v>585</v>
      </c>
      <c r="G68" s="441" t="s">
        <v>558</v>
      </c>
      <c r="H68" s="464" t="s">
        <v>369</v>
      </c>
      <c r="I68" s="441" t="s">
        <v>520</v>
      </c>
      <c r="J68" s="465" t="s">
        <v>0</v>
      </c>
      <c r="K68" s="441" t="s">
        <v>531</v>
      </c>
      <c r="L68" s="441" t="s">
        <v>530</v>
      </c>
      <c r="M68" s="535" t="s">
        <v>531</v>
      </c>
      <c r="N68" s="441" t="s">
        <v>532</v>
      </c>
      <c r="O68" s="441" t="s">
        <v>514</v>
      </c>
      <c r="P68" s="441" t="s">
        <v>573</v>
      </c>
      <c r="Q68" s="442" t="s">
        <v>0</v>
      </c>
      <c r="R68" s="448" t="s">
        <v>519</v>
      </c>
      <c r="S68" s="511">
        <v>100</v>
      </c>
      <c r="T68" s="511" t="s">
        <v>0</v>
      </c>
      <c r="U68" s="442" t="s">
        <v>0</v>
      </c>
      <c r="V68" s="450" t="s">
        <v>0</v>
      </c>
      <c r="W68" s="451">
        <v>23.6</v>
      </c>
      <c r="X68" s="452">
        <v>22.1</v>
      </c>
      <c r="Y68" s="442">
        <v>552.90115249999997</v>
      </c>
      <c r="Z68" s="448">
        <v>2</v>
      </c>
      <c r="AA68" s="410" t="s">
        <v>619</v>
      </c>
      <c r="AB68" t="s">
        <v>369</v>
      </c>
      <c r="AC68" t="s">
        <v>824</v>
      </c>
      <c r="AD68">
        <v>0.7</v>
      </c>
      <c r="AE68">
        <v>4.3</v>
      </c>
      <c r="AF68" s="767">
        <v>0.63346845557958653</v>
      </c>
      <c r="AG68">
        <v>1</v>
      </c>
      <c r="AH68">
        <v>215</v>
      </c>
      <c r="AI68">
        <v>2.3324384599156054</v>
      </c>
      <c r="AW68" s="14" t="s">
        <v>138</v>
      </c>
      <c r="AX68" s="743" t="s">
        <v>138</v>
      </c>
      <c r="AY68" t="s">
        <v>824</v>
      </c>
      <c r="AZ68">
        <v>0.3</v>
      </c>
      <c r="BA68">
        <v>1.6</v>
      </c>
      <c r="BB68" s="749">
        <v>0.20411998265592479</v>
      </c>
      <c r="BC68">
        <v>1</v>
      </c>
      <c r="BD68">
        <v>80</v>
      </c>
      <c r="BE68" s="749">
        <v>1.9030899869919435</v>
      </c>
    </row>
    <row r="69" spans="1:57" x14ac:dyDescent="0.3">
      <c r="A69" s="536">
        <v>45307</v>
      </c>
      <c r="B69" s="438" t="s">
        <v>730</v>
      </c>
      <c r="C69" s="537" t="s">
        <v>544</v>
      </c>
      <c r="D69" s="469" t="s">
        <v>0</v>
      </c>
      <c r="E69" s="469" t="s">
        <v>0</v>
      </c>
      <c r="F69" s="469" t="s">
        <v>0</v>
      </c>
      <c r="G69" s="441" t="s">
        <v>558</v>
      </c>
      <c r="H69" s="464" t="s">
        <v>372</v>
      </c>
      <c r="I69" s="441" t="s">
        <v>521</v>
      </c>
      <c r="J69" s="465" t="s">
        <v>0</v>
      </c>
      <c r="K69" s="441" t="s">
        <v>531</v>
      </c>
      <c r="L69" s="441" t="s">
        <v>521</v>
      </c>
      <c r="M69" s="441" t="s">
        <v>532</v>
      </c>
      <c r="N69" s="441" t="s">
        <v>532</v>
      </c>
      <c r="O69" s="441" t="s">
        <v>514</v>
      </c>
      <c r="P69" s="441" t="s">
        <v>573</v>
      </c>
      <c r="Q69" s="442" t="s">
        <v>0</v>
      </c>
      <c r="R69" s="448" t="s">
        <v>0</v>
      </c>
      <c r="S69" s="511">
        <v>100</v>
      </c>
      <c r="T69" s="511" t="s">
        <v>0</v>
      </c>
      <c r="U69" s="442" t="s">
        <v>0</v>
      </c>
      <c r="V69" s="450" t="s">
        <v>0</v>
      </c>
      <c r="W69" s="451">
        <v>32.4</v>
      </c>
      <c r="X69" s="452">
        <v>30.3</v>
      </c>
      <c r="Y69" s="442">
        <v>757.88209629999994</v>
      </c>
      <c r="Z69" s="448">
        <v>2</v>
      </c>
      <c r="AA69" s="410" t="s">
        <v>620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W69" s="14" t="s">
        <v>139</v>
      </c>
      <c r="AX69" s="743" t="s">
        <v>139</v>
      </c>
      <c r="AY69" t="s">
        <v>824</v>
      </c>
      <c r="AZ69">
        <v>0.1</v>
      </c>
      <c r="BA69">
        <v>0.82</v>
      </c>
      <c r="BB69" s="749">
        <v>-8.6186147616283335E-2</v>
      </c>
      <c r="BC69">
        <v>1</v>
      </c>
      <c r="BD69">
        <v>41</v>
      </c>
      <c r="BE69" s="749">
        <v>1.6127838567197355</v>
      </c>
    </row>
    <row r="70" spans="1:57" ht="16.2" thickBot="1" x14ac:dyDescent="0.35">
      <c r="A70" s="538">
        <v>45307</v>
      </c>
      <c r="B70" s="539" t="s">
        <v>731</v>
      </c>
      <c r="C70" s="540" t="s">
        <v>544</v>
      </c>
      <c r="D70" s="541" t="s">
        <v>0</v>
      </c>
      <c r="E70" s="541" t="s">
        <v>0</v>
      </c>
      <c r="F70" s="541" t="s">
        <v>0</v>
      </c>
      <c r="G70" s="488" t="s">
        <v>558</v>
      </c>
      <c r="H70" s="427" t="s">
        <v>373</v>
      </c>
      <c r="I70" s="426" t="s">
        <v>521</v>
      </c>
      <c r="J70" s="542" t="s">
        <v>0</v>
      </c>
      <c r="K70" s="488" t="s">
        <v>531</v>
      </c>
      <c r="L70" s="488" t="s">
        <v>521</v>
      </c>
      <c r="M70" s="426" t="s">
        <v>532</v>
      </c>
      <c r="N70" s="426" t="s">
        <v>532</v>
      </c>
      <c r="O70" s="426" t="s">
        <v>514</v>
      </c>
      <c r="P70" s="426" t="s">
        <v>574</v>
      </c>
      <c r="Q70" s="428" t="s">
        <v>0</v>
      </c>
      <c r="R70" s="431" t="s">
        <v>0</v>
      </c>
      <c r="S70" s="511">
        <v>100</v>
      </c>
      <c r="T70" s="511" t="s">
        <v>0</v>
      </c>
      <c r="U70" s="428" t="s">
        <v>0</v>
      </c>
      <c r="V70" s="433" t="s">
        <v>0</v>
      </c>
      <c r="W70" s="434">
        <v>117</v>
      </c>
      <c r="X70" s="435">
        <v>109</v>
      </c>
      <c r="Y70" s="428">
        <v>2732.6729879999998</v>
      </c>
      <c r="Z70" s="431">
        <v>2</v>
      </c>
      <c r="AA70" s="436" t="s">
        <v>620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W70" s="14" t="s">
        <v>148</v>
      </c>
      <c r="AX70" s="14" t="s">
        <v>148</v>
      </c>
      <c r="AY70" t="s">
        <v>824</v>
      </c>
      <c r="AZ70">
        <v>0</v>
      </c>
      <c r="BA70">
        <v>0</v>
      </c>
      <c r="BB70" s="749">
        <v>0</v>
      </c>
      <c r="BC70">
        <v>1</v>
      </c>
      <c r="BD70">
        <v>0</v>
      </c>
      <c r="BE70" s="749">
        <v>0</v>
      </c>
    </row>
    <row r="71" spans="1:57" x14ac:dyDescent="0.3">
      <c r="A71" s="536">
        <v>45322</v>
      </c>
      <c r="B71" s="438" t="s">
        <v>732</v>
      </c>
      <c r="C71" s="543" t="s">
        <v>544</v>
      </c>
      <c r="D71" s="544" t="s">
        <v>552</v>
      </c>
      <c r="E71" s="445" t="s">
        <v>588</v>
      </c>
      <c r="F71" s="445" t="s">
        <v>584</v>
      </c>
      <c r="G71" s="441" t="s">
        <v>559</v>
      </c>
      <c r="H71" s="545" t="s">
        <v>388</v>
      </c>
      <c r="I71" s="448" t="s">
        <v>526</v>
      </c>
      <c r="J71" s="546" t="s">
        <v>550</v>
      </c>
      <c r="K71" s="441" t="s">
        <v>531</v>
      </c>
      <c r="L71" s="442" t="s">
        <v>535</v>
      </c>
      <c r="M71" s="448" t="s">
        <v>531</v>
      </c>
      <c r="N71" s="445" t="s">
        <v>532</v>
      </c>
      <c r="O71" s="445" t="s">
        <v>571</v>
      </c>
      <c r="P71" s="445" t="s">
        <v>573</v>
      </c>
      <c r="Q71" s="458" t="s">
        <v>0</v>
      </c>
      <c r="R71" s="448" t="s">
        <v>519</v>
      </c>
      <c r="S71" s="511">
        <v>100</v>
      </c>
      <c r="T71" s="511" t="s">
        <v>0</v>
      </c>
      <c r="U71" s="442" t="s">
        <v>0</v>
      </c>
      <c r="V71" s="450" t="s">
        <v>0</v>
      </c>
      <c r="W71" s="451">
        <v>23.8</v>
      </c>
      <c r="X71" s="452">
        <v>22.3</v>
      </c>
      <c r="Y71" s="442">
        <v>557.61855279999997</v>
      </c>
      <c r="Z71" s="448">
        <v>2</v>
      </c>
      <c r="AA71" s="410" t="s">
        <v>610</v>
      </c>
      <c r="AB71" t="s">
        <v>388</v>
      </c>
      <c r="AC71" t="s">
        <v>817</v>
      </c>
      <c r="AD71">
        <v>0.4</v>
      </c>
      <c r="AE71">
        <v>2.1</v>
      </c>
      <c r="AF71" s="767">
        <v>0.3222192947339193</v>
      </c>
      <c r="AG71">
        <v>1</v>
      </c>
      <c r="AH71">
        <v>107</v>
      </c>
      <c r="AI71">
        <v>2.0293837776852097</v>
      </c>
      <c r="AW71" s="738" t="s">
        <v>159</v>
      </c>
      <c r="AX71" s="738" t="s">
        <v>159</v>
      </c>
      <c r="AY71" t="s">
        <v>824</v>
      </c>
      <c r="AZ71">
        <v>0.7</v>
      </c>
      <c r="BA71">
        <v>4.3</v>
      </c>
      <c r="BB71" s="749">
        <v>0.63346845557958653</v>
      </c>
      <c r="BC71">
        <v>1</v>
      </c>
      <c r="BD71">
        <v>214</v>
      </c>
      <c r="BE71" s="749">
        <v>2.330413773349191</v>
      </c>
    </row>
    <row r="72" spans="1:57" x14ac:dyDescent="0.3">
      <c r="A72" s="536">
        <v>45322</v>
      </c>
      <c r="B72" s="438" t="s">
        <v>733</v>
      </c>
      <c r="C72" s="543" t="s">
        <v>544</v>
      </c>
      <c r="D72" s="544" t="s">
        <v>552</v>
      </c>
      <c r="E72" s="445" t="s">
        <v>588</v>
      </c>
      <c r="F72" s="445" t="s">
        <v>584</v>
      </c>
      <c r="G72" s="441" t="s">
        <v>559</v>
      </c>
      <c r="H72" s="545" t="s">
        <v>389</v>
      </c>
      <c r="I72" s="448" t="s">
        <v>528</v>
      </c>
      <c r="J72" s="546" t="s">
        <v>550</v>
      </c>
      <c r="K72" s="441" t="s">
        <v>531</v>
      </c>
      <c r="L72" s="442" t="s">
        <v>534</v>
      </c>
      <c r="M72" s="448" t="s">
        <v>531</v>
      </c>
      <c r="N72" s="445" t="s">
        <v>532</v>
      </c>
      <c r="O72" s="445" t="s">
        <v>571</v>
      </c>
      <c r="P72" s="445" t="s">
        <v>573</v>
      </c>
      <c r="Q72" s="458" t="s">
        <v>0</v>
      </c>
      <c r="R72" s="448" t="s">
        <v>519</v>
      </c>
      <c r="S72" s="511">
        <v>100</v>
      </c>
      <c r="T72" s="511" t="s">
        <v>0</v>
      </c>
      <c r="U72" s="442" t="s">
        <v>0</v>
      </c>
      <c r="V72" s="450" t="s">
        <v>0</v>
      </c>
      <c r="W72" s="451">
        <v>6.13</v>
      </c>
      <c r="X72" s="452">
        <v>5.74</v>
      </c>
      <c r="Y72" s="442">
        <v>143.4436106</v>
      </c>
      <c r="Z72" s="448">
        <v>2</v>
      </c>
      <c r="AA72" s="410" t="s">
        <v>617</v>
      </c>
      <c r="AB72" t="s">
        <v>389</v>
      </c>
      <c r="AC72" t="s">
        <v>822</v>
      </c>
      <c r="AD72">
        <v>0.4</v>
      </c>
      <c r="AE72">
        <v>2.1</v>
      </c>
      <c r="AF72" s="767">
        <v>0.3222192947339193</v>
      </c>
      <c r="AG72">
        <v>1</v>
      </c>
      <c r="AH72">
        <v>107</v>
      </c>
      <c r="AI72">
        <v>2.0293837776852097</v>
      </c>
      <c r="AW72" s="738" t="s">
        <v>180</v>
      </c>
      <c r="AX72" s="738" t="s">
        <v>180</v>
      </c>
      <c r="AY72" t="s">
        <v>824</v>
      </c>
      <c r="AZ72">
        <v>1.1000000000000001</v>
      </c>
      <c r="BA72">
        <v>6.4</v>
      </c>
      <c r="BB72" s="749">
        <v>0.80617997398388719</v>
      </c>
      <c r="BC72">
        <v>1</v>
      </c>
      <c r="BD72">
        <v>320</v>
      </c>
      <c r="BE72" s="749">
        <v>2.5051499783199058</v>
      </c>
    </row>
    <row r="73" spans="1:57" x14ac:dyDescent="0.3">
      <c r="A73" s="536">
        <v>45322</v>
      </c>
      <c r="B73" s="438" t="s">
        <v>734</v>
      </c>
      <c r="C73" s="543" t="s">
        <v>544</v>
      </c>
      <c r="D73" s="544" t="s">
        <v>552</v>
      </c>
      <c r="E73" s="445" t="s">
        <v>588</v>
      </c>
      <c r="F73" s="445" t="s">
        <v>584</v>
      </c>
      <c r="G73" s="441" t="s">
        <v>559</v>
      </c>
      <c r="H73" s="545" t="s">
        <v>390</v>
      </c>
      <c r="I73" s="448" t="s">
        <v>528</v>
      </c>
      <c r="J73" s="547" t="s">
        <v>551</v>
      </c>
      <c r="K73" s="441" t="s">
        <v>531</v>
      </c>
      <c r="L73" s="442" t="s">
        <v>534</v>
      </c>
      <c r="M73" s="448" t="s">
        <v>531</v>
      </c>
      <c r="N73" s="445" t="s">
        <v>532</v>
      </c>
      <c r="O73" s="445" t="s">
        <v>571</v>
      </c>
      <c r="P73" s="445" t="s">
        <v>573</v>
      </c>
      <c r="Q73" s="458" t="s">
        <v>0</v>
      </c>
      <c r="R73" s="448" t="s">
        <v>519</v>
      </c>
      <c r="S73" s="511">
        <v>100</v>
      </c>
      <c r="T73" s="511" t="s">
        <v>0</v>
      </c>
      <c r="U73" s="442" t="s">
        <v>0</v>
      </c>
      <c r="V73" s="450" t="s">
        <v>0</v>
      </c>
      <c r="W73" s="451">
        <v>4.6100000000000003</v>
      </c>
      <c r="X73" s="452">
        <v>4.32</v>
      </c>
      <c r="Y73" s="442">
        <v>107.8759862</v>
      </c>
      <c r="Z73" s="448">
        <v>2</v>
      </c>
      <c r="AA73" s="410" t="s">
        <v>618</v>
      </c>
      <c r="AB73" t="s">
        <v>390</v>
      </c>
      <c r="AC73" t="s">
        <v>823</v>
      </c>
      <c r="AD73">
        <v>0.7</v>
      </c>
      <c r="AE73">
        <v>4.3</v>
      </c>
      <c r="AF73" s="767">
        <v>0.63346845557958653</v>
      </c>
      <c r="AG73">
        <v>1</v>
      </c>
      <c r="AH73">
        <v>214</v>
      </c>
      <c r="AI73">
        <v>2.330413773349191</v>
      </c>
      <c r="AW73" s="14" t="s">
        <v>181</v>
      </c>
      <c r="AX73" s="14" t="s">
        <v>181</v>
      </c>
      <c r="AY73" t="s">
        <v>824</v>
      </c>
      <c r="AZ73">
        <v>0</v>
      </c>
      <c r="BA73">
        <v>0</v>
      </c>
      <c r="BB73" s="749">
        <v>0</v>
      </c>
      <c r="BC73">
        <v>1</v>
      </c>
      <c r="BD73">
        <v>0</v>
      </c>
      <c r="BE73" s="749">
        <v>0</v>
      </c>
    </row>
    <row r="74" spans="1:57" x14ac:dyDescent="0.3">
      <c r="A74" s="536">
        <v>45322</v>
      </c>
      <c r="B74" s="438" t="s">
        <v>735</v>
      </c>
      <c r="C74" s="543" t="s">
        <v>544</v>
      </c>
      <c r="D74" s="544" t="s">
        <v>552</v>
      </c>
      <c r="E74" s="445" t="s">
        <v>588</v>
      </c>
      <c r="F74" s="445" t="s">
        <v>584</v>
      </c>
      <c r="G74" s="441" t="s">
        <v>559</v>
      </c>
      <c r="H74" s="545" t="s">
        <v>392</v>
      </c>
      <c r="I74" s="448" t="s">
        <v>520</v>
      </c>
      <c r="J74" s="548" t="s">
        <v>0</v>
      </c>
      <c r="K74" s="441" t="s">
        <v>531</v>
      </c>
      <c r="L74" s="442" t="s">
        <v>530</v>
      </c>
      <c r="M74" s="448" t="s">
        <v>531</v>
      </c>
      <c r="N74" s="445" t="s">
        <v>532</v>
      </c>
      <c r="O74" s="445" t="s">
        <v>571</v>
      </c>
      <c r="P74" s="445" t="s">
        <v>573</v>
      </c>
      <c r="Q74" s="458" t="s">
        <v>0</v>
      </c>
      <c r="R74" s="448" t="s">
        <v>519</v>
      </c>
      <c r="S74" s="511">
        <v>100</v>
      </c>
      <c r="T74" s="511" t="s">
        <v>0</v>
      </c>
      <c r="U74" s="442" t="s">
        <v>0</v>
      </c>
      <c r="V74" s="450" t="s">
        <v>0</v>
      </c>
      <c r="W74" s="451">
        <v>7.62</v>
      </c>
      <c r="X74" s="452">
        <v>7.13</v>
      </c>
      <c r="Y74" s="442">
        <v>178.31358979999999</v>
      </c>
      <c r="Z74" s="448">
        <v>2</v>
      </c>
      <c r="AA74" s="410" t="s">
        <v>619</v>
      </c>
      <c r="AB74" t="s">
        <v>392</v>
      </c>
      <c r="AC74" t="s">
        <v>824</v>
      </c>
      <c r="AD74">
        <v>0.4</v>
      </c>
      <c r="AE74">
        <v>2.1</v>
      </c>
      <c r="AF74" s="767">
        <v>0.3222192947339193</v>
      </c>
      <c r="AG74">
        <v>1</v>
      </c>
      <c r="AH74">
        <v>107</v>
      </c>
      <c r="AI74">
        <v>2.0293837776852097</v>
      </c>
      <c r="AW74" s="14" t="s">
        <v>542</v>
      </c>
      <c r="AX74" t="s">
        <v>808</v>
      </c>
      <c r="AY74" t="s">
        <v>824</v>
      </c>
      <c r="AZ74">
        <v>0</v>
      </c>
      <c r="BA74">
        <v>0</v>
      </c>
      <c r="BB74" s="749">
        <v>0</v>
      </c>
      <c r="BC74">
        <v>1</v>
      </c>
      <c r="BD74">
        <v>0</v>
      </c>
      <c r="BE74" s="749">
        <v>0</v>
      </c>
    </row>
    <row r="75" spans="1:57" x14ac:dyDescent="0.3">
      <c r="A75" s="536">
        <v>45322</v>
      </c>
      <c r="B75" s="438" t="s">
        <v>736</v>
      </c>
      <c r="C75" s="543" t="s">
        <v>544</v>
      </c>
      <c r="D75" s="544" t="s">
        <v>552</v>
      </c>
      <c r="E75" s="445" t="s">
        <v>588</v>
      </c>
      <c r="F75" s="445" t="s">
        <v>584</v>
      </c>
      <c r="G75" s="441" t="s">
        <v>559</v>
      </c>
      <c r="H75" s="545" t="s">
        <v>393</v>
      </c>
      <c r="I75" s="448" t="s">
        <v>520</v>
      </c>
      <c r="J75" s="548" t="s">
        <v>0</v>
      </c>
      <c r="K75" s="441" t="s">
        <v>531</v>
      </c>
      <c r="L75" s="442" t="s">
        <v>530</v>
      </c>
      <c r="M75" s="448" t="s">
        <v>531</v>
      </c>
      <c r="N75" s="445" t="s">
        <v>532</v>
      </c>
      <c r="O75" s="445" t="s">
        <v>571</v>
      </c>
      <c r="P75" s="445" t="s">
        <v>574</v>
      </c>
      <c r="Q75" s="458" t="s">
        <v>0</v>
      </c>
      <c r="R75" s="448" t="s">
        <v>519</v>
      </c>
      <c r="S75" s="511">
        <v>100</v>
      </c>
      <c r="T75" s="511" t="s">
        <v>0</v>
      </c>
      <c r="U75" s="442" t="s">
        <v>0</v>
      </c>
      <c r="V75" s="450" t="s">
        <v>0</v>
      </c>
      <c r="W75" s="451" t="s">
        <v>0</v>
      </c>
      <c r="X75" s="477" t="s">
        <v>0</v>
      </c>
      <c r="Y75" s="478" t="s">
        <v>0</v>
      </c>
      <c r="Z75" s="462">
        <v>2</v>
      </c>
      <c r="AA75" s="410" t="s">
        <v>619</v>
      </c>
      <c r="AB75" t="s">
        <v>393</v>
      </c>
      <c r="AC75" t="s">
        <v>824</v>
      </c>
      <c r="AD75">
        <v>0</v>
      </c>
      <c r="AE75">
        <v>0</v>
      </c>
      <c r="AF75" s="755">
        <v>0</v>
      </c>
      <c r="AG75">
        <v>1</v>
      </c>
      <c r="AH75">
        <v>0</v>
      </c>
      <c r="AI75">
        <v>0</v>
      </c>
      <c r="AW75" s="14" t="s">
        <v>543</v>
      </c>
      <c r="AX75" t="s">
        <v>809</v>
      </c>
      <c r="AY75" t="s">
        <v>824</v>
      </c>
      <c r="AZ75">
        <v>2.4</v>
      </c>
      <c r="BA75">
        <v>14.27</v>
      </c>
      <c r="BB75" s="749">
        <v>1.1544239731146468</v>
      </c>
      <c r="BC75">
        <v>1</v>
      </c>
      <c r="BD75">
        <v>714</v>
      </c>
      <c r="BE75" s="749">
        <v>2.8536982117761744</v>
      </c>
    </row>
    <row r="76" spans="1:57" x14ac:dyDescent="0.3">
      <c r="A76" s="536">
        <v>45322</v>
      </c>
      <c r="B76" s="438" t="s">
        <v>737</v>
      </c>
      <c r="C76" s="543" t="s">
        <v>544</v>
      </c>
      <c r="D76" s="549" t="s">
        <v>0</v>
      </c>
      <c r="E76" s="549" t="s">
        <v>0</v>
      </c>
      <c r="F76" s="549" t="s">
        <v>0</v>
      </c>
      <c r="G76" s="441" t="s">
        <v>559</v>
      </c>
      <c r="H76" s="545" t="s">
        <v>396</v>
      </c>
      <c r="I76" s="448" t="s">
        <v>521</v>
      </c>
      <c r="J76" s="548" t="s">
        <v>0</v>
      </c>
      <c r="K76" s="441" t="s">
        <v>531</v>
      </c>
      <c r="L76" s="442" t="s">
        <v>521</v>
      </c>
      <c r="M76" s="448" t="s">
        <v>532</v>
      </c>
      <c r="N76" s="445" t="s">
        <v>532</v>
      </c>
      <c r="O76" s="445" t="s">
        <v>571</v>
      </c>
      <c r="P76" s="445" t="s">
        <v>573</v>
      </c>
      <c r="Q76" s="458" t="s">
        <v>0</v>
      </c>
      <c r="R76" s="448" t="s">
        <v>0</v>
      </c>
      <c r="S76" s="511">
        <v>100</v>
      </c>
      <c r="T76" s="511" t="s">
        <v>0</v>
      </c>
      <c r="U76" s="442" t="s">
        <v>0</v>
      </c>
      <c r="V76" s="450" t="s">
        <v>0</v>
      </c>
      <c r="W76" s="451">
        <v>6.03</v>
      </c>
      <c r="X76" s="452">
        <v>5.65</v>
      </c>
      <c r="Y76" s="442">
        <v>141.20841680000001</v>
      </c>
      <c r="Z76" s="448">
        <v>2</v>
      </c>
      <c r="AA76" s="410" t="s">
        <v>620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X76" t="s">
        <v>810</v>
      </c>
      <c r="AY76" t="s">
        <v>815</v>
      </c>
      <c r="AZ76">
        <v>2.1</v>
      </c>
      <c r="BA76">
        <v>12.816000000000001</v>
      </c>
      <c r="BB76" s="749">
        <v>1.1077524987401626</v>
      </c>
      <c r="BC76">
        <v>1</v>
      </c>
      <c r="BD76">
        <v>641</v>
      </c>
      <c r="BE76" s="749">
        <v>2.8068580295188172</v>
      </c>
    </row>
    <row r="77" spans="1:57" ht="16.2" thickBot="1" x14ac:dyDescent="0.35">
      <c r="A77" s="538">
        <v>45322</v>
      </c>
      <c r="B77" s="539" t="s">
        <v>738</v>
      </c>
      <c r="C77" s="550" t="s">
        <v>544</v>
      </c>
      <c r="D77" s="551" t="s">
        <v>0</v>
      </c>
      <c r="E77" s="551" t="s">
        <v>0</v>
      </c>
      <c r="F77" s="551" t="s">
        <v>0</v>
      </c>
      <c r="G77" s="466" t="s">
        <v>559</v>
      </c>
      <c r="H77" s="552" t="s">
        <v>397</v>
      </c>
      <c r="I77" s="431" t="s">
        <v>521</v>
      </c>
      <c r="J77" s="553" t="s">
        <v>0</v>
      </c>
      <c r="K77" s="441" t="s">
        <v>531</v>
      </c>
      <c r="L77" s="492" t="s">
        <v>521</v>
      </c>
      <c r="M77" s="431" t="s">
        <v>532</v>
      </c>
      <c r="N77" s="554" t="s">
        <v>532</v>
      </c>
      <c r="O77" s="554" t="s">
        <v>571</v>
      </c>
      <c r="P77" s="554" t="s">
        <v>574</v>
      </c>
      <c r="Q77" s="428" t="s">
        <v>0</v>
      </c>
      <c r="R77" s="431" t="s">
        <v>0</v>
      </c>
      <c r="S77" s="511">
        <v>100</v>
      </c>
      <c r="T77" s="511" t="s">
        <v>0</v>
      </c>
      <c r="U77" s="442" t="s">
        <v>0</v>
      </c>
      <c r="V77" s="433" t="s">
        <v>0</v>
      </c>
      <c r="W77" s="434" t="s">
        <v>0</v>
      </c>
      <c r="X77" s="515" t="s">
        <v>0</v>
      </c>
      <c r="Y77" s="509" t="s">
        <v>0</v>
      </c>
      <c r="Z77" s="510">
        <v>2</v>
      </c>
      <c r="AA77" s="436" t="s">
        <v>620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X77" t="s">
        <v>810</v>
      </c>
      <c r="AY77" t="s">
        <v>815</v>
      </c>
      <c r="AZ77">
        <v>1.1000000000000001</v>
      </c>
      <c r="BA77">
        <v>6.6180000000000003</v>
      </c>
      <c r="BB77" s="749">
        <v>0.82072676282383428</v>
      </c>
      <c r="BC77">
        <v>1</v>
      </c>
      <c r="BD77">
        <v>331</v>
      </c>
      <c r="BE77" s="749">
        <v>2.5198279937757189</v>
      </c>
    </row>
    <row r="78" spans="1:57" x14ac:dyDescent="0.3">
      <c r="A78" s="437">
        <v>45324</v>
      </c>
      <c r="B78" s="438" t="s">
        <v>739</v>
      </c>
      <c r="C78" s="534" t="s">
        <v>547</v>
      </c>
      <c r="D78" s="440" t="s">
        <v>552</v>
      </c>
      <c r="E78" s="441" t="s">
        <v>588</v>
      </c>
      <c r="F78" s="441" t="s">
        <v>584</v>
      </c>
      <c r="G78" s="441" t="s">
        <v>560</v>
      </c>
      <c r="H78" s="464" t="s">
        <v>403</v>
      </c>
      <c r="I78" s="445" t="s">
        <v>526</v>
      </c>
      <c r="J78" s="463" t="s">
        <v>551</v>
      </c>
      <c r="K78" s="441" t="s">
        <v>531</v>
      </c>
      <c r="L78" s="441" t="s">
        <v>535</v>
      </c>
      <c r="M78" s="445" t="s">
        <v>531</v>
      </c>
      <c r="N78" s="441" t="s">
        <v>532</v>
      </c>
      <c r="O78" s="441" t="s">
        <v>570</v>
      </c>
      <c r="P78" s="441" t="s">
        <v>573</v>
      </c>
      <c r="Q78" s="442" t="s">
        <v>0</v>
      </c>
      <c r="R78" s="448" t="s">
        <v>519</v>
      </c>
      <c r="S78" s="511">
        <v>100</v>
      </c>
      <c r="T78" s="511" t="s">
        <v>0</v>
      </c>
      <c r="U78" s="442" t="s">
        <v>0</v>
      </c>
      <c r="V78" s="450" t="s">
        <v>0</v>
      </c>
      <c r="W78" s="451">
        <v>5.01</v>
      </c>
      <c r="X78" s="452">
        <v>4.6900000000000004</v>
      </c>
      <c r="Y78" s="442">
        <v>117.21756070000001</v>
      </c>
      <c r="Z78" s="448">
        <v>2</v>
      </c>
      <c r="AA78" s="410" t="s">
        <v>611</v>
      </c>
      <c r="AB78" t="s">
        <v>403</v>
      </c>
      <c r="AC78" t="s">
        <v>818</v>
      </c>
      <c r="AD78">
        <v>0.4</v>
      </c>
      <c r="AE78">
        <v>2.5</v>
      </c>
      <c r="AF78" s="767">
        <v>0.3979400086720376</v>
      </c>
      <c r="AG78">
        <v>1</v>
      </c>
      <c r="AH78">
        <v>62</v>
      </c>
      <c r="AI78">
        <v>1.7923916894982539</v>
      </c>
      <c r="AX78" t="s">
        <v>811</v>
      </c>
      <c r="AY78" t="s">
        <v>815</v>
      </c>
      <c r="AZ78">
        <v>0.4</v>
      </c>
      <c r="BA78">
        <v>2.1</v>
      </c>
      <c r="BB78" s="749">
        <v>0.3222192947339193</v>
      </c>
      <c r="BC78">
        <v>1</v>
      </c>
      <c r="BD78">
        <v>107</v>
      </c>
      <c r="BE78" s="749">
        <v>2.0293837776852097</v>
      </c>
    </row>
    <row r="79" spans="1:57" x14ac:dyDescent="0.3">
      <c r="A79" s="437">
        <v>45324</v>
      </c>
      <c r="B79" s="438" t="s">
        <v>740</v>
      </c>
      <c r="C79" s="534" t="s">
        <v>547</v>
      </c>
      <c r="D79" s="482" t="s">
        <v>596</v>
      </c>
      <c r="E79" s="441" t="s">
        <v>589</v>
      </c>
      <c r="F79" s="441" t="s">
        <v>585</v>
      </c>
      <c r="G79" s="441" t="s">
        <v>560</v>
      </c>
      <c r="H79" s="464" t="s">
        <v>415</v>
      </c>
      <c r="I79" s="445" t="s">
        <v>526</v>
      </c>
      <c r="J79" s="463" t="s">
        <v>551</v>
      </c>
      <c r="K79" s="441" t="s">
        <v>531</v>
      </c>
      <c r="L79" s="441" t="s">
        <v>535</v>
      </c>
      <c r="M79" s="441" t="s">
        <v>531</v>
      </c>
      <c r="N79" s="441" t="s">
        <v>532</v>
      </c>
      <c r="O79" s="441" t="s">
        <v>570</v>
      </c>
      <c r="P79" s="441" t="s">
        <v>573</v>
      </c>
      <c r="Q79" s="442" t="s">
        <v>0</v>
      </c>
      <c r="R79" s="448" t="s">
        <v>519</v>
      </c>
      <c r="S79" s="511">
        <v>100</v>
      </c>
      <c r="T79" s="511" t="s">
        <v>0</v>
      </c>
      <c r="U79" s="442" t="s">
        <v>0</v>
      </c>
      <c r="V79" s="450" t="s">
        <v>0</v>
      </c>
      <c r="W79" s="451">
        <v>10.5</v>
      </c>
      <c r="X79" s="452">
        <v>9.85</v>
      </c>
      <c r="Y79" s="442">
        <v>246.1934937</v>
      </c>
      <c r="Z79" s="448">
        <v>2</v>
      </c>
      <c r="AA79" s="410" t="s">
        <v>611</v>
      </c>
      <c r="AB79" t="s">
        <v>415</v>
      </c>
      <c r="AC79" t="s">
        <v>818</v>
      </c>
      <c r="AD79">
        <v>1.6</v>
      </c>
      <c r="AE79">
        <v>9.4</v>
      </c>
      <c r="AF79" s="767">
        <v>0.97312785359969867</v>
      </c>
      <c r="AG79">
        <v>1</v>
      </c>
      <c r="AH79">
        <v>235</v>
      </c>
      <c r="AI79">
        <v>2.3710678622717363</v>
      </c>
      <c r="AX79" t="s">
        <v>812</v>
      </c>
      <c r="AY79" t="s">
        <v>815</v>
      </c>
      <c r="AZ79">
        <v>0</v>
      </c>
      <c r="BA79">
        <v>0</v>
      </c>
      <c r="BB79" s="749">
        <v>0</v>
      </c>
      <c r="BC79">
        <v>1</v>
      </c>
      <c r="BD79">
        <v>0</v>
      </c>
      <c r="BE79" s="749">
        <v>0</v>
      </c>
    </row>
    <row r="80" spans="1:57" x14ac:dyDescent="0.3">
      <c r="A80" s="437">
        <v>45350</v>
      </c>
      <c r="B80" s="438" t="s">
        <v>741</v>
      </c>
      <c r="C80" s="501" t="s">
        <v>544</v>
      </c>
      <c r="D80" s="440" t="s">
        <v>552</v>
      </c>
      <c r="E80" s="441" t="s">
        <v>588</v>
      </c>
      <c r="F80" s="441" t="s">
        <v>584</v>
      </c>
      <c r="G80" s="441" t="s">
        <v>561</v>
      </c>
      <c r="H80" s="555" t="s">
        <v>436</v>
      </c>
      <c r="I80" s="441" t="s">
        <v>526</v>
      </c>
      <c r="J80" s="457" t="s">
        <v>550</v>
      </c>
      <c r="K80" s="441" t="s">
        <v>531</v>
      </c>
      <c r="L80" s="441" t="s">
        <v>535</v>
      </c>
      <c r="M80" s="441" t="s">
        <v>531</v>
      </c>
      <c r="N80" s="441" t="s">
        <v>532</v>
      </c>
      <c r="O80" s="441" t="s">
        <v>571</v>
      </c>
      <c r="P80" s="441" t="s">
        <v>573</v>
      </c>
      <c r="Q80" s="442" t="s">
        <v>0</v>
      </c>
      <c r="R80" s="448" t="s">
        <v>519</v>
      </c>
      <c r="S80" s="511">
        <v>400</v>
      </c>
      <c r="T80" s="511" t="s">
        <v>0</v>
      </c>
      <c r="U80" s="442" t="s">
        <v>0</v>
      </c>
      <c r="V80" s="450" t="s">
        <v>0</v>
      </c>
      <c r="W80" s="451">
        <v>13.8</v>
      </c>
      <c r="X80" s="452">
        <v>12.9</v>
      </c>
      <c r="Y80" s="442">
        <v>322.39846940000001</v>
      </c>
      <c r="Z80" s="448">
        <v>2</v>
      </c>
      <c r="AA80" s="410" t="s">
        <v>610</v>
      </c>
      <c r="AB80" t="s">
        <v>436</v>
      </c>
      <c r="AC80" t="s">
        <v>817</v>
      </c>
      <c r="AD80">
        <v>0.4</v>
      </c>
      <c r="AE80">
        <v>2.1</v>
      </c>
      <c r="AF80" s="767">
        <v>0.3222192947339193</v>
      </c>
      <c r="AG80">
        <v>1</v>
      </c>
      <c r="AH80">
        <v>107</v>
      </c>
      <c r="AI80">
        <v>2.0293837776852097</v>
      </c>
      <c r="AX80" t="s">
        <v>813</v>
      </c>
      <c r="AY80" t="s">
        <v>815</v>
      </c>
      <c r="AZ80">
        <v>0.7</v>
      </c>
      <c r="BA80">
        <v>4.3</v>
      </c>
      <c r="BB80" s="749">
        <v>0.63346845557958653</v>
      </c>
      <c r="BC80">
        <v>1</v>
      </c>
      <c r="BD80">
        <v>215</v>
      </c>
      <c r="BE80" s="749">
        <v>2.3324384599156054</v>
      </c>
    </row>
    <row r="81" spans="1:57" x14ac:dyDescent="0.3">
      <c r="A81" s="437">
        <v>45350</v>
      </c>
      <c r="B81" s="438" t="s">
        <v>742</v>
      </c>
      <c r="C81" s="501" t="s">
        <v>544</v>
      </c>
      <c r="D81" s="440" t="s">
        <v>552</v>
      </c>
      <c r="E81" s="441" t="s">
        <v>588</v>
      </c>
      <c r="F81" s="441" t="s">
        <v>584</v>
      </c>
      <c r="G81" s="441" t="s">
        <v>561</v>
      </c>
      <c r="H81" s="555" t="s">
        <v>438</v>
      </c>
      <c r="I81" s="445" t="s">
        <v>528</v>
      </c>
      <c r="J81" s="546" t="s">
        <v>550</v>
      </c>
      <c r="K81" s="441" t="s">
        <v>531</v>
      </c>
      <c r="L81" s="441" t="s">
        <v>534</v>
      </c>
      <c r="M81" s="441" t="s">
        <v>531</v>
      </c>
      <c r="N81" s="441" t="s">
        <v>531</v>
      </c>
      <c r="O81" s="441" t="s">
        <v>571</v>
      </c>
      <c r="P81" s="441" t="s">
        <v>573</v>
      </c>
      <c r="Q81" s="442" t="s">
        <v>0</v>
      </c>
      <c r="R81" s="448" t="s">
        <v>519</v>
      </c>
      <c r="S81" s="511">
        <v>400</v>
      </c>
      <c r="T81" s="511" t="s">
        <v>0</v>
      </c>
      <c r="U81" s="442" t="s">
        <v>0</v>
      </c>
      <c r="V81" s="450" t="s">
        <v>0</v>
      </c>
      <c r="W81" s="451">
        <v>32.1</v>
      </c>
      <c r="X81" s="452">
        <v>30.1</v>
      </c>
      <c r="Y81" s="442">
        <v>752.0106217</v>
      </c>
      <c r="Z81" s="448">
        <v>2</v>
      </c>
      <c r="AA81" s="410" t="s">
        <v>617</v>
      </c>
      <c r="AB81" t="s">
        <v>438</v>
      </c>
      <c r="AC81" t="s">
        <v>822</v>
      </c>
      <c r="AD81">
        <v>0</v>
      </c>
      <c r="AE81">
        <v>0</v>
      </c>
      <c r="AF81" s="767">
        <v>0</v>
      </c>
      <c r="AG81">
        <v>1</v>
      </c>
      <c r="AH81">
        <v>0</v>
      </c>
      <c r="AI81">
        <v>0</v>
      </c>
      <c r="AX81" t="s">
        <v>814</v>
      </c>
      <c r="AY81" t="s">
        <v>815</v>
      </c>
      <c r="AZ81">
        <v>0.4</v>
      </c>
      <c r="BA81">
        <v>2.1</v>
      </c>
      <c r="BB81" s="749">
        <v>0.3222192947339193</v>
      </c>
      <c r="BC81">
        <v>1</v>
      </c>
      <c r="BD81">
        <v>107</v>
      </c>
      <c r="BE81" s="749">
        <v>2.0293837776852097</v>
      </c>
    </row>
    <row r="82" spans="1:57" x14ac:dyDescent="0.3">
      <c r="A82" s="437">
        <v>45350</v>
      </c>
      <c r="B82" s="438" t="s">
        <v>743</v>
      </c>
      <c r="C82" s="501" t="s">
        <v>544</v>
      </c>
      <c r="D82" s="440" t="s">
        <v>552</v>
      </c>
      <c r="E82" s="441" t="s">
        <v>588</v>
      </c>
      <c r="F82" s="441" t="s">
        <v>584</v>
      </c>
      <c r="G82" s="441" t="s">
        <v>561</v>
      </c>
      <c r="H82" s="555" t="s">
        <v>439</v>
      </c>
      <c r="I82" s="445" t="s">
        <v>528</v>
      </c>
      <c r="J82" s="547" t="s">
        <v>551</v>
      </c>
      <c r="K82" s="441" t="s">
        <v>531</v>
      </c>
      <c r="L82" s="441" t="s">
        <v>534</v>
      </c>
      <c r="M82" s="441" t="s">
        <v>531</v>
      </c>
      <c r="N82" s="441" t="s">
        <v>531</v>
      </c>
      <c r="O82" s="441" t="s">
        <v>571</v>
      </c>
      <c r="P82" s="441" t="s">
        <v>573</v>
      </c>
      <c r="Q82" s="442" t="s">
        <v>0</v>
      </c>
      <c r="R82" s="448" t="s">
        <v>519</v>
      </c>
      <c r="S82" s="511">
        <v>400</v>
      </c>
      <c r="T82" s="511" t="s">
        <v>0</v>
      </c>
      <c r="U82" s="442" t="s">
        <v>0</v>
      </c>
      <c r="V82" s="450" t="s">
        <v>0</v>
      </c>
      <c r="W82" s="451">
        <v>16.399999999999999</v>
      </c>
      <c r="X82" s="452">
        <v>15.4</v>
      </c>
      <c r="Y82" s="442">
        <v>384.57403640000001</v>
      </c>
      <c r="Z82" s="448">
        <v>2</v>
      </c>
      <c r="AA82" s="410" t="s">
        <v>618</v>
      </c>
      <c r="AB82" t="s">
        <v>439</v>
      </c>
      <c r="AC82" t="s">
        <v>823</v>
      </c>
      <c r="AD82">
        <v>0.4</v>
      </c>
      <c r="AE82">
        <v>2.1</v>
      </c>
      <c r="AF82" s="767">
        <v>0.3222192947339193</v>
      </c>
      <c r="AG82">
        <v>1</v>
      </c>
      <c r="AH82">
        <v>107</v>
      </c>
      <c r="AI82">
        <v>2.0293837776852097</v>
      </c>
      <c r="AX82" t="s">
        <v>815</v>
      </c>
      <c r="AY82" t="s">
        <v>815</v>
      </c>
      <c r="AZ82">
        <v>0</v>
      </c>
      <c r="BA82">
        <v>0</v>
      </c>
      <c r="BB82" s="749">
        <v>0</v>
      </c>
      <c r="BC82">
        <v>1</v>
      </c>
      <c r="BD82">
        <v>0</v>
      </c>
      <c r="BE82" s="749">
        <v>0</v>
      </c>
    </row>
    <row r="83" spans="1:57" x14ac:dyDescent="0.3">
      <c r="A83" s="437">
        <v>45350</v>
      </c>
      <c r="B83" s="438" t="s">
        <v>744</v>
      </c>
      <c r="C83" s="501" t="s">
        <v>544</v>
      </c>
      <c r="D83" s="440" t="s">
        <v>552</v>
      </c>
      <c r="E83" s="441" t="s">
        <v>588</v>
      </c>
      <c r="F83" s="441" t="s">
        <v>584</v>
      </c>
      <c r="G83" s="441" t="s">
        <v>561</v>
      </c>
      <c r="H83" s="555" t="s">
        <v>440</v>
      </c>
      <c r="I83" s="445" t="s">
        <v>526</v>
      </c>
      <c r="J83" s="547" t="s">
        <v>551</v>
      </c>
      <c r="K83" s="441" t="s">
        <v>531</v>
      </c>
      <c r="L83" s="441" t="s">
        <v>535</v>
      </c>
      <c r="M83" s="441" t="s">
        <v>531</v>
      </c>
      <c r="N83" s="441" t="s">
        <v>532</v>
      </c>
      <c r="O83" s="441" t="s">
        <v>571</v>
      </c>
      <c r="P83" s="441" t="s">
        <v>573</v>
      </c>
      <c r="Q83" s="442" t="s">
        <v>0</v>
      </c>
      <c r="R83" s="448" t="s">
        <v>519</v>
      </c>
      <c r="S83" s="511">
        <v>400</v>
      </c>
      <c r="T83" s="511" t="s">
        <v>0</v>
      </c>
      <c r="U83" s="442" t="s">
        <v>0</v>
      </c>
      <c r="V83" s="450" t="s">
        <v>0</v>
      </c>
      <c r="W83" s="451">
        <v>28</v>
      </c>
      <c r="X83" s="452">
        <v>26.2</v>
      </c>
      <c r="Y83" s="442">
        <v>655.90324580000004</v>
      </c>
      <c r="Z83" s="448">
        <v>2</v>
      </c>
      <c r="AA83" s="410" t="s">
        <v>611</v>
      </c>
      <c r="AB83" t="s">
        <v>440</v>
      </c>
      <c r="AC83" t="s">
        <v>818</v>
      </c>
      <c r="AD83">
        <v>0</v>
      </c>
      <c r="AE83">
        <v>0</v>
      </c>
      <c r="AF83" s="767">
        <v>0</v>
      </c>
      <c r="AG83">
        <v>1</v>
      </c>
      <c r="AH83">
        <v>0</v>
      </c>
      <c r="AI83">
        <v>0</v>
      </c>
      <c r="AX83" t="s">
        <v>815</v>
      </c>
      <c r="AY83" t="s">
        <v>815</v>
      </c>
      <c r="AZ83">
        <v>0</v>
      </c>
      <c r="BA83">
        <v>0</v>
      </c>
      <c r="BB83" s="749">
        <v>0</v>
      </c>
      <c r="BC83">
        <v>1</v>
      </c>
      <c r="BD83">
        <v>0</v>
      </c>
      <c r="BE83" s="749">
        <v>0</v>
      </c>
    </row>
    <row r="84" spans="1:57" x14ac:dyDescent="0.3">
      <c r="A84" s="437">
        <v>45350</v>
      </c>
      <c r="B84" s="438" t="s">
        <v>745</v>
      </c>
      <c r="C84" s="501" t="s">
        <v>544</v>
      </c>
      <c r="D84" s="440" t="s">
        <v>552</v>
      </c>
      <c r="E84" s="441" t="s">
        <v>588</v>
      </c>
      <c r="F84" s="441" t="s">
        <v>584</v>
      </c>
      <c r="G84" s="441" t="s">
        <v>561</v>
      </c>
      <c r="H84" s="555" t="s">
        <v>442</v>
      </c>
      <c r="I84" s="445" t="s">
        <v>520</v>
      </c>
      <c r="J84" s="465" t="s">
        <v>0</v>
      </c>
      <c r="K84" s="441" t="s">
        <v>531</v>
      </c>
      <c r="L84" s="441" t="s">
        <v>530</v>
      </c>
      <c r="M84" s="441" t="s">
        <v>531</v>
      </c>
      <c r="N84" s="441" t="s">
        <v>531</v>
      </c>
      <c r="O84" s="441" t="s">
        <v>571</v>
      </c>
      <c r="P84" s="441" t="s">
        <v>573</v>
      </c>
      <c r="Q84" s="442" t="s">
        <v>0</v>
      </c>
      <c r="R84" s="448" t="s">
        <v>519</v>
      </c>
      <c r="S84" s="511">
        <v>400</v>
      </c>
      <c r="T84" s="511" t="s">
        <v>0</v>
      </c>
      <c r="U84" s="442" t="s">
        <v>0</v>
      </c>
      <c r="V84" s="450" t="s">
        <v>0</v>
      </c>
      <c r="W84" s="451" t="s">
        <v>0</v>
      </c>
      <c r="X84" s="477" t="s">
        <v>0</v>
      </c>
      <c r="Y84" s="478" t="s">
        <v>0</v>
      </c>
      <c r="Z84" s="462">
        <v>2</v>
      </c>
      <c r="AA84" s="410" t="s">
        <v>619</v>
      </c>
      <c r="AB84" t="s">
        <v>442</v>
      </c>
      <c r="AC84" t="s">
        <v>824</v>
      </c>
      <c r="AD84">
        <v>0.4</v>
      </c>
      <c r="AE84">
        <v>2.1</v>
      </c>
      <c r="AF84" s="767">
        <v>0.3222192947339193</v>
      </c>
      <c r="AG84">
        <v>1</v>
      </c>
      <c r="AH84">
        <v>107</v>
      </c>
      <c r="AI84">
        <v>2.0293837776852097</v>
      </c>
    </row>
    <row r="85" spans="1:57" x14ac:dyDescent="0.3">
      <c r="A85" s="437">
        <v>45350</v>
      </c>
      <c r="B85" s="438" t="s">
        <v>746</v>
      </c>
      <c r="C85" s="501" t="s">
        <v>544</v>
      </c>
      <c r="D85" s="440" t="s">
        <v>552</v>
      </c>
      <c r="E85" s="441" t="s">
        <v>588</v>
      </c>
      <c r="F85" s="441" t="s">
        <v>584</v>
      </c>
      <c r="G85" s="441" t="s">
        <v>561</v>
      </c>
      <c r="H85" s="555" t="s">
        <v>443</v>
      </c>
      <c r="I85" s="445" t="s">
        <v>520</v>
      </c>
      <c r="J85" s="465" t="s">
        <v>0</v>
      </c>
      <c r="K85" s="441" t="s">
        <v>531</v>
      </c>
      <c r="L85" s="441" t="s">
        <v>530</v>
      </c>
      <c r="M85" s="441" t="s">
        <v>531</v>
      </c>
      <c r="N85" s="441" t="s">
        <v>531</v>
      </c>
      <c r="O85" s="441" t="s">
        <v>571</v>
      </c>
      <c r="P85" s="441" t="s">
        <v>574</v>
      </c>
      <c r="Q85" s="442" t="s">
        <v>0</v>
      </c>
      <c r="R85" s="448" t="s">
        <v>519</v>
      </c>
      <c r="S85" s="511">
        <v>400</v>
      </c>
      <c r="T85" s="511" t="s">
        <v>0</v>
      </c>
      <c r="U85" s="442" t="s">
        <v>0</v>
      </c>
      <c r="V85" s="450" t="s">
        <v>0</v>
      </c>
      <c r="W85" s="451">
        <v>25.5</v>
      </c>
      <c r="X85" s="452">
        <v>23.9</v>
      </c>
      <c r="Y85" s="442">
        <v>596.37641289999999</v>
      </c>
      <c r="Z85" s="448">
        <v>2</v>
      </c>
      <c r="AA85" s="410" t="s">
        <v>619</v>
      </c>
      <c r="AB85" t="s">
        <v>443</v>
      </c>
      <c r="AC85" t="s">
        <v>824</v>
      </c>
      <c r="AD85">
        <v>0</v>
      </c>
      <c r="AE85">
        <v>0</v>
      </c>
      <c r="AF85" s="767">
        <v>0</v>
      </c>
      <c r="AG85">
        <v>1</v>
      </c>
      <c r="AH85">
        <v>0</v>
      </c>
      <c r="AI85">
        <v>0</v>
      </c>
    </row>
    <row r="86" spans="1:57" x14ac:dyDescent="0.3">
      <c r="A86" s="437">
        <v>45352</v>
      </c>
      <c r="B86" s="438" t="s">
        <v>747</v>
      </c>
      <c r="C86" s="501" t="s">
        <v>544</v>
      </c>
      <c r="D86" s="440" t="s">
        <v>552</v>
      </c>
      <c r="E86" s="441" t="s">
        <v>588</v>
      </c>
      <c r="F86" s="441" t="s">
        <v>584</v>
      </c>
      <c r="G86" s="441" t="s">
        <v>562</v>
      </c>
      <c r="H86" s="464" t="s">
        <v>478</v>
      </c>
      <c r="I86" s="441" t="s">
        <v>526</v>
      </c>
      <c r="J86" s="457" t="s">
        <v>550</v>
      </c>
      <c r="K86" s="441" t="s">
        <v>531</v>
      </c>
      <c r="L86" s="441" t="s">
        <v>535</v>
      </c>
      <c r="M86" s="441" t="s">
        <v>531</v>
      </c>
      <c r="N86" s="441" t="s">
        <v>532</v>
      </c>
      <c r="O86" s="441" t="s">
        <v>571</v>
      </c>
      <c r="P86" s="441" t="s">
        <v>573</v>
      </c>
      <c r="Q86" s="442" t="s">
        <v>0</v>
      </c>
      <c r="R86" s="448" t="s">
        <v>519</v>
      </c>
      <c r="S86" s="511">
        <v>400</v>
      </c>
      <c r="T86" s="511" t="s">
        <v>0</v>
      </c>
      <c r="U86" s="442" t="s">
        <v>0</v>
      </c>
      <c r="V86" s="450" t="s">
        <v>0</v>
      </c>
      <c r="W86" s="451">
        <v>10.8</v>
      </c>
      <c r="X86" s="452">
        <v>10.1</v>
      </c>
      <c r="Y86" s="466">
        <v>252.423271</v>
      </c>
      <c r="Z86" s="448">
        <v>2</v>
      </c>
      <c r="AA86" s="410" t="s">
        <v>610</v>
      </c>
      <c r="AB86" t="s">
        <v>478</v>
      </c>
      <c r="AC86" t="s">
        <v>817</v>
      </c>
      <c r="AD86">
        <v>0</v>
      </c>
      <c r="AE86">
        <v>0</v>
      </c>
      <c r="AF86" s="767">
        <v>0</v>
      </c>
      <c r="AG86">
        <v>1</v>
      </c>
      <c r="AH86">
        <v>0</v>
      </c>
      <c r="AI86">
        <v>0</v>
      </c>
    </row>
    <row r="87" spans="1:57" x14ac:dyDescent="0.3">
      <c r="A87" s="437">
        <v>45352</v>
      </c>
      <c r="B87" s="438" t="s">
        <v>748</v>
      </c>
      <c r="C87" s="501" t="s">
        <v>544</v>
      </c>
      <c r="D87" s="440" t="s">
        <v>552</v>
      </c>
      <c r="E87" s="441" t="s">
        <v>588</v>
      </c>
      <c r="F87" s="441" t="s">
        <v>584</v>
      </c>
      <c r="G87" s="441" t="s">
        <v>562</v>
      </c>
      <c r="H87" s="464" t="s">
        <v>481</v>
      </c>
      <c r="I87" s="441" t="s">
        <v>520</v>
      </c>
      <c r="J87" s="465" t="s">
        <v>0</v>
      </c>
      <c r="K87" s="441" t="s">
        <v>531</v>
      </c>
      <c r="L87" s="441" t="s">
        <v>530</v>
      </c>
      <c r="M87" s="441" t="s">
        <v>531</v>
      </c>
      <c r="N87" s="441" t="s">
        <v>532</v>
      </c>
      <c r="O87" s="441" t="s">
        <v>571</v>
      </c>
      <c r="P87" s="445" t="s">
        <v>573</v>
      </c>
      <c r="Q87" s="442" t="s">
        <v>0</v>
      </c>
      <c r="R87" s="448" t="s">
        <v>519</v>
      </c>
      <c r="S87" s="511">
        <v>400</v>
      </c>
      <c r="T87" s="511" t="s">
        <v>0</v>
      </c>
      <c r="U87" s="442" t="s">
        <v>0</v>
      </c>
      <c r="V87" s="450" t="s">
        <v>0</v>
      </c>
      <c r="W87" s="451" t="s">
        <v>0</v>
      </c>
      <c r="X87" s="477" t="s">
        <v>0</v>
      </c>
      <c r="Y87" s="461" t="s">
        <v>0</v>
      </c>
      <c r="Z87" s="462">
        <v>2</v>
      </c>
      <c r="AA87" s="410" t="s">
        <v>619</v>
      </c>
      <c r="AB87" t="s">
        <v>481</v>
      </c>
      <c r="AC87" t="s">
        <v>824</v>
      </c>
      <c r="AD87">
        <v>1.1000000000000001</v>
      </c>
      <c r="AE87">
        <v>6.4</v>
      </c>
      <c r="AF87" s="767">
        <v>0.80617997398388719</v>
      </c>
      <c r="AG87">
        <v>1</v>
      </c>
      <c r="AH87">
        <v>321</v>
      </c>
      <c r="AI87">
        <v>2.5065050324048719</v>
      </c>
    </row>
    <row r="88" spans="1:57" x14ac:dyDescent="0.3">
      <c r="A88" s="437">
        <v>45352</v>
      </c>
      <c r="B88" s="438" t="s">
        <v>749</v>
      </c>
      <c r="C88" s="501" t="s">
        <v>544</v>
      </c>
      <c r="D88" s="440" t="s">
        <v>552</v>
      </c>
      <c r="E88" s="441" t="s">
        <v>588</v>
      </c>
      <c r="F88" s="441" t="s">
        <v>584</v>
      </c>
      <c r="G88" s="441" t="s">
        <v>562</v>
      </c>
      <c r="H88" s="555" t="s">
        <v>485</v>
      </c>
      <c r="I88" s="441" t="s">
        <v>528</v>
      </c>
      <c r="J88" s="463" t="s">
        <v>551</v>
      </c>
      <c r="K88" s="441" t="s">
        <v>531</v>
      </c>
      <c r="L88" s="441" t="s">
        <v>534</v>
      </c>
      <c r="M88" s="441" t="s">
        <v>531</v>
      </c>
      <c r="N88" s="441" t="s">
        <v>531</v>
      </c>
      <c r="O88" s="441" t="s">
        <v>571</v>
      </c>
      <c r="P88" s="445" t="s">
        <v>573</v>
      </c>
      <c r="Q88" s="442" t="s">
        <v>0</v>
      </c>
      <c r="R88" s="448" t="s">
        <v>519</v>
      </c>
      <c r="S88" s="511">
        <v>400</v>
      </c>
      <c r="T88" s="511" t="s">
        <v>0</v>
      </c>
      <c r="U88" s="442" t="s">
        <v>0</v>
      </c>
      <c r="V88" s="450" t="s">
        <v>0</v>
      </c>
      <c r="W88" s="451">
        <v>8.7799999999999994</v>
      </c>
      <c r="X88" s="452">
        <v>8.2200000000000006</v>
      </c>
      <c r="Y88" s="458">
        <v>205.5253352</v>
      </c>
      <c r="Z88" s="448">
        <v>2</v>
      </c>
      <c r="AA88" s="410" t="s">
        <v>618</v>
      </c>
      <c r="AB88" t="s">
        <v>485</v>
      </c>
      <c r="AC88" t="s">
        <v>823</v>
      </c>
      <c r="AD88">
        <v>0.4</v>
      </c>
      <c r="AE88">
        <v>2.1</v>
      </c>
      <c r="AF88" s="767">
        <v>0.3222192947339193</v>
      </c>
      <c r="AG88">
        <v>1</v>
      </c>
      <c r="AH88">
        <v>107</v>
      </c>
      <c r="AI88">
        <v>2.0293837776852097</v>
      </c>
    </row>
    <row r="89" spans="1:57" x14ac:dyDescent="0.3">
      <c r="A89" s="437">
        <v>45352</v>
      </c>
      <c r="B89" s="438" t="s">
        <v>750</v>
      </c>
      <c r="C89" s="501" t="s">
        <v>544</v>
      </c>
      <c r="D89" s="440" t="s">
        <v>552</v>
      </c>
      <c r="E89" s="441" t="s">
        <v>588</v>
      </c>
      <c r="F89" s="441" t="s">
        <v>584</v>
      </c>
      <c r="G89" s="441" t="s">
        <v>562</v>
      </c>
      <c r="H89" s="555" t="s">
        <v>486</v>
      </c>
      <c r="I89" s="441" t="s">
        <v>520</v>
      </c>
      <c r="J89" s="465" t="s">
        <v>0</v>
      </c>
      <c r="K89" s="441" t="s">
        <v>531</v>
      </c>
      <c r="L89" s="441" t="s">
        <v>530</v>
      </c>
      <c r="M89" s="441" t="s">
        <v>531</v>
      </c>
      <c r="N89" s="441" t="s">
        <v>532</v>
      </c>
      <c r="O89" s="441" t="s">
        <v>571</v>
      </c>
      <c r="P89" s="441" t="s">
        <v>574</v>
      </c>
      <c r="Q89" s="442" t="s">
        <v>0</v>
      </c>
      <c r="R89" s="448" t="s">
        <v>519</v>
      </c>
      <c r="S89" s="511">
        <v>400</v>
      </c>
      <c r="T89" s="511" t="s">
        <v>0</v>
      </c>
      <c r="U89" s="442" t="s">
        <v>0</v>
      </c>
      <c r="V89" s="450" t="s">
        <v>0</v>
      </c>
      <c r="W89" s="451" t="s">
        <v>0</v>
      </c>
      <c r="X89" s="477" t="s">
        <v>0</v>
      </c>
      <c r="Y89" s="461" t="s">
        <v>0</v>
      </c>
      <c r="Z89" s="462">
        <v>2</v>
      </c>
      <c r="AA89" s="410" t="s">
        <v>619</v>
      </c>
      <c r="AB89" t="s">
        <v>486</v>
      </c>
      <c r="AC89" t="s">
        <v>824</v>
      </c>
      <c r="AD89">
        <v>0.4</v>
      </c>
      <c r="AE89">
        <v>2.2000000000000002</v>
      </c>
      <c r="AF89" s="767">
        <v>0.34242268082220628</v>
      </c>
      <c r="AG89">
        <v>1</v>
      </c>
      <c r="AH89">
        <v>109</v>
      </c>
      <c r="AI89">
        <v>2.0374264979406238</v>
      </c>
    </row>
    <row r="90" spans="1:57" ht="16.2" thickBot="1" x14ac:dyDescent="0.35">
      <c r="A90" s="538">
        <v>45352</v>
      </c>
      <c r="B90" s="539" t="s">
        <v>751</v>
      </c>
      <c r="C90" s="550" t="s">
        <v>544</v>
      </c>
      <c r="D90" s="551" t="s">
        <v>0</v>
      </c>
      <c r="E90" s="551" t="s">
        <v>0</v>
      </c>
      <c r="F90" s="551" t="s">
        <v>0</v>
      </c>
      <c r="G90" s="554" t="s">
        <v>562</v>
      </c>
      <c r="H90" s="556" t="s">
        <v>595</v>
      </c>
      <c r="I90" s="554" t="s">
        <v>521</v>
      </c>
      <c r="J90" s="553" t="s">
        <v>0</v>
      </c>
      <c r="K90" s="554" t="s">
        <v>531</v>
      </c>
      <c r="L90" s="554" t="s">
        <v>521</v>
      </c>
      <c r="M90" s="554" t="s">
        <v>532</v>
      </c>
      <c r="N90" s="554" t="s">
        <v>532</v>
      </c>
      <c r="O90" s="554" t="s">
        <v>571</v>
      </c>
      <c r="P90" s="554" t="s">
        <v>573</v>
      </c>
      <c r="Q90" s="554" t="s">
        <v>0</v>
      </c>
      <c r="R90" s="554" t="s">
        <v>0</v>
      </c>
      <c r="S90" s="557">
        <v>100</v>
      </c>
      <c r="T90" s="557" t="s">
        <v>0</v>
      </c>
      <c r="U90" s="554" t="s">
        <v>0</v>
      </c>
      <c r="V90" s="557" t="s">
        <v>0</v>
      </c>
      <c r="W90" s="434" t="s">
        <v>0</v>
      </c>
      <c r="X90" s="515" t="s">
        <v>0</v>
      </c>
      <c r="Y90" s="509" t="s">
        <v>0</v>
      </c>
      <c r="Z90" s="510">
        <v>2</v>
      </c>
      <c r="AA90" s="436" t="s">
        <v>620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</row>
    <row r="91" spans="1:57" x14ac:dyDescent="0.3">
      <c r="H91" t="s">
        <v>811</v>
      </c>
      <c r="AA91" s="752" t="s">
        <v>835</v>
      </c>
      <c r="AB91" t="s">
        <v>815</v>
      </c>
      <c r="AC91" t="s">
        <v>815</v>
      </c>
      <c r="AD91">
        <v>2.1</v>
      </c>
      <c r="AE91">
        <v>12.816000000000001</v>
      </c>
      <c r="AF91" s="767">
        <v>1.1077524987401626</v>
      </c>
      <c r="AG91">
        <v>1</v>
      </c>
      <c r="AH91">
        <v>641</v>
      </c>
      <c r="AI91" s="749">
        <v>2.8068580295188172</v>
      </c>
    </row>
    <row r="92" spans="1:57" x14ac:dyDescent="0.3">
      <c r="H92" t="s">
        <v>812</v>
      </c>
      <c r="AA92" s="752" t="s">
        <v>835</v>
      </c>
      <c r="AB92" t="s">
        <v>810</v>
      </c>
      <c r="AC92" t="s">
        <v>815</v>
      </c>
      <c r="AD92">
        <v>1.1000000000000001</v>
      </c>
      <c r="AE92">
        <v>6.6180000000000003</v>
      </c>
      <c r="AF92" s="767">
        <v>0.82072676282383428</v>
      </c>
      <c r="AG92">
        <v>1</v>
      </c>
      <c r="AH92">
        <v>331</v>
      </c>
      <c r="AI92" s="749">
        <v>2.5198279937757189</v>
      </c>
    </row>
    <row r="93" spans="1:57" x14ac:dyDescent="0.3">
      <c r="H93" t="s">
        <v>813</v>
      </c>
      <c r="AA93" s="752" t="s">
        <v>835</v>
      </c>
      <c r="AB93" t="s">
        <v>811</v>
      </c>
      <c r="AC93" t="s">
        <v>815</v>
      </c>
      <c r="AD93">
        <v>0.4</v>
      </c>
      <c r="AE93">
        <v>2.1</v>
      </c>
      <c r="AF93" s="767">
        <v>0.3222192947339193</v>
      </c>
      <c r="AG93">
        <v>1</v>
      </c>
      <c r="AH93">
        <v>107</v>
      </c>
      <c r="AI93" s="749">
        <v>2.0293837776852097</v>
      </c>
    </row>
    <row r="94" spans="1:57" x14ac:dyDescent="0.3">
      <c r="H94" t="s">
        <v>814</v>
      </c>
      <c r="AA94" s="752" t="s">
        <v>835</v>
      </c>
      <c r="AB94" t="s">
        <v>812</v>
      </c>
      <c r="AC94" t="s">
        <v>815</v>
      </c>
      <c r="AD94">
        <v>0</v>
      </c>
      <c r="AE94">
        <v>0</v>
      </c>
      <c r="AF94" s="767">
        <v>0</v>
      </c>
      <c r="AG94">
        <v>1</v>
      </c>
      <c r="AH94">
        <v>0</v>
      </c>
      <c r="AI94" s="749">
        <v>0</v>
      </c>
    </row>
    <row r="95" spans="1:57" x14ac:dyDescent="0.3">
      <c r="H95" t="s">
        <v>831</v>
      </c>
      <c r="AA95" s="752" t="s">
        <v>835</v>
      </c>
      <c r="AB95" t="s">
        <v>813</v>
      </c>
      <c r="AC95" t="s">
        <v>815</v>
      </c>
      <c r="AD95">
        <v>0.7</v>
      </c>
      <c r="AE95">
        <v>4.3</v>
      </c>
      <c r="AF95" s="767">
        <v>0.63346845557958653</v>
      </c>
      <c r="AG95">
        <v>1</v>
      </c>
      <c r="AH95">
        <v>215</v>
      </c>
      <c r="AI95" s="749">
        <v>2.3324384599156054</v>
      </c>
    </row>
    <row r="96" spans="1:57" x14ac:dyDescent="0.3">
      <c r="H96" t="s">
        <v>832</v>
      </c>
      <c r="AA96" s="752" t="s">
        <v>835</v>
      </c>
      <c r="AB96" t="s">
        <v>814</v>
      </c>
      <c r="AC96" t="s">
        <v>815</v>
      </c>
      <c r="AD96">
        <v>0.4</v>
      </c>
      <c r="AE96">
        <v>2.1</v>
      </c>
      <c r="AF96" s="767">
        <v>0.3222192947339193</v>
      </c>
      <c r="AG96">
        <v>1</v>
      </c>
      <c r="AH96">
        <v>107</v>
      </c>
      <c r="AI96" s="749">
        <v>2.0293837776852097</v>
      </c>
    </row>
    <row r="97" spans="8:35" x14ac:dyDescent="0.3">
      <c r="H97" t="s">
        <v>833</v>
      </c>
      <c r="AA97" s="752" t="s">
        <v>835</v>
      </c>
      <c r="AB97" t="s">
        <v>815</v>
      </c>
      <c r="AC97" t="s">
        <v>815</v>
      </c>
      <c r="AD97">
        <v>0</v>
      </c>
      <c r="AE97">
        <v>0</v>
      </c>
      <c r="AF97" s="767">
        <v>0</v>
      </c>
      <c r="AG97">
        <v>1</v>
      </c>
      <c r="AH97">
        <v>0</v>
      </c>
      <c r="AI97" s="749">
        <v>0</v>
      </c>
    </row>
    <row r="98" spans="8:35" x14ac:dyDescent="0.3">
      <c r="H98" t="s">
        <v>834</v>
      </c>
      <c r="AA98" s="752" t="s">
        <v>835</v>
      </c>
      <c r="AB98" t="s">
        <v>815</v>
      </c>
      <c r="AC98" t="s">
        <v>815</v>
      </c>
      <c r="AD98">
        <v>0</v>
      </c>
      <c r="AE98">
        <v>0</v>
      </c>
      <c r="AF98" s="767">
        <v>0</v>
      </c>
      <c r="AG98">
        <v>1</v>
      </c>
      <c r="AH98">
        <v>0</v>
      </c>
      <c r="AI98" s="749">
        <v>0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12CE-5542-3948-B1AA-96F9DB9364C1}">
  <dimension ref="A1:AF72"/>
  <sheetViews>
    <sheetView topLeftCell="V1" workbookViewId="0">
      <selection activeCell="AI1" sqref="AI1:AS1048576"/>
    </sheetView>
  </sheetViews>
  <sheetFormatPr defaultColWidth="11.19921875" defaultRowHeight="15.6" x14ac:dyDescent="0.3"/>
  <cols>
    <col min="1" max="1" width="10.5" bestFit="1" customWidth="1"/>
    <col min="2" max="2" width="14.5" bestFit="1" customWidth="1"/>
    <col min="3" max="3" width="17.296875" customWidth="1"/>
    <col min="4" max="4" width="8.19921875" bestFit="1" customWidth="1"/>
    <col min="5" max="5" width="22.69921875" customWidth="1"/>
    <col min="6" max="6" width="20.296875" customWidth="1"/>
    <col min="8" max="8" width="17.19921875" customWidth="1"/>
    <col min="9" max="9" width="18.5" bestFit="1" customWidth="1"/>
    <col min="10" max="10" width="15" bestFit="1" customWidth="1"/>
    <col min="11" max="11" width="15.19921875" customWidth="1"/>
    <col min="12" max="12" width="16" customWidth="1"/>
    <col min="13" max="13" width="15" customWidth="1"/>
    <col min="14" max="14" width="23" customWidth="1"/>
    <col min="15" max="15" width="17.19921875" customWidth="1"/>
    <col min="17" max="17" width="13.69921875" customWidth="1"/>
    <col min="18" max="18" width="19.5" customWidth="1"/>
    <col min="19" max="19" width="22.296875" customWidth="1"/>
    <col min="20" max="20" width="15.19921875" customWidth="1"/>
    <col min="21" max="22" width="17.796875" customWidth="1"/>
    <col min="23" max="23" width="18.296875" customWidth="1"/>
    <col min="24" max="24" width="21" customWidth="1"/>
    <col min="25" max="25" width="22.5" customWidth="1"/>
    <col min="27" max="27" width="38" bestFit="1" customWidth="1"/>
    <col min="28" max="28" width="17" bestFit="1" customWidth="1"/>
  </cols>
  <sheetData>
    <row r="1" spans="1:32" ht="31.8" thickBot="1" x14ac:dyDescent="0.35">
      <c r="A1" s="143" t="s">
        <v>3</v>
      </c>
      <c r="B1" s="187" t="s">
        <v>579</v>
      </c>
      <c r="C1" s="92" t="s">
        <v>578</v>
      </c>
      <c r="D1" s="92" t="s">
        <v>489</v>
      </c>
      <c r="E1" s="92" t="s">
        <v>586</v>
      </c>
      <c r="F1" s="92" t="s">
        <v>587</v>
      </c>
      <c r="G1" s="93" t="s">
        <v>492</v>
      </c>
      <c r="H1" s="92" t="s">
        <v>580</v>
      </c>
      <c r="I1" s="93" t="s">
        <v>516</v>
      </c>
      <c r="J1" s="92" t="s">
        <v>494</v>
      </c>
      <c r="K1" s="93" t="s">
        <v>515</v>
      </c>
      <c r="L1" s="558" t="s">
        <v>4</v>
      </c>
      <c r="M1" s="93" t="s">
        <v>594</v>
      </c>
      <c r="N1" s="93" t="s">
        <v>581</v>
      </c>
      <c r="O1" s="93" t="s">
        <v>513</v>
      </c>
      <c r="P1" s="93" t="s">
        <v>493</v>
      </c>
      <c r="Q1" s="93" t="s">
        <v>495</v>
      </c>
      <c r="R1" s="112" t="s">
        <v>582</v>
      </c>
      <c r="S1" s="174" t="s">
        <v>583</v>
      </c>
      <c r="T1" s="192" t="s">
        <v>540</v>
      </c>
      <c r="U1" s="371" t="s">
        <v>491</v>
      </c>
      <c r="V1" s="390" t="s">
        <v>490</v>
      </c>
      <c r="W1" s="286" t="s">
        <v>590</v>
      </c>
      <c r="X1" s="413" t="s">
        <v>604</v>
      </c>
      <c r="Y1" s="288" t="s">
        <v>605</v>
      </c>
      <c r="Z1" s="413" t="s">
        <v>643</v>
      </c>
      <c r="AA1" s="414" t="s">
        <v>609</v>
      </c>
      <c r="AB1" s="756" t="s">
        <v>837</v>
      </c>
      <c r="AC1" s="757" t="s">
        <v>825</v>
      </c>
      <c r="AD1" s="757" t="s">
        <v>826</v>
      </c>
      <c r="AE1" s="757" t="s">
        <v>838</v>
      </c>
      <c r="AF1" s="757" t="s">
        <v>828</v>
      </c>
    </row>
    <row r="2" spans="1:32" x14ac:dyDescent="0.3">
      <c r="A2" s="147">
        <v>45264</v>
      </c>
      <c r="B2" s="188">
        <v>114</v>
      </c>
      <c r="C2" s="71" t="s">
        <v>549</v>
      </c>
      <c r="D2" s="30" t="s">
        <v>552</v>
      </c>
      <c r="E2" s="28" t="s">
        <v>588</v>
      </c>
      <c r="F2" s="28" t="s">
        <v>584</v>
      </c>
      <c r="G2" s="72" t="s">
        <v>565</v>
      </c>
      <c r="H2" s="320" t="s">
        <v>116</v>
      </c>
      <c r="I2" s="72" t="s">
        <v>517</v>
      </c>
      <c r="J2" s="73" t="s">
        <v>0</v>
      </c>
      <c r="K2" s="28" t="s">
        <v>531</v>
      </c>
      <c r="L2" s="89" t="s">
        <v>593</v>
      </c>
      <c r="M2" s="72" t="s">
        <v>532</v>
      </c>
      <c r="N2" s="72" t="s">
        <v>532</v>
      </c>
      <c r="O2" s="72" t="s">
        <v>570</v>
      </c>
      <c r="P2" s="72" t="s">
        <v>573</v>
      </c>
      <c r="Q2" s="72" t="s">
        <v>0</v>
      </c>
      <c r="R2" s="117" t="s">
        <v>519</v>
      </c>
      <c r="S2" s="176">
        <v>100</v>
      </c>
      <c r="T2" s="164" t="s">
        <v>0</v>
      </c>
      <c r="U2" s="72" t="s">
        <v>576</v>
      </c>
      <c r="V2" s="392">
        <v>200</v>
      </c>
      <c r="W2" s="209">
        <v>124.13193575673051</v>
      </c>
      <c r="X2" s="209">
        <v>116.19015091185568</v>
      </c>
      <c r="Y2" s="206">
        <v>2904.7537727963918</v>
      </c>
      <c r="Z2" s="117" t="s">
        <v>648</v>
      </c>
      <c r="AA2" s="404" t="s">
        <v>627</v>
      </c>
      <c r="AB2" t="s">
        <v>116</v>
      </c>
      <c r="AC2">
        <v>1.7</v>
      </c>
      <c r="AD2">
        <v>10.07</v>
      </c>
      <c r="AE2" s="755">
        <v>10.07</v>
      </c>
      <c r="AF2">
        <v>1</v>
      </c>
    </row>
    <row r="3" spans="1:32" x14ac:dyDescent="0.3">
      <c r="A3" s="145">
        <v>45264</v>
      </c>
      <c r="B3" s="189">
        <v>115</v>
      </c>
      <c r="C3" s="70" t="s">
        <v>549</v>
      </c>
      <c r="D3" s="10" t="s">
        <v>552</v>
      </c>
      <c r="E3" s="2" t="s">
        <v>588</v>
      </c>
      <c r="F3" s="2" t="s">
        <v>584</v>
      </c>
      <c r="G3" s="67" t="s">
        <v>565</v>
      </c>
      <c r="H3" s="14" t="s">
        <v>117</v>
      </c>
      <c r="I3" s="67" t="s">
        <v>517</v>
      </c>
      <c r="J3" s="9" t="s">
        <v>0</v>
      </c>
      <c r="K3" s="2" t="s">
        <v>531</v>
      </c>
      <c r="L3" s="67" t="s">
        <v>593</v>
      </c>
      <c r="M3" s="67" t="s">
        <v>532</v>
      </c>
      <c r="N3" s="67" t="s">
        <v>532</v>
      </c>
      <c r="O3" s="67" t="s">
        <v>570</v>
      </c>
      <c r="P3" s="67" t="s">
        <v>573</v>
      </c>
      <c r="Q3" s="67" t="s">
        <v>0</v>
      </c>
      <c r="R3" s="110" t="s">
        <v>519</v>
      </c>
      <c r="S3" s="172">
        <v>100</v>
      </c>
      <c r="T3" s="165" t="s">
        <v>0</v>
      </c>
      <c r="U3" s="67" t="s">
        <v>576</v>
      </c>
      <c r="V3" s="391">
        <v>2000</v>
      </c>
      <c r="W3" s="208">
        <v>1313.7077109680808</v>
      </c>
      <c r="X3" s="208">
        <v>1229.6585585403923</v>
      </c>
      <c r="Y3" s="206">
        <v>30741.463963509806</v>
      </c>
      <c r="Z3" s="110" t="s">
        <v>648</v>
      </c>
      <c r="AA3" s="394" t="s">
        <v>628</v>
      </c>
      <c r="AB3" t="s">
        <v>117</v>
      </c>
      <c r="AC3">
        <v>13</v>
      </c>
      <c r="AD3">
        <v>77.900000000000006</v>
      </c>
      <c r="AE3" s="755">
        <v>77.900000000000006</v>
      </c>
      <c r="AF3">
        <v>1</v>
      </c>
    </row>
    <row r="4" spans="1:32" x14ac:dyDescent="0.3">
      <c r="A4" s="145">
        <v>45264</v>
      </c>
      <c r="B4" s="189">
        <v>116</v>
      </c>
      <c r="C4" s="70" t="s">
        <v>549</v>
      </c>
      <c r="D4" s="10" t="s">
        <v>552</v>
      </c>
      <c r="E4" s="2" t="s">
        <v>588</v>
      </c>
      <c r="F4" s="2" t="s">
        <v>584</v>
      </c>
      <c r="G4" s="67" t="s">
        <v>565</v>
      </c>
      <c r="H4" s="14" t="s">
        <v>118</v>
      </c>
      <c r="I4" s="67" t="s">
        <v>517</v>
      </c>
      <c r="J4" s="9" t="s">
        <v>0</v>
      </c>
      <c r="K4" s="2" t="s">
        <v>531</v>
      </c>
      <c r="L4" s="67" t="s">
        <v>593</v>
      </c>
      <c r="M4" s="67" t="s">
        <v>532</v>
      </c>
      <c r="N4" s="67" t="s">
        <v>532</v>
      </c>
      <c r="O4" s="67" t="s">
        <v>570</v>
      </c>
      <c r="P4" s="67" t="s">
        <v>574</v>
      </c>
      <c r="Q4" s="67" t="s">
        <v>0</v>
      </c>
      <c r="R4" s="110" t="s">
        <v>519</v>
      </c>
      <c r="S4" s="172">
        <v>100</v>
      </c>
      <c r="T4" s="165" t="s">
        <v>0</v>
      </c>
      <c r="U4" s="67" t="s">
        <v>576</v>
      </c>
      <c r="V4" s="391">
        <v>2000</v>
      </c>
      <c r="W4" s="208">
        <v>1665.5416193602384</v>
      </c>
      <c r="X4" s="208">
        <v>1558.9826334674704</v>
      </c>
      <c r="Y4" s="206">
        <v>38974.565836686765</v>
      </c>
      <c r="Z4" s="110" t="s">
        <v>648</v>
      </c>
      <c r="AA4" s="394" t="s">
        <v>628</v>
      </c>
      <c r="AB4" t="s">
        <v>118</v>
      </c>
      <c r="AC4">
        <v>15.4</v>
      </c>
      <c r="AD4">
        <v>92.42</v>
      </c>
      <c r="AE4" s="755">
        <v>92.42</v>
      </c>
      <c r="AF4">
        <v>1</v>
      </c>
    </row>
    <row r="5" spans="1:32" x14ac:dyDescent="0.3">
      <c r="A5" s="145">
        <v>45264</v>
      </c>
      <c r="B5" s="189">
        <v>117</v>
      </c>
      <c r="C5" s="70" t="s">
        <v>549</v>
      </c>
      <c r="D5" s="10" t="s">
        <v>552</v>
      </c>
      <c r="E5" s="2" t="s">
        <v>588</v>
      </c>
      <c r="F5" s="2" t="s">
        <v>584</v>
      </c>
      <c r="G5" s="67" t="s">
        <v>565</v>
      </c>
      <c r="H5" s="14" t="s">
        <v>119</v>
      </c>
      <c r="I5" s="67" t="s">
        <v>517</v>
      </c>
      <c r="J5" s="9" t="s">
        <v>0</v>
      </c>
      <c r="K5" s="2" t="s">
        <v>531</v>
      </c>
      <c r="L5" s="67" t="s">
        <v>593</v>
      </c>
      <c r="M5" s="67" t="s">
        <v>532</v>
      </c>
      <c r="N5" s="67" t="s">
        <v>532</v>
      </c>
      <c r="O5" s="67" t="s">
        <v>570</v>
      </c>
      <c r="P5" s="67" t="s">
        <v>573</v>
      </c>
      <c r="Q5" s="67" t="s">
        <v>0</v>
      </c>
      <c r="R5" s="110" t="s">
        <v>519</v>
      </c>
      <c r="S5" s="172">
        <v>100</v>
      </c>
      <c r="T5" s="165" t="s">
        <v>0</v>
      </c>
      <c r="U5" s="67" t="s">
        <v>576</v>
      </c>
      <c r="V5" s="391">
        <v>20000</v>
      </c>
      <c r="W5" s="208">
        <v>31426.418914506768</v>
      </c>
      <c r="X5" s="208">
        <v>29415.801292680262</v>
      </c>
      <c r="Y5" s="206">
        <v>735395.03231700673</v>
      </c>
      <c r="Z5" s="110" t="s">
        <v>648</v>
      </c>
      <c r="AA5" s="394" t="s">
        <v>650</v>
      </c>
      <c r="AB5" t="s">
        <v>119</v>
      </c>
      <c r="AC5">
        <v>598.4</v>
      </c>
      <c r="AD5">
        <v>3590.6</v>
      </c>
      <c r="AE5" s="755">
        <v>3590.6</v>
      </c>
      <c r="AF5">
        <v>1</v>
      </c>
    </row>
    <row r="6" spans="1:32" x14ac:dyDescent="0.3">
      <c r="A6" s="145">
        <v>45264</v>
      </c>
      <c r="B6" s="188">
        <v>118</v>
      </c>
      <c r="C6" s="70" t="s">
        <v>549</v>
      </c>
      <c r="D6" s="10" t="s">
        <v>552</v>
      </c>
      <c r="E6" s="2" t="s">
        <v>588</v>
      </c>
      <c r="F6" s="2" t="s">
        <v>584</v>
      </c>
      <c r="G6" s="67" t="s">
        <v>565</v>
      </c>
      <c r="H6" s="14" t="s">
        <v>120</v>
      </c>
      <c r="I6" s="67" t="s">
        <v>517</v>
      </c>
      <c r="J6" s="9" t="s">
        <v>0</v>
      </c>
      <c r="K6" s="2" t="s">
        <v>531</v>
      </c>
      <c r="L6" s="67" t="s">
        <v>593</v>
      </c>
      <c r="M6" s="67" t="s">
        <v>532</v>
      </c>
      <c r="N6" s="67" t="s">
        <v>532</v>
      </c>
      <c r="O6" s="67" t="s">
        <v>570</v>
      </c>
      <c r="P6" s="67" t="s">
        <v>574</v>
      </c>
      <c r="Q6" s="67" t="s">
        <v>0</v>
      </c>
      <c r="R6" s="110" t="s">
        <v>519</v>
      </c>
      <c r="S6" s="172">
        <v>100</v>
      </c>
      <c r="T6" s="165" t="s">
        <v>0</v>
      </c>
      <c r="U6" s="67" t="s">
        <v>576</v>
      </c>
      <c r="V6" s="391">
        <v>20000</v>
      </c>
      <c r="W6" s="208">
        <v>23302.92356497348</v>
      </c>
      <c r="X6" s="208">
        <v>21812.035631248909</v>
      </c>
      <c r="Y6" s="206">
        <v>545300.89078122284</v>
      </c>
      <c r="Z6" s="110" t="s">
        <v>648</v>
      </c>
      <c r="AA6" s="394" t="s">
        <v>650</v>
      </c>
      <c r="AB6" t="s">
        <v>120</v>
      </c>
      <c r="AC6">
        <v>148.9</v>
      </c>
      <c r="AD6">
        <v>893.4</v>
      </c>
      <c r="AE6" s="755">
        <v>893.4</v>
      </c>
      <c r="AF6">
        <v>1</v>
      </c>
    </row>
    <row r="7" spans="1:32" x14ac:dyDescent="0.3">
      <c r="A7" s="145">
        <v>45264</v>
      </c>
      <c r="B7" s="189">
        <v>119</v>
      </c>
      <c r="C7" s="70" t="s">
        <v>549</v>
      </c>
      <c r="D7" s="10" t="s">
        <v>552</v>
      </c>
      <c r="E7" s="2" t="s">
        <v>588</v>
      </c>
      <c r="F7" s="2" t="s">
        <v>584</v>
      </c>
      <c r="G7" s="79" t="s">
        <v>565</v>
      </c>
      <c r="H7" s="14" t="s">
        <v>121</v>
      </c>
      <c r="I7" s="67" t="s">
        <v>517</v>
      </c>
      <c r="J7" s="9" t="s">
        <v>0</v>
      </c>
      <c r="K7" s="2" t="s">
        <v>531</v>
      </c>
      <c r="L7" s="67" t="s">
        <v>593</v>
      </c>
      <c r="M7" s="67" t="s">
        <v>532</v>
      </c>
      <c r="N7" s="79" t="s">
        <v>532</v>
      </c>
      <c r="O7" s="79" t="s">
        <v>570</v>
      </c>
      <c r="P7" s="79" t="s">
        <v>573</v>
      </c>
      <c r="Q7" s="67" t="s">
        <v>0</v>
      </c>
      <c r="R7" s="110" t="s">
        <v>519</v>
      </c>
      <c r="S7" s="172">
        <v>100</v>
      </c>
      <c r="T7" s="165" t="s">
        <v>0</v>
      </c>
      <c r="U7" s="67" t="s">
        <v>576</v>
      </c>
      <c r="V7" s="391">
        <v>200000</v>
      </c>
      <c r="W7" s="208">
        <v>471136.85449638817</v>
      </c>
      <c r="X7" s="208">
        <v>440994.18808188708</v>
      </c>
      <c r="Y7" s="206">
        <v>11024854.702047177</v>
      </c>
      <c r="Z7" s="110" t="s">
        <v>648</v>
      </c>
      <c r="AA7" s="394" t="s">
        <v>651</v>
      </c>
      <c r="AB7" t="s">
        <v>121</v>
      </c>
      <c r="AC7">
        <v>563.29999999999995</v>
      </c>
      <c r="AD7">
        <v>3379.8</v>
      </c>
      <c r="AE7" s="755">
        <v>33798</v>
      </c>
      <c r="AF7">
        <v>10</v>
      </c>
    </row>
    <row r="8" spans="1:32" x14ac:dyDescent="0.3">
      <c r="A8" s="145">
        <v>45264</v>
      </c>
      <c r="B8" s="189">
        <v>120</v>
      </c>
      <c r="C8" s="70" t="s">
        <v>549</v>
      </c>
      <c r="D8" s="10" t="s">
        <v>552</v>
      </c>
      <c r="E8" s="2" t="s">
        <v>588</v>
      </c>
      <c r="F8" s="2" t="s">
        <v>584</v>
      </c>
      <c r="G8" s="67" t="s">
        <v>565</v>
      </c>
      <c r="H8" s="14" t="s">
        <v>122</v>
      </c>
      <c r="I8" s="67" t="s">
        <v>517</v>
      </c>
      <c r="J8" s="9" t="s">
        <v>0</v>
      </c>
      <c r="K8" s="2" t="s">
        <v>531</v>
      </c>
      <c r="L8" s="67" t="s">
        <v>593</v>
      </c>
      <c r="M8" s="67" t="s">
        <v>532</v>
      </c>
      <c r="N8" s="67" t="s">
        <v>532</v>
      </c>
      <c r="O8" s="67" t="s">
        <v>570</v>
      </c>
      <c r="P8" s="67" t="s">
        <v>574</v>
      </c>
      <c r="Q8" s="67" t="s">
        <v>0</v>
      </c>
      <c r="R8" s="110" t="s">
        <v>519</v>
      </c>
      <c r="S8" s="172">
        <v>100</v>
      </c>
      <c r="T8" s="165" t="s">
        <v>0</v>
      </c>
      <c r="U8" s="67" t="s">
        <v>576</v>
      </c>
      <c r="V8" s="391">
        <v>200000</v>
      </c>
      <c r="W8" s="208">
        <v>511075.0294211689</v>
      </c>
      <c r="X8" s="208">
        <v>478377.17533142533</v>
      </c>
      <c r="Y8" s="206">
        <v>11959429.383285632</v>
      </c>
      <c r="Z8" s="110" t="s">
        <v>648</v>
      </c>
      <c r="AA8" s="394" t="s">
        <v>651</v>
      </c>
      <c r="AB8" t="s">
        <v>122</v>
      </c>
      <c r="AC8">
        <v>685.1</v>
      </c>
      <c r="AD8">
        <v>4110.6000000000004</v>
      </c>
      <c r="AE8" s="755">
        <v>41106</v>
      </c>
      <c r="AF8">
        <v>10</v>
      </c>
    </row>
    <row r="9" spans="1:32" x14ac:dyDescent="0.3">
      <c r="A9" s="145">
        <v>45264</v>
      </c>
      <c r="B9" s="189">
        <v>121</v>
      </c>
      <c r="C9" s="70" t="s">
        <v>549</v>
      </c>
      <c r="D9" s="10" t="s">
        <v>552</v>
      </c>
      <c r="E9" s="2" t="s">
        <v>588</v>
      </c>
      <c r="F9" s="2" t="s">
        <v>584</v>
      </c>
      <c r="G9" s="67" t="s">
        <v>565</v>
      </c>
      <c r="H9" s="14" t="s">
        <v>123</v>
      </c>
      <c r="I9" s="67" t="s">
        <v>517</v>
      </c>
      <c r="J9" s="9" t="s">
        <v>0</v>
      </c>
      <c r="K9" s="2" t="s">
        <v>531</v>
      </c>
      <c r="L9" s="2" t="s">
        <v>593</v>
      </c>
      <c r="M9" s="67" t="s">
        <v>532</v>
      </c>
      <c r="N9" s="67" t="s">
        <v>532</v>
      </c>
      <c r="O9" s="67" t="s">
        <v>570</v>
      </c>
      <c r="P9" s="67" t="s">
        <v>573</v>
      </c>
      <c r="Q9" s="67" t="s">
        <v>0</v>
      </c>
      <c r="R9" s="110" t="s">
        <v>519</v>
      </c>
      <c r="S9" s="172">
        <v>100</v>
      </c>
      <c r="T9" s="165" t="s">
        <v>0</v>
      </c>
      <c r="U9" s="67" t="s">
        <v>576</v>
      </c>
      <c r="V9" s="391">
        <v>2000000</v>
      </c>
      <c r="W9" s="208">
        <v>6215358.6768247485</v>
      </c>
      <c r="X9" s="208">
        <v>5817708.8613751279</v>
      </c>
      <c r="Y9" s="206">
        <v>145442721.5343782</v>
      </c>
      <c r="Z9" s="110" t="s">
        <v>648</v>
      </c>
      <c r="AA9" s="394" t="s">
        <v>652</v>
      </c>
      <c r="AB9" t="s">
        <v>123</v>
      </c>
      <c r="AC9">
        <v>670.4</v>
      </c>
      <c r="AD9">
        <v>4022.4</v>
      </c>
      <c r="AE9" s="755">
        <v>1206720</v>
      </c>
      <c r="AF9">
        <v>300</v>
      </c>
    </row>
    <row r="10" spans="1:32" x14ac:dyDescent="0.3">
      <c r="A10" s="145">
        <v>45264</v>
      </c>
      <c r="B10" s="189">
        <v>122</v>
      </c>
      <c r="C10" s="70" t="s">
        <v>549</v>
      </c>
      <c r="D10" s="10" t="s">
        <v>552</v>
      </c>
      <c r="E10" s="2" t="s">
        <v>588</v>
      </c>
      <c r="F10" s="2" t="s">
        <v>584</v>
      </c>
      <c r="G10" s="67" t="s">
        <v>565</v>
      </c>
      <c r="H10" s="14" t="s">
        <v>124</v>
      </c>
      <c r="I10" s="67" t="s">
        <v>517</v>
      </c>
      <c r="J10" s="9" t="s">
        <v>0</v>
      </c>
      <c r="K10" s="2" t="s">
        <v>531</v>
      </c>
      <c r="L10" s="2" t="s">
        <v>593</v>
      </c>
      <c r="M10" s="67" t="s">
        <v>532</v>
      </c>
      <c r="N10" s="67" t="s">
        <v>532</v>
      </c>
      <c r="O10" s="67" t="s">
        <v>570</v>
      </c>
      <c r="P10" s="67" t="s">
        <v>574</v>
      </c>
      <c r="Q10" s="67" t="s">
        <v>0</v>
      </c>
      <c r="R10" s="110" t="s">
        <v>519</v>
      </c>
      <c r="S10" s="172">
        <v>100</v>
      </c>
      <c r="T10" s="165" t="s">
        <v>0</v>
      </c>
      <c r="U10" s="67" t="s">
        <v>576</v>
      </c>
      <c r="V10" s="391">
        <v>2000000</v>
      </c>
      <c r="W10" s="208">
        <v>9865093.4274191279</v>
      </c>
      <c r="X10" s="208">
        <v>9233938.7692923732</v>
      </c>
      <c r="Y10" s="206">
        <v>230848469.23230934</v>
      </c>
      <c r="Z10" s="110" t="s">
        <v>648</v>
      </c>
      <c r="AA10" s="394" t="s">
        <v>652</v>
      </c>
      <c r="AB10" t="s">
        <v>124</v>
      </c>
      <c r="AC10">
        <v>638.1</v>
      </c>
      <c r="AD10">
        <v>3828.6</v>
      </c>
      <c r="AE10" s="755">
        <v>1914300</v>
      </c>
      <c r="AF10">
        <v>500</v>
      </c>
    </row>
    <row r="11" spans="1:32" x14ac:dyDescent="0.3">
      <c r="A11" s="145">
        <v>45264</v>
      </c>
      <c r="B11" s="189">
        <v>123</v>
      </c>
      <c r="C11" s="70" t="s">
        <v>549</v>
      </c>
      <c r="D11" s="10" t="s">
        <v>552</v>
      </c>
      <c r="E11" s="2" t="s">
        <v>588</v>
      </c>
      <c r="F11" s="2" t="s">
        <v>584</v>
      </c>
      <c r="G11" s="79" t="s">
        <v>565</v>
      </c>
      <c r="H11" s="14" t="s">
        <v>125</v>
      </c>
      <c r="I11" s="67" t="s">
        <v>525</v>
      </c>
      <c r="J11" s="9" t="s">
        <v>0</v>
      </c>
      <c r="K11" s="2" t="s">
        <v>531</v>
      </c>
      <c r="L11" s="2" t="s">
        <v>533</v>
      </c>
      <c r="M11" s="67" t="s">
        <v>532</v>
      </c>
      <c r="N11" s="67" t="s">
        <v>532</v>
      </c>
      <c r="O11" s="67" t="s">
        <v>570</v>
      </c>
      <c r="P11" s="79" t="s">
        <v>573</v>
      </c>
      <c r="Q11" s="67" t="s">
        <v>0</v>
      </c>
      <c r="R11" s="110" t="s">
        <v>0</v>
      </c>
      <c r="S11" s="172">
        <v>100</v>
      </c>
      <c r="T11" s="165" t="s">
        <v>0</v>
      </c>
      <c r="U11" s="67" t="s">
        <v>0</v>
      </c>
      <c r="V11" s="208" t="s">
        <v>0</v>
      </c>
      <c r="W11" s="208">
        <v>127.31538221500598</v>
      </c>
      <c r="X11" s="208">
        <v>119.16992498975074</v>
      </c>
      <c r="Y11" s="206">
        <v>2979.2481247437686</v>
      </c>
      <c r="Z11" s="110" t="s">
        <v>646</v>
      </c>
      <c r="AA11" s="393" t="s">
        <v>649</v>
      </c>
      <c r="AB11" t="s">
        <v>125</v>
      </c>
      <c r="AC11">
        <v>0.1</v>
      </c>
      <c r="AD11">
        <v>0.78</v>
      </c>
      <c r="AE11" s="755">
        <v>0.78</v>
      </c>
      <c r="AF11">
        <v>1</v>
      </c>
    </row>
    <row r="12" spans="1:32" x14ac:dyDescent="0.3">
      <c r="A12" s="145">
        <v>45264</v>
      </c>
      <c r="B12" s="189">
        <v>124</v>
      </c>
      <c r="C12" s="70" t="s">
        <v>549</v>
      </c>
      <c r="D12" s="35" t="s">
        <v>596</v>
      </c>
      <c r="E12" s="2" t="s">
        <v>589</v>
      </c>
      <c r="F12" s="2" t="s">
        <v>585</v>
      </c>
      <c r="G12" s="67" t="s">
        <v>565</v>
      </c>
      <c r="H12" s="332" t="s">
        <v>126</v>
      </c>
      <c r="I12" s="67" t="s">
        <v>517</v>
      </c>
      <c r="J12" s="9" t="s">
        <v>0</v>
      </c>
      <c r="K12" s="2" t="s">
        <v>531</v>
      </c>
      <c r="L12" s="67" t="s">
        <v>593</v>
      </c>
      <c r="M12" s="67" t="s">
        <v>532</v>
      </c>
      <c r="N12" s="67" t="s">
        <v>532</v>
      </c>
      <c r="O12" s="67" t="s">
        <v>570</v>
      </c>
      <c r="P12" s="67" t="s">
        <v>573</v>
      </c>
      <c r="Q12" s="67" t="s">
        <v>0</v>
      </c>
      <c r="R12" s="110" t="s">
        <v>519</v>
      </c>
      <c r="S12" s="172">
        <v>100</v>
      </c>
      <c r="T12" s="165" t="s">
        <v>0</v>
      </c>
      <c r="U12" s="67" t="s">
        <v>576</v>
      </c>
      <c r="V12" s="391">
        <v>200</v>
      </c>
      <c r="W12" s="238">
        <v>1497.4968209011502</v>
      </c>
      <c r="X12" s="208">
        <v>1401.6891024040494</v>
      </c>
      <c r="Y12" s="206">
        <v>35042.227560101244</v>
      </c>
      <c r="Z12" s="110" t="s">
        <v>658</v>
      </c>
      <c r="AA12" s="393" t="s">
        <v>653</v>
      </c>
      <c r="AB12" t="s">
        <v>126</v>
      </c>
      <c r="AC12">
        <v>32.799999999999997</v>
      </c>
      <c r="AD12">
        <v>196.78</v>
      </c>
      <c r="AE12" s="755">
        <v>196.78</v>
      </c>
      <c r="AF12">
        <v>1</v>
      </c>
    </row>
    <row r="13" spans="1:32" x14ac:dyDescent="0.3">
      <c r="A13" s="145">
        <v>45264</v>
      </c>
      <c r="B13" s="189">
        <v>125</v>
      </c>
      <c r="C13" s="70" t="s">
        <v>549</v>
      </c>
      <c r="D13" s="35" t="s">
        <v>596</v>
      </c>
      <c r="E13" s="2" t="s">
        <v>589</v>
      </c>
      <c r="F13" s="2" t="s">
        <v>585</v>
      </c>
      <c r="G13" s="67" t="s">
        <v>565</v>
      </c>
      <c r="H13" s="332" t="s">
        <v>127</v>
      </c>
      <c r="I13" s="67" t="s">
        <v>517</v>
      </c>
      <c r="J13" s="9" t="s">
        <v>0</v>
      </c>
      <c r="K13" s="2" t="s">
        <v>531</v>
      </c>
      <c r="L13" s="67" t="s">
        <v>593</v>
      </c>
      <c r="M13" s="67" t="s">
        <v>532</v>
      </c>
      <c r="N13" s="67" t="s">
        <v>532</v>
      </c>
      <c r="O13" s="67" t="s">
        <v>570</v>
      </c>
      <c r="P13" s="67" t="s">
        <v>573</v>
      </c>
      <c r="Q13" s="67" t="s">
        <v>0</v>
      </c>
      <c r="R13" s="110" t="s">
        <v>519</v>
      </c>
      <c r="S13" s="172">
        <v>100</v>
      </c>
      <c r="T13" s="165" t="s">
        <v>0</v>
      </c>
      <c r="U13" s="67" t="s">
        <v>576</v>
      </c>
      <c r="V13" s="391">
        <v>2000</v>
      </c>
      <c r="W13" s="238">
        <v>11174.742332640406</v>
      </c>
      <c r="X13" s="208">
        <v>10459.798198709643</v>
      </c>
      <c r="Y13" s="206">
        <v>261494.9549677411</v>
      </c>
      <c r="Z13" s="110" t="s">
        <v>658</v>
      </c>
      <c r="AA13" s="394" t="s">
        <v>654</v>
      </c>
      <c r="AB13" t="s">
        <v>127</v>
      </c>
      <c r="AC13">
        <v>209.8</v>
      </c>
      <c r="AD13">
        <v>1258.5999999999999</v>
      </c>
      <c r="AE13" s="755">
        <v>1258.5999999999999</v>
      </c>
      <c r="AF13">
        <v>1</v>
      </c>
    </row>
    <row r="14" spans="1:32" x14ac:dyDescent="0.3">
      <c r="A14" s="145">
        <v>45264</v>
      </c>
      <c r="B14" s="189">
        <v>126</v>
      </c>
      <c r="C14" s="70" t="s">
        <v>549</v>
      </c>
      <c r="D14" s="35" t="s">
        <v>596</v>
      </c>
      <c r="E14" s="2" t="s">
        <v>589</v>
      </c>
      <c r="F14" s="2" t="s">
        <v>585</v>
      </c>
      <c r="G14" s="67" t="s">
        <v>565</v>
      </c>
      <c r="H14" s="332" t="s">
        <v>128</v>
      </c>
      <c r="I14" s="67" t="s">
        <v>517</v>
      </c>
      <c r="J14" s="9" t="s">
        <v>0</v>
      </c>
      <c r="K14" s="2" t="s">
        <v>531</v>
      </c>
      <c r="L14" s="67" t="s">
        <v>593</v>
      </c>
      <c r="M14" s="67" t="s">
        <v>532</v>
      </c>
      <c r="N14" s="67" t="s">
        <v>532</v>
      </c>
      <c r="O14" s="67" t="s">
        <v>570</v>
      </c>
      <c r="P14" s="67" t="s">
        <v>574</v>
      </c>
      <c r="Q14" s="67" t="s">
        <v>0</v>
      </c>
      <c r="R14" s="110" t="s">
        <v>519</v>
      </c>
      <c r="S14" s="172">
        <v>100</v>
      </c>
      <c r="T14" s="165" t="s">
        <v>0</v>
      </c>
      <c r="U14" s="67" t="s">
        <v>576</v>
      </c>
      <c r="V14" s="391">
        <v>2000</v>
      </c>
      <c r="W14" s="238">
        <v>16181.972300713087</v>
      </c>
      <c r="X14" s="208">
        <v>15146.672709237737</v>
      </c>
      <c r="Y14" s="206">
        <v>378666.8177309435</v>
      </c>
      <c r="Z14" s="110" t="s">
        <v>658</v>
      </c>
      <c r="AA14" s="394" t="s">
        <v>654</v>
      </c>
      <c r="AB14" t="s">
        <v>128</v>
      </c>
      <c r="AC14">
        <v>489.5</v>
      </c>
      <c r="AD14">
        <v>2936.8</v>
      </c>
      <c r="AE14" s="755">
        <v>2936.8</v>
      </c>
      <c r="AF14">
        <v>1</v>
      </c>
    </row>
    <row r="15" spans="1:32" x14ac:dyDescent="0.3">
      <c r="A15" s="145">
        <v>45264</v>
      </c>
      <c r="B15" s="189">
        <v>127</v>
      </c>
      <c r="C15" s="70" t="s">
        <v>549</v>
      </c>
      <c r="D15" s="35" t="s">
        <v>596</v>
      </c>
      <c r="E15" s="2" t="s">
        <v>589</v>
      </c>
      <c r="F15" s="2" t="s">
        <v>585</v>
      </c>
      <c r="G15" s="79" t="s">
        <v>565</v>
      </c>
      <c r="H15" s="14" t="s">
        <v>129</v>
      </c>
      <c r="I15" s="67" t="s">
        <v>517</v>
      </c>
      <c r="J15" s="9" t="s">
        <v>0</v>
      </c>
      <c r="K15" s="2" t="s">
        <v>531</v>
      </c>
      <c r="L15" s="67" t="s">
        <v>593</v>
      </c>
      <c r="M15" s="67" t="s">
        <v>532</v>
      </c>
      <c r="N15" s="67" t="s">
        <v>532</v>
      </c>
      <c r="O15" s="67" t="s">
        <v>570</v>
      </c>
      <c r="P15" s="79" t="s">
        <v>573</v>
      </c>
      <c r="Q15" s="67" t="s">
        <v>0</v>
      </c>
      <c r="R15" s="110" t="s">
        <v>519</v>
      </c>
      <c r="S15" s="172">
        <v>100</v>
      </c>
      <c r="T15" s="165" t="s">
        <v>0</v>
      </c>
      <c r="U15" s="67" t="s">
        <v>576</v>
      </c>
      <c r="V15" s="391">
        <v>20000</v>
      </c>
      <c r="W15" s="208">
        <v>86651.016147015165</v>
      </c>
      <c r="X15" s="208">
        <v>81107.207274349159</v>
      </c>
      <c r="Y15" s="206">
        <v>2027680.1818587293</v>
      </c>
      <c r="Z15" s="110" t="s">
        <v>658</v>
      </c>
      <c r="AA15" s="393" t="s">
        <v>655</v>
      </c>
      <c r="AB15" t="s">
        <v>129</v>
      </c>
      <c r="AC15">
        <v>4283</v>
      </c>
      <c r="AD15">
        <v>25698</v>
      </c>
      <c r="AE15" s="755">
        <v>25698</v>
      </c>
      <c r="AF15">
        <v>1</v>
      </c>
    </row>
    <row r="16" spans="1:32" x14ac:dyDescent="0.3">
      <c r="A16" s="145">
        <v>45264</v>
      </c>
      <c r="B16" s="189">
        <v>128</v>
      </c>
      <c r="C16" s="70" t="s">
        <v>549</v>
      </c>
      <c r="D16" s="35" t="s">
        <v>596</v>
      </c>
      <c r="E16" s="2" t="s">
        <v>589</v>
      </c>
      <c r="F16" s="2" t="s">
        <v>585</v>
      </c>
      <c r="G16" s="67" t="s">
        <v>565</v>
      </c>
      <c r="H16" s="14" t="s">
        <v>130</v>
      </c>
      <c r="I16" s="67" t="s">
        <v>517</v>
      </c>
      <c r="J16" s="9" t="s">
        <v>0</v>
      </c>
      <c r="K16" s="2" t="s">
        <v>531</v>
      </c>
      <c r="L16" s="67" t="s">
        <v>593</v>
      </c>
      <c r="M16" s="67" t="s">
        <v>532</v>
      </c>
      <c r="N16" s="67" t="s">
        <v>532</v>
      </c>
      <c r="O16" s="67" t="s">
        <v>570</v>
      </c>
      <c r="P16" s="67" t="s">
        <v>574</v>
      </c>
      <c r="Q16" s="67" t="s">
        <v>0</v>
      </c>
      <c r="R16" s="110" t="s">
        <v>519</v>
      </c>
      <c r="S16" s="172">
        <v>100</v>
      </c>
      <c r="T16" s="165" t="s">
        <v>0</v>
      </c>
      <c r="U16" s="67" t="s">
        <v>576</v>
      </c>
      <c r="V16" s="391">
        <v>20000</v>
      </c>
      <c r="W16" s="208">
        <v>106522.37104573807</v>
      </c>
      <c r="X16" s="208">
        <v>99707.221125985801</v>
      </c>
      <c r="Y16" s="206">
        <v>2492680.5281496448</v>
      </c>
      <c r="Z16" s="110" t="s">
        <v>658</v>
      </c>
      <c r="AA16" s="393" t="s">
        <v>655</v>
      </c>
      <c r="AB16" t="s">
        <v>130</v>
      </c>
      <c r="AC16">
        <v>277.2</v>
      </c>
      <c r="AD16">
        <v>1663.2</v>
      </c>
      <c r="AE16" s="755">
        <v>16632</v>
      </c>
      <c r="AF16">
        <v>10</v>
      </c>
    </row>
    <row r="17" spans="1:32" x14ac:dyDescent="0.3">
      <c r="A17" s="145">
        <v>45264</v>
      </c>
      <c r="B17" s="189">
        <v>129</v>
      </c>
      <c r="C17" s="70" t="s">
        <v>549</v>
      </c>
      <c r="D17" s="35" t="s">
        <v>596</v>
      </c>
      <c r="E17" s="2" t="s">
        <v>589</v>
      </c>
      <c r="F17" s="2" t="s">
        <v>585</v>
      </c>
      <c r="G17" s="67" t="s">
        <v>565</v>
      </c>
      <c r="H17" s="14" t="s">
        <v>131</v>
      </c>
      <c r="I17" s="67" t="s">
        <v>517</v>
      </c>
      <c r="J17" s="9" t="s">
        <v>0</v>
      </c>
      <c r="K17" s="2" t="s">
        <v>531</v>
      </c>
      <c r="L17" s="67" t="s">
        <v>593</v>
      </c>
      <c r="M17" s="67" t="s">
        <v>532</v>
      </c>
      <c r="N17" s="79" t="s">
        <v>532</v>
      </c>
      <c r="O17" s="79" t="s">
        <v>570</v>
      </c>
      <c r="P17" s="67" t="s">
        <v>573</v>
      </c>
      <c r="Q17" s="67" t="s">
        <v>0</v>
      </c>
      <c r="R17" s="110" t="s">
        <v>519</v>
      </c>
      <c r="S17" s="172">
        <v>100</v>
      </c>
      <c r="T17" s="165" t="s">
        <v>0</v>
      </c>
      <c r="U17" s="67" t="s">
        <v>576</v>
      </c>
      <c r="V17" s="391">
        <v>200000</v>
      </c>
      <c r="W17" s="208">
        <v>670539.93043437623</v>
      </c>
      <c r="X17" s="208">
        <v>627639.73859459476</v>
      </c>
      <c r="Y17" s="206">
        <v>15690993.464864872</v>
      </c>
      <c r="Z17" s="110" t="s">
        <v>658</v>
      </c>
      <c r="AA17" s="394" t="s">
        <v>656</v>
      </c>
      <c r="AB17" t="s">
        <v>131</v>
      </c>
      <c r="AC17">
        <v>1438.8</v>
      </c>
      <c r="AD17">
        <v>8632.7999999999993</v>
      </c>
      <c r="AE17" s="755">
        <v>86328</v>
      </c>
      <c r="AF17">
        <v>10</v>
      </c>
    </row>
    <row r="18" spans="1:32" x14ac:dyDescent="0.3">
      <c r="A18" s="145">
        <v>45264</v>
      </c>
      <c r="B18" s="189">
        <v>130</v>
      </c>
      <c r="C18" s="70" t="s">
        <v>549</v>
      </c>
      <c r="D18" s="35" t="s">
        <v>596</v>
      </c>
      <c r="E18" s="2" t="s">
        <v>589</v>
      </c>
      <c r="F18" s="2" t="s">
        <v>585</v>
      </c>
      <c r="G18" s="67" t="s">
        <v>565</v>
      </c>
      <c r="H18" s="14" t="s">
        <v>132</v>
      </c>
      <c r="I18" s="67" t="s">
        <v>517</v>
      </c>
      <c r="J18" s="9" t="s">
        <v>0</v>
      </c>
      <c r="K18" s="2" t="s">
        <v>531</v>
      </c>
      <c r="L18" s="67" t="s">
        <v>593</v>
      </c>
      <c r="M18" s="67" t="s">
        <v>532</v>
      </c>
      <c r="N18" s="67" t="s">
        <v>532</v>
      </c>
      <c r="O18" s="67" t="s">
        <v>570</v>
      </c>
      <c r="P18" s="67" t="s">
        <v>574</v>
      </c>
      <c r="Q18" s="67" t="s">
        <v>0</v>
      </c>
      <c r="R18" s="110" t="s">
        <v>519</v>
      </c>
      <c r="S18" s="172">
        <v>100</v>
      </c>
      <c r="T18" s="165" t="s">
        <v>0</v>
      </c>
      <c r="U18" s="67" t="s">
        <v>576</v>
      </c>
      <c r="V18" s="391">
        <v>200000</v>
      </c>
      <c r="W18" s="208">
        <v>919914.27271014312</v>
      </c>
      <c r="X18" s="208">
        <v>861059.46483933832</v>
      </c>
      <c r="Y18" s="206">
        <v>21526486.620983455</v>
      </c>
      <c r="Z18" s="110" t="s">
        <v>658</v>
      </c>
      <c r="AA18" s="394" t="s">
        <v>656</v>
      </c>
      <c r="AB18" t="s">
        <v>132</v>
      </c>
      <c r="AC18">
        <v>3182.4</v>
      </c>
      <c r="AD18">
        <v>19094.400000000001</v>
      </c>
      <c r="AE18" s="755">
        <v>190944</v>
      </c>
      <c r="AF18">
        <v>10</v>
      </c>
    </row>
    <row r="19" spans="1:32" x14ac:dyDescent="0.3">
      <c r="A19" s="145">
        <v>45264</v>
      </c>
      <c r="B19" s="188">
        <v>131</v>
      </c>
      <c r="C19" s="70" t="s">
        <v>549</v>
      </c>
      <c r="D19" s="35" t="s">
        <v>596</v>
      </c>
      <c r="E19" s="2" t="s">
        <v>589</v>
      </c>
      <c r="F19" s="2" t="s">
        <v>585</v>
      </c>
      <c r="G19" s="79" t="s">
        <v>565</v>
      </c>
      <c r="H19" s="14" t="s">
        <v>133</v>
      </c>
      <c r="I19" s="67" t="s">
        <v>517</v>
      </c>
      <c r="J19" s="9" t="s">
        <v>0</v>
      </c>
      <c r="K19" s="2" t="s">
        <v>531</v>
      </c>
      <c r="L19" s="2" t="s">
        <v>593</v>
      </c>
      <c r="M19" s="67" t="s">
        <v>532</v>
      </c>
      <c r="N19" s="67" t="s">
        <v>532</v>
      </c>
      <c r="O19" s="67" t="s">
        <v>570</v>
      </c>
      <c r="P19" s="79" t="s">
        <v>573</v>
      </c>
      <c r="Q19" s="67" t="s">
        <v>0</v>
      </c>
      <c r="R19" s="110" t="s">
        <v>519</v>
      </c>
      <c r="S19" s="172">
        <v>100</v>
      </c>
      <c r="T19" s="165" t="s">
        <v>0</v>
      </c>
      <c r="U19" s="67" t="s">
        <v>576</v>
      </c>
      <c r="V19" s="391">
        <v>2000000</v>
      </c>
      <c r="W19" s="208">
        <v>4739961.3372316863</v>
      </c>
      <c r="X19" s="208">
        <v>4436705.3468708172</v>
      </c>
      <c r="Y19" s="206">
        <v>110917633.67177042</v>
      </c>
      <c r="Z19" s="110" t="s">
        <v>658</v>
      </c>
      <c r="AA19" s="394" t="s">
        <v>657</v>
      </c>
      <c r="AB19" t="s">
        <v>133</v>
      </c>
      <c r="AC19">
        <v>962</v>
      </c>
      <c r="AD19">
        <v>5772</v>
      </c>
      <c r="AE19" s="755">
        <v>1385280</v>
      </c>
      <c r="AF19">
        <v>240</v>
      </c>
    </row>
    <row r="20" spans="1:32" x14ac:dyDescent="0.3">
      <c r="A20" s="145">
        <v>45264</v>
      </c>
      <c r="B20" s="189">
        <v>132</v>
      </c>
      <c r="C20" s="70" t="s">
        <v>549</v>
      </c>
      <c r="D20" s="35" t="s">
        <v>596</v>
      </c>
      <c r="E20" s="2" t="s">
        <v>589</v>
      </c>
      <c r="F20" s="2" t="s">
        <v>585</v>
      </c>
      <c r="G20" s="67" t="s">
        <v>565</v>
      </c>
      <c r="H20" s="14" t="s">
        <v>134</v>
      </c>
      <c r="I20" s="67" t="s">
        <v>517</v>
      </c>
      <c r="J20" s="9" t="s">
        <v>0</v>
      </c>
      <c r="K20" s="2" t="s">
        <v>531</v>
      </c>
      <c r="L20" s="2" t="s">
        <v>593</v>
      </c>
      <c r="M20" s="67" t="s">
        <v>532</v>
      </c>
      <c r="N20" s="67" t="s">
        <v>532</v>
      </c>
      <c r="O20" s="67" t="s">
        <v>570</v>
      </c>
      <c r="P20" s="67" t="s">
        <v>574</v>
      </c>
      <c r="Q20" s="67" t="s">
        <v>0</v>
      </c>
      <c r="R20" s="110" t="s">
        <v>519</v>
      </c>
      <c r="S20" s="172">
        <v>100</v>
      </c>
      <c r="T20" s="165" t="s">
        <v>0</v>
      </c>
      <c r="U20" s="67" t="s">
        <v>576</v>
      </c>
      <c r="V20" s="391">
        <v>2000000</v>
      </c>
      <c r="W20" s="208">
        <v>5609730.9044696754</v>
      </c>
      <c r="X20" s="208">
        <v>5250828.2932330854</v>
      </c>
      <c r="Y20" s="206">
        <v>131270707.33082712</v>
      </c>
      <c r="Z20" s="110" t="s">
        <v>658</v>
      </c>
      <c r="AA20" s="394" t="s">
        <v>657</v>
      </c>
      <c r="AB20" t="s">
        <v>134</v>
      </c>
      <c r="AC20">
        <v>524.4</v>
      </c>
      <c r="AD20">
        <v>3146.4</v>
      </c>
      <c r="AE20" s="755">
        <v>943920</v>
      </c>
      <c r="AF20">
        <v>300</v>
      </c>
    </row>
    <row r="21" spans="1:32" ht="16.2" thickBot="1" x14ac:dyDescent="0.35">
      <c r="A21" s="145">
        <v>45264</v>
      </c>
      <c r="B21" s="189">
        <v>133</v>
      </c>
      <c r="C21" s="70" t="s">
        <v>549</v>
      </c>
      <c r="D21" s="35" t="s">
        <v>596</v>
      </c>
      <c r="E21" s="2" t="s">
        <v>589</v>
      </c>
      <c r="F21" s="2" t="s">
        <v>585</v>
      </c>
      <c r="G21" s="67" t="s">
        <v>565</v>
      </c>
      <c r="H21" s="14" t="s">
        <v>135</v>
      </c>
      <c r="I21" s="67" t="s">
        <v>525</v>
      </c>
      <c r="J21" s="9" t="s">
        <v>0</v>
      </c>
      <c r="K21" s="2" t="s">
        <v>531</v>
      </c>
      <c r="L21" s="2" t="s">
        <v>533</v>
      </c>
      <c r="M21" s="67" t="s">
        <v>532</v>
      </c>
      <c r="N21" s="67" t="s">
        <v>532</v>
      </c>
      <c r="O21" s="67" t="s">
        <v>570</v>
      </c>
      <c r="P21" s="67" t="s">
        <v>573</v>
      </c>
      <c r="Q21" s="67" t="s">
        <v>0</v>
      </c>
      <c r="R21" s="110" t="s">
        <v>0</v>
      </c>
      <c r="S21" s="172">
        <v>100</v>
      </c>
      <c r="T21" s="165" t="s">
        <v>0</v>
      </c>
      <c r="U21" s="67" t="s">
        <v>0</v>
      </c>
      <c r="V21" s="208" t="s">
        <v>0</v>
      </c>
      <c r="W21" s="208">
        <v>29.317661973437623</v>
      </c>
      <c r="X21" s="208">
        <v>27.441959623930153</v>
      </c>
      <c r="Y21" s="206">
        <v>686.04899059825379</v>
      </c>
      <c r="Z21" s="110" t="s">
        <v>646</v>
      </c>
      <c r="AA21" s="393" t="s">
        <v>647</v>
      </c>
      <c r="AB21" t="s">
        <v>135</v>
      </c>
      <c r="AC21">
        <v>0</v>
      </c>
      <c r="AD21">
        <v>0</v>
      </c>
      <c r="AE21" s="755">
        <v>0</v>
      </c>
      <c r="AF21">
        <v>1</v>
      </c>
    </row>
    <row r="22" spans="1:32" x14ac:dyDescent="0.3">
      <c r="A22" s="149">
        <v>45279</v>
      </c>
      <c r="B22" s="188">
        <v>209</v>
      </c>
      <c r="C22" s="71" t="s">
        <v>549</v>
      </c>
      <c r="D22" s="20" t="s">
        <v>552</v>
      </c>
      <c r="E22" s="17" t="s">
        <v>588</v>
      </c>
      <c r="F22" s="17" t="s">
        <v>584</v>
      </c>
      <c r="G22" s="43" t="s">
        <v>568</v>
      </c>
      <c r="H22" s="334" t="s">
        <v>209</v>
      </c>
      <c r="I22" s="72" t="s">
        <v>517</v>
      </c>
      <c r="J22" s="73" t="s">
        <v>0</v>
      </c>
      <c r="K22" s="17" t="s">
        <v>531</v>
      </c>
      <c r="L22" s="17" t="s">
        <v>593</v>
      </c>
      <c r="M22" s="36" t="s">
        <v>532</v>
      </c>
      <c r="N22" s="72" t="s">
        <v>532</v>
      </c>
      <c r="O22" s="72" t="s">
        <v>570</v>
      </c>
      <c r="P22" s="43" t="s">
        <v>573</v>
      </c>
      <c r="Q22" s="18" t="s">
        <v>0</v>
      </c>
      <c r="R22" s="117" t="s">
        <v>519</v>
      </c>
      <c r="S22" s="181">
        <v>100</v>
      </c>
      <c r="T22" s="193" t="s">
        <v>0</v>
      </c>
      <c r="U22" s="18" t="s">
        <v>576</v>
      </c>
      <c r="V22" s="392">
        <v>200</v>
      </c>
      <c r="W22" s="209">
        <v>313.13667628439913</v>
      </c>
      <c r="X22" s="209">
        <v>293.10263673664258</v>
      </c>
      <c r="Y22" s="386">
        <v>7327.5659184160659</v>
      </c>
      <c r="Z22" s="117" t="s">
        <v>648</v>
      </c>
      <c r="AA22" s="404" t="s">
        <v>627</v>
      </c>
      <c r="AB22" t="s">
        <v>209</v>
      </c>
      <c r="AC22">
        <v>2</v>
      </c>
      <c r="AD22">
        <v>11.91</v>
      </c>
      <c r="AE22" s="755">
        <v>11.91</v>
      </c>
      <c r="AF22">
        <v>1</v>
      </c>
    </row>
    <row r="23" spans="1:32" x14ac:dyDescent="0.3">
      <c r="A23" s="145">
        <v>45279</v>
      </c>
      <c r="B23" s="189">
        <v>210</v>
      </c>
      <c r="C23" s="70" t="s">
        <v>549</v>
      </c>
      <c r="D23" s="10" t="s">
        <v>552</v>
      </c>
      <c r="E23" s="2" t="s">
        <v>588</v>
      </c>
      <c r="F23" s="2" t="s">
        <v>584</v>
      </c>
      <c r="G23" s="2" t="s">
        <v>568</v>
      </c>
      <c r="H23" s="14" t="s">
        <v>210</v>
      </c>
      <c r="I23" s="2" t="s">
        <v>517</v>
      </c>
      <c r="J23" s="9" t="s">
        <v>0</v>
      </c>
      <c r="K23" s="2" t="s">
        <v>531</v>
      </c>
      <c r="L23" s="2" t="s">
        <v>593</v>
      </c>
      <c r="M23" s="2" t="s">
        <v>532</v>
      </c>
      <c r="N23" s="2" t="s">
        <v>532</v>
      </c>
      <c r="O23" s="2" t="s">
        <v>570</v>
      </c>
      <c r="P23" s="2" t="s">
        <v>573</v>
      </c>
      <c r="Q23" s="67" t="s">
        <v>0</v>
      </c>
      <c r="R23" s="110" t="s">
        <v>519</v>
      </c>
      <c r="S23" s="166">
        <v>100</v>
      </c>
      <c r="T23" s="166" t="s">
        <v>0</v>
      </c>
      <c r="U23" s="67" t="s">
        <v>576</v>
      </c>
      <c r="V23" s="391">
        <v>2000</v>
      </c>
      <c r="W23" s="208">
        <v>3948.1377448176513</v>
      </c>
      <c r="X23" s="208">
        <v>3695.5415026328837</v>
      </c>
      <c r="Y23" s="378">
        <v>92388.537565822087</v>
      </c>
      <c r="Z23" s="110" t="s">
        <v>648</v>
      </c>
      <c r="AA23" s="394" t="s">
        <v>628</v>
      </c>
      <c r="AB23" t="s">
        <v>210</v>
      </c>
      <c r="AC23">
        <v>27.1</v>
      </c>
      <c r="AD23">
        <v>162.38</v>
      </c>
      <c r="AE23" s="755">
        <v>162.38</v>
      </c>
      <c r="AF23">
        <v>1</v>
      </c>
    </row>
    <row r="24" spans="1:32" x14ac:dyDescent="0.3">
      <c r="A24" s="145">
        <v>45279</v>
      </c>
      <c r="B24" s="189">
        <v>211</v>
      </c>
      <c r="C24" s="70" t="s">
        <v>549</v>
      </c>
      <c r="D24" s="10" t="s">
        <v>552</v>
      </c>
      <c r="E24" s="2" t="s">
        <v>588</v>
      </c>
      <c r="F24" s="2" t="s">
        <v>584</v>
      </c>
      <c r="G24" s="2" t="s">
        <v>568</v>
      </c>
      <c r="H24" s="14" t="s">
        <v>211</v>
      </c>
      <c r="I24" s="2" t="s">
        <v>517</v>
      </c>
      <c r="J24" s="9" t="s">
        <v>0</v>
      </c>
      <c r="K24" s="2" t="s">
        <v>531</v>
      </c>
      <c r="L24" s="2" t="s">
        <v>593</v>
      </c>
      <c r="M24" s="2" t="s">
        <v>532</v>
      </c>
      <c r="N24" s="2" t="s">
        <v>532</v>
      </c>
      <c r="O24" s="2" t="s">
        <v>570</v>
      </c>
      <c r="P24" s="2" t="s">
        <v>574</v>
      </c>
      <c r="Q24" s="67" t="s">
        <v>0</v>
      </c>
      <c r="R24" s="110" t="s">
        <v>519</v>
      </c>
      <c r="S24" s="166">
        <v>100</v>
      </c>
      <c r="T24" s="166" t="s">
        <v>0</v>
      </c>
      <c r="U24" s="67" t="s">
        <v>576</v>
      </c>
      <c r="V24" s="391">
        <v>2000</v>
      </c>
      <c r="W24" s="208">
        <v>3103.0526739081001</v>
      </c>
      <c r="X24" s="208">
        <v>2904.523773603285</v>
      </c>
      <c r="Y24" s="378">
        <v>72613.094340082112</v>
      </c>
      <c r="Z24" s="110" t="s">
        <v>648</v>
      </c>
      <c r="AA24" s="394" t="s">
        <v>628</v>
      </c>
      <c r="AB24" t="s">
        <v>211</v>
      </c>
      <c r="AC24">
        <v>33.5</v>
      </c>
      <c r="AD24">
        <v>200.76</v>
      </c>
      <c r="AE24" s="755">
        <v>200.76</v>
      </c>
      <c r="AF24">
        <v>1</v>
      </c>
    </row>
    <row r="25" spans="1:32" x14ac:dyDescent="0.3">
      <c r="A25" s="145">
        <v>45279</v>
      </c>
      <c r="B25" s="189">
        <v>212</v>
      </c>
      <c r="C25" s="70" t="s">
        <v>549</v>
      </c>
      <c r="D25" s="10" t="s">
        <v>552</v>
      </c>
      <c r="E25" s="2" t="s">
        <v>588</v>
      </c>
      <c r="F25" s="2" t="s">
        <v>584</v>
      </c>
      <c r="G25" s="2" t="s">
        <v>568</v>
      </c>
      <c r="H25" s="14" t="s">
        <v>212</v>
      </c>
      <c r="I25" s="2" t="s">
        <v>517</v>
      </c>
      <c r="J25" s="9" t="s">
        <v>0</v>
      </c>
      <c r="K25" s="2" t="s">
        <v>531</v>
      </c>
      <c r="L25" s="2" t="s">
        <v>593</v>
      </c>
      <c r="M25" s="2" t="s">
        <v>532</v>
      </c>
      <c r="N25" s="2" t="s">
        <v>532</v>
      </c>
      <c r="O25" s="2" t="s">
        <v>570</v>
      </c>
      <c r="P25" s="2" t="s">
        <v>573</v>
      </c>
      <c r="Q25" s="67" t="s">
        <v>0</v>
      </c>
      <c r="R25" s="110" t="s">
        <v>519</v>
      </c>
      <c r="S25" s="166">
        <v>100</v>
      </c>
      <c r="T25" s="166" t="s">
        <v>0</v>
      </c>
      <c r="U25" s="67" t="s">
        <v>576</v>
      </c>
      <c r="V25" s="391">
        <v>20000</v>
      </c>
      <c r="W25" s="208">
        <v>44976.072633814802</v>
      </c>
      <c r="X25" s="208">
        <v>42098.56742254323</v>
      </c>
      <c r="Y25" s="378">
        <v>1052464.1855635808</v>
      </c>
      <c r="Z25" s="110" t="s">
        <v>648</v>
      </c>
      <c r="AA25" s="394" t="s">
        <v>650</v>
      </c>
      <c r="AB25" t="s">
        <v>212</v>
      </c>
      <c r="AC25">
        <v>721.4</v>
      </c>
      <c r="AD25">
        <v>4328.3999999999996</v>
      </c>
      <c r="AE25" s="755">
        <v>4328.3999999999996</v>
      </c>
      <c r="AF25">
        <v>1</v>
      </c>
    </row>
    <row r="26" spans="1:32" x14ac:dyDescent="0.3">
      <c r="A26" s="145">
        <v>45279</v>
      </c>
      <c r="B26" s="189">
        <v>213</v>
      </c>
      <c r="C26" s="70" t="s">
        <v>549</v>
      </c>
      <c r="D26" s="10" t="s">
        <v>552</v>
      </c>
      <c r="E26" s="2" t="s">
        <v>588</v>
      </c>
      <c r="F26" s="2" t="s">
        <v>584</v>
      </c>
      <c r="G26" s="2" t="s">
        <v>568</v>
      </c>
      <c r="H26" s="14" t="s">
        <v>213</v>
      </c>
      <c r="I26" s="2" t="s">
        <v>517</v>
      </c>
      <c r="J26" s="9" t="s">
        <v>0</v>
      </c>
      <c r="K26" s="2" t="s">
        <v>531</v>
      </c>
      <c r="L26" s="2" t="s">
        <v>593</v>
      </c>
      <c r="M26" s="2" t="s">
        <v>532</v>
      </c>
      <c r="N26" s="2" t="s">
        <v>532</v>
      </c>
      <c r="O26" s="2" t="s">
        <v>570</v>
      </c>
      <c r="P26" s="2" t="s">
        <v>574</v>
      </c>
      <c r="Q26" s="67" t="s">
        <v>0</v>
      </c>
      <c r="R26" s="110" t="s">
        <v>519</v>
      </c>
      <c r="S26" s="166">
        <v>100</v>
      </c>
      <c r="T26" s="166" t="s">
        <v>0</v>
      </c>
      <c r="U26" s="67" t="s">
        <v>576</v>
      </c>
      <c r="V26" s="391">
        <v>20000</v>
      </c>
      <c r="W26" s="208">
        <v>39457.069374464299</v>
      </c>
      <c r="X26" s="208">
        <v>36932.662148628347</v>
      </c>
      <c r="Y26" s="378">
        <v>923316.55371570855</v>
      </c>
      <c r="Z26" s="110" t="s">
        <v>648</v>
      </c>
      <c r="AA26" s="394" t="s">
        <v>629</v>
      </c>
      <c r="AB26" t="s">
        <v>213</v>
      </c>
      <c r="AC26">
        <v>694</v>
      </c>
      <c r="AD26">
        <v>4163.8</v>
      </c>
      <c r="AE26" s="755">
        <v>4163.8</v>
      </c>
      <c r="AF26">
        <v>1</v>
      </c>
    </row>
    <row r="27" spans="1:32" x14ac:dyDescent="0.3">
      <c r="A27" s="145">
        <v>45279</v>
      </c>
      <c r="B27" s="189">
        <v>214</v>
      </c>
      <c r="C27" s="70" t="s">
        <v>549</v>
      </c>
      <c r="D27" s="10" t="s">
        <v>552</v>
      </c>
      <c r="E27" s="2" t="s">
        <v>588</v>
      </c>
      <c r="F27" s="2" t="s">
        <v>584</v>
      </c>
      <c r="G27" s="2" t="s">
        <v>568</v>
      </c>
      <c r="H27" s="14" t="s">
        <v>214</v>
      </c>
      <c r="I27" s="2" t="s">
        <v>517</v>
      </c>
      <c r="J27" s="9" t="s">
        <v>0</v>
      </c>
      <c r="K27" s="2" t="s">
        <v>531</v>
      </c>
      <c r="L27" s="2" t="s">
        <v>593</v>
      </c>
      <c r="M27" s="2" t="s">
        <v>532</v>
      </c>
      <c r="N27" s="2" t="s">
        <v>532</v>
      </c>
      <c r="O27" s="2" t="s">
        <v>570</v>
      </c>
      <c r="P27" s="2" t="s">
        <v>573</v>
      </c>
      <c r="Q27" s="67" t="s">
        <v>0</v>
      </c>
      <c r="R27" s="110" t="s">
        <v>519</v>
      </c>
      <c r="S27" s="166">
        <v>100</v>
      </c>
      <c r="T27" s="166" t="s">
        <v>0</v>
      </c>
      <c r="U27" s="67" t="s">
        <v>576</v>
      </c>
      <c r="V27" s="391">
        <v>200000</v>
      </c>
      <c r="W27" s="208">
        <v>531992.94060014852</v>
      </c>
      <c r="X27" s="208">
        <v>497956.78827977699</v>
      </c>
      <c r="Y27" s="378">
        <v>12448919.706994426</v>
      </c>
      <c r="Z27" s="110" t="s">
        <v>648</v>
      </c>
      <c r="AA27" s="394" t="s">
        <v>651</v>
      </c>
      <c r="AB27" t="s">
        <v>214</v>
      </c>
      <c r="AC27">
        <v>413.5</v>
      </c>
      <c r="AD27">
        <v>2481</v>
      </c>
      <c r="AE27" s="755">
        <v>24810</v>
      </c>
      <c r="AF27">
        <v>10</v>
      </c>
    </row>
    <row r="28" spans="1:32" x14ac:dyDescent="0.3">
      <c r="A28" s="145">
        <v>45279</v>
      </c>
      <c r="B28" s="189">
        <v>215</v>
      </c>
      <c r="C28" s="70" t="s">
        <v>549</v>
      </c>
      <c r="D28" s="10" t="s">
        <v>552</v>
      </c>
      <c r="E28" s="2" t="s">
        <v>588</v>
      </c>
      <c r="F28" s="2" t="s">
        <v>584</v>
      </c>
      <c r="G28" s="2" t="s">
        <v>568</v>
      </c>
      <c r="H28" s="14" t="s">
        <v>215</v>
      </c>
      <c r="I28" s="2" t="s">
        <v>517</v>
      </c>
      <c r="J28" s="9" t="s">
        <v>0</v>
      </c>
      <c r="K28" s="2" t="s">
        <v>531</v>
      </c>
      <c r="L28" s="2" t="s">
        <v>593</v>
      </c>
      <c r="M28" s="2" t="s">
        <v>532</v>
      </c>
      <c r="N28" s="2" t="s">
        <v>532</v>
      </c>
      <c r="O28" s="2" t="s">
        <v>570</v>
      </c>
      <c r="P28" s="2" t="s">
        <v>574</v>
      </c>
      <c r="Q28" s="67" t="s">
        <v>0</v>
      </c>
      <c r="R28" s="110" t="s">
        <v>519</v>
      </c>
      <c r="S28" s="166">
        <v>100</v>
      </c>
      <c r="T28" s="166" t="s">
        <v>0</v>
      </c>
      <c r="U28" s="67" t="s">
        <v>576</v>
      </c>
      <c r="V28" s="391">
        <v>200000</v>
      </c>
      <c r="W28" s="208">
        <v>368049.89955866331</v>
      </c>
      <c r="X28" s="208">
        <v>344502.59002341976</v>
      </c>
      <c r="Y28" s="378">
        <v>8612564.7505854946</v>
      </c>
      <c r="Z28" s="110" t="s">
        <v>648</v>
      </c>
      <c r="AA28" s="394" t="s">
        <v>630</v>
      </c>
      <c r="AB28" t="s">
        <v>215</v>
      </c>
      <c r="AC28">
        <v>3463.6</v>
      </c>
      <c r="AD28">
        <v>20781.599999999999</v>
      </c>
      <c r="AE28" s="755">
        <v>20781.599999999999</v>
      </c>
      <c r="AF28">
        <v>1</v>
      </c>
    </row>
    <row r="29" spans="1:32" x14ac:dyDescent="0.3">
      <c r="A29" s="145">
        <v>45279</v>
      </c>
      <c r="B29" s="189">
        <v>216</v>
      </c>
      <c r="C29" s="70" t="s">
        <v>549</v>
      </c>
      <c r="D29" s="10" t="s">
        <v>552</v>
      </c>
      <c r="E29" s="2" t="s">
        <v>588</v>
      </c>
      <c r="F29" s="2" t="s">
        <v>584</v>
      </c>
      <c r="G29" s="2" t="s">
        <v>568</v>
      </c>
      <c r="H29" s="14" t="s">
        <v>216</v>
      </c>
      <c r="I29" s="2" t="s">
        <v>517</v>
      </c>
      <c r="J29" s="9" t="s">
        <v>0</v>
      </c>
      <c r="K29" s="2" t="s">
        <v>531</v>
      </c>
      <c r="L29" s="2" t="s">
        <v>593</v>
      </c>
      <c r="M29" s="2" t="s">
        <v>532</v>
      </c>
      <c r="N29" s="2" t="s">
        <v>532</v>
      </c>
      <c r="O29" s="2" t="s">
        <v>570</v>
      </c>
      <c r="P29" s="2" t="s">
        <v>573</v>
      </c>
      <c r="Q29" s="67" t="s">
        <v>0</v>
      </c>
      <c r="R29" s="110" t="s">
        <v>519</v>
      </c>
      <c r="S29" s="166">
        <v>100</v>
      </c>
      <c r="T29" s="166" t="s">
        <v>0</v>
      </c>
      <c r="U29" s="67" t="s">
        <v>576</v>
      </c>
      <c r="V29" s="391">
        <v>2000000</v>
      </c>
      <c r="W29" s="208">
        <v>8581029.0018434804</v>
      </c>
      <c r="X29" s="208">
        <v>8032026.9608713062</v>
      </c>
      <c r="Y29" s="378">
        <v>200800674.02178264</v>
      </c>
      <c r="Z29" s="110" t="s">
        <v>648</v>
      </c>
      <c r="AA29" s="394" t="s">
        <v>631</v>
      </c>
      <c r="AB29" t="s">
        <v>216</v>
      </c>
      <c r="AC29">
        <v>380.5</v>
      </c>
      <c r="AD29">
        <v>2283</v>
      </c>
      <c r="AE29" s="755">
        <v>913200</v>
      </c>
      <c r="AF29">
        <v>400</v>
      </c>
    </row>
    <row r="30" spans="1:32" x14ac:dyDescent="0.3">
      <c r="A30" s="145">
        <v>45279</v>
      </c>
      <c r="B30" s="189">
        <v>217</v>
      </c>
      <c r="C30" s="70" t="s">
        <v>549</v>
      </c>
      <c r="D30" s="10" t="s">
        <v>552</v>
      </c>
      <c r="E30" s="2" t="s">
        <v>588</v>
      </c>
      <c r="F30" s="2" t="s">
        <v>584</v>
      </c>
      <c r="G30" s="2" t="s">
        <v>568</v>
      </c>
      <c r="H30" s="14" t="s">
        <v>217</v>
      </c>
      <c r="I30" s="2" t="s">
        <v>517</v>
      </c>
      <c r="J30" s="9" t="s">
        <v>0</v>
      </c>
      <c r="K30" s="2" t="s">
        <v>531</v>
      </c>
      <c r="L30" s="2" t="s">
        <v>593</v>
      </c>
      <c r="M30" s="2" t="s">
        <v>532</v>
      </c>
      <c r="N30" s="2" t="s">
        <v>532</v>
      </c>
      <c r="O30" s="2" t="s">
        <v>570</v>
      </c>
      <c r="P30" s="2" t="s">
        <v>574</v>
      </c>
      <c r="Q30" s="67" t="s">
        <v>0</v>
      </c>
      <c r="R30" s="110" t="s">
        <v>519</v>
      </c>
      <c r="S30" s="166">
        <v>100</v>
      </c>
      <c r="T30" s="166" t="s">
        <v>0</v>
      </c>
      <c r="U30" s="67" t="s">
        <v>576</v>
      </c>
      <c r="V30" s="391">
        <v>2000000</v>
      </c>
      <c r="W30" s="208">
        <v>9189268.8553588986</v>
      </c>
      <c r="X30" s="208">
        <v>8601352.492933102</v>
      </c>
      <c r="Y30" s="378">
        <v>215033812.32332757</v>
      </c>
      <c r="Z30" s="110" t="s">
        <v>648</v>
      </c>
      <c r="AA30" s="394" t="s">
        <v>631</v>
      </c>
      <c r="AB30" t="s">
        <v>217</v>
      </c>
      <c r="AC30">
        <v>413.7</v>
      </c>
      <c r="AD30">
        <v>2482.1999999999998</v>
      </c>
      <c r="AE30" s="755">
        <v>1191456</v>
      </c>
      <c r="AF30">
        <v>480</v>
      </c>
    </row>
    <row r="31" spans="1:32" x14ac:dyDescent="0.3">
      <c r="A31" s="145">
        <v>45279</v>
      </c>
      <c r="B31" s="189">
        <v>219</v>
      </c>
      <c r="C31" s="70" t="s">
        <v>549</v>
      </c>
      <c r="D31" s="35" t="s">
        <v>596</v>
      </c>
      <c r="E31" s="2" t="s">
        <v>589</v>
      </c>
      <c r="F31" s="2" t="s">
        <v>585</v>
      </c>
      <c r="G31" s="2" t="s">
        <v>568</v>
      </c>
      <c r="H31" s="332" t="s">
        <v>219</v>
      </c>
      <c r="I31" s="2" t="s">
        <v>517</v>
      </c>
      <c r="J31" s="9" t="s">
        <v>0</v>
      </c>
      <c r="K31" s="2" t="s">
        <v>531</v>
      </c>
      <c r="L31" s="2" t="s">
        <v>593</v>
      </c>
      <c r="M31" s="2" t="s">
        <v>532</v>
      </c>
      <c r="N31" s="2" t="s">
        <v>532</v>
      </c>
      <c r="O31" s="2" t="s">
        <v>570</v>
      </c>
      <c r="P31" s="2" t="s">
        <v>573</v>
      </c>
      <c r="Q31" s="67" t="s">
        <v>0</v>
      </c>
      <c r="R31" s="110" t="s">
        <v>519</v>
      </c>
      <c r="S31" s="166">
        <v>100</v>
      </c>
      <c r="T31" s="166" t="s">
        <v>0</v>
      </c>
      <c r="U31" s="67" t="s">
        <v>576</v>
      </c>
      <c r="V31" s="391">
        <v>200</v>
      </c>
      <c r="W31" s="238">
        <v>1291.1221834666042</v>
      </c>
      <c r="X31" s="208">
        <v>1208.5180209919945</v>
      </c>
      <c r="Y31" s="378">
        <v>30212.95052479986</v>
      </c>
      <c r="Z31" s="110" t="s">
        <v>658</v>
      </c>
      <c r="AA31" s="393" t="s">
        <v>653</v>
      </c>
      <c r="AB31" t="s">
        <v>219</v>
      </c>
      <c r="AC31">
        <v>45.5</v>
      </c>
      <c r="AD31">
        <v>273.22000000000003</v>
      </c>
      <c r="AE31" s="755">
        <v>273.22000000000003</v>
      </c>
      <c r="AF31">
        <v>1</v>
      </c>
    </row>
    <row r="32" spans="1:32" x14ac:dyDescent="0.3">
      <c r="A32" s="145">
        <v>45279</v>
      </c>
      <c r="B32" s="189">
        <v>220</v>
      </c>
      <c r="C32" s="70" t="s">
        <v>549</v>
      </c>
      <c r="D32" s="35" t="s">
        <v>596</v>
      </c>
      <c r="E32" s="2" t="s">
        <v>589</v>
      </c>
      <c r="F32" s="2" t="s">
        <v>585</v>
      </c>
      <c r="G32" s="2" t="s">
        <v>568</v>
      </c>
      <c r="H32" s="332" t="s">
        <v>220</v>
      </c>
      <c r="I32" s="2" t="s">
        <v>517</v>
      </c>
      <c r="J32" s="9" t="s">
        <v>0</v>
      </c>
      <c r="K32" s="2" t="s">
        <v>531</v>
      </c>
      <c r="L32" s="2" t="s">
        <v>593</v>
      </c>
      <c r="M32" s="2" t="s">
        <v>532</v>
      </c>
      <c r="N32" s="2" t="s">
        <v>532</v>
      </c>
      <c r="O32" s="2" t="s">
        <v>570</v>
      </c>
      <c r="P32" s="2" t="s">
        <v>573</v>
      </c>
      <c r="Q32" s="67" t="s">
        <v>0</v>
      </c>
      <c r="R32" s="110" t="s">
        <v>519</v>
      </c>
      <c r="S32" s="166">
        <v>100</v>
      </c>
      <c r="T32" s="166" t="s">
        <v>0</v>
      </c>
      <c r="U32" s="67" t="s">
        <v>576</v>
      </c>
      <c r="V32" s="391">
        <v>2000</v>
      </c>
      <c r="W32" s="238">
        <v>11434.202873445538</v>
      </c>
      <c r="X32" s="208">
        <v>10702.658822835416</v>
      </c>
      <c r="Y32" s="206">
        <v>267566.4705708854</v>
      </c>
      <c r="Z32" s="110" t="s">
        <v>658</v>
      </c>
      <c r="AA32" s="394" t="s">
        <v>654</v>
      </c>
      <c r="AB32" t="s">
        <v>220</v>
      </c>
      <c r="AC32">
        <v>388.8</v>
      </c>
      <c r="AD32">
        <v>2332.6</v>
      </c>
      <c r="AE32" s="755">
        <v>2332.6</v>
      </c>
      <c r="AF32">
        <v>1</v>
      </c>
    </row>
    <row r="33" spans="1:32" x14ac:dyDescent="0.3">
      <c r="A33" s="145">
        <v>45279</v>
      </c>
      <c r="B33" s="189">
        <v>221</v>
      </c>
      <c r="C33" s="70" t="s">
        <v>549</v>
      </c>
      <c r="D33" s="35" t="s">
        <v>596</v>
      </c>
      <c r="E33" s="2" t="s">
        <v>589</v>
      </c>
      <c r="F33" s="2" t="s">
        <v>585</v>
      </c>
      <c r="G33" s="2" t="s">
        <v>568</v>
      </c>
      <c r="H33" s="332" t="s">
        <v>221</v>
      </c>
      <c r="I33" s="2" t="s">
        <v>517</v>
      </c>
      <c r="J33" s="9" t="s">
        <v>0</v>
      </c>
      <c r="K33" s="2" t="s">
        <v>531</v>
      </c>
      <c r="L33" s="2" t="s">
        <v>593</v>
      </c>
      <c r="M33" s="2" t="s">
        <v>532</v>
      </c>
      <c r="N33" s="2" t="s">
        <v>532</v>
      </c>
      <c r="O33" s="2" t="s">
        <v>570</v>
      </c>
      <c r="P33" s="2" t="s">
        <v>574</v>
      </c>
      <c r="Q33" s="67" t="s">
        <v>0</v>
      </c>
      <c r="R33" s="110" t="s">
        <v>519</v>
      </c>
      <c r="S33" s="166">
        <v>100</v>
      </c>
      <c r="T33" s="166" t="s">
        <v>0</v>
      </c>
      <c r="U33" s="67" t="s">
        <v>576</v>
      </c>
      <c r="V33" s="391">
        <v>2000</v>
      </c>
      <c r="W33" s="238">
        <v>10046.371239465065</v>
      </c>
      <c r="X33" s="208">
        <v>9403.6186845388929</v>
      </c>
      <c r="Y33" s="206">
        <v>235090.46711347235</v>
      </c>
      <c r="Z33" s="110" t="s">
        <v>658</v>
      </c>
      <c r="AA33" s="394" t="s">
        <v>654</v>
      </c>
      <c r="AB33" t="s">
        <v>221</v>
      </c>
      <c r="AC33">
        <v>300.39999999999998</v>
      </c>
      <c r="AD33">
        <v>1802.6</v>
      </c>
      <c r="AE33" s="755">
        <v>1802.6</v>
      </c>
      <c r="AF33">
        <v>1</v>
      </c>
    </row>
    <row r="34" spans="1:32" x14ac:dyDescent="0.3">
      <c r="A34" s="145">
        <v>45279</v>
      </c>
      <c r="B34" s="188">
        <v>222</v>
      </c>
      <c r="C34" s="70" t="s">
        <v>549</v>
      </c>
      <c r="D34" s="35" t="s">
        <v>596</v>
      </c>
      <c r="E34" s="2" t="s">
        <v>589</v>
      </c>
      <c r="F34" s="2" t="s">
        <v>585</v>
      </c>
      <c r="G34" s="2" t="s">
        <v>568</v>
      </c>
      <c r="H34" s="14" t="s">
        <v>222</v>
      </c>
      <c r="I34" s="2" t="s">
        <v>517</v>
      </c>
      <c r="J34" s="9" t="s">
        <v>0</v>
      </c>
      <c r="K34" s="2" t="s">
        <v>531</v>
      </c>
      <c r="L34" s="2" t="s">
        <v>593</v>
      </c>
      <c r="M34" s="2" t="s">
        <v>532</v>
      </c>
      <c r="N34" s="2" t="s">
        <v>532</v>
      </c>
      <c r="O34" s="2" t="s">
        <v>570</v>
      </c>
      <c r="P34" s="2" t="s">
        <v>573</v>
      </c>
      <c r="Q34" s="67" t="s">
        <v>0</v>
      </c>
      <c r="R34" s="110" t="s">
        <v>519</v>
      </c>
      <c r="S34" s="166">
        <v>100</v>
      </c>
      <c r="T34" s="166" t="s">
        <v>0</v>
      </c>
      <c r="U34" s="67" t="s">
        <v>576</v>
      </c>
      <c r="V34" s="391">
        <v>20000</v>
      </c>
      <c r="W34" s="208">
        <v>85484.159005262263</v>
      </c>
      <c r="X34" s="208">
        <v>80015.003994296028</v>
      </c>
      <c r="Y34" s="206">
        <v>2000375.0998574004</v>
      </c>
      <c r="Z34" s="110" t="s">
        <v>658</v>
      </c>
      <c r="AA34" s="393" t="s">
        <v>655</v>
      </c>
      <c r="AB34" t="s">
        <v>222</v>
      </c>
      <c r="AC34">
        <v>3089.2</v>
      </c>
      <c r="AD34">
        <v>18535.2</v>
      </c>
      <c r="AE34" s="755">
        <v>18535.2</v>
      </c>
      <c r="AF34">
        <v>1</v>
      </c>
    </row>
    <row r="35" spans="1:32" x14ac:dyDescent="0.3">
      <c r="A35" s="145">
        <v>45279</v>
      </c>
      <c r="B35" s="189">
        <v>223</v>
      </c>
      <c r="C35" s="70" t="s">
        <v>549</v>
      </c>
      <c r="D35" s="35" t="s">
        <v>596</v>
      </c>
      <c r="E35" s="2" t="s">
        <v>589</v>
      </c>
      <c r="F35" s="2" t="s">
        <v>585</v>
      </c>
      <c r="G35" s="2" t="s">
        <v>568</v>
      </c>
      <c r="H35" s="14" t="s">
        <v>223</v>
      </c>
      <c r="I35" s="2" t="s">
        <v>517</v>
      </c>
      <c r="J35" s="9" t="s">
        <v>0</v>
      </c>
      <c r="K35" s="2" t="s">
        <v>531</v>
      </c>
      <c r="L35" s="2" t="s">
        <v>593</v>
      </c>
      <c r="M35" s="2" t="s">
        <v>532</v>
      </c>
      <c r="N35" s="2" t="s">
        <v>532</v>
      </c>
      <c r="O35" s="2" t="s">
        <v>570</v>
      </c>
      <c r="P35" s="2" t="s">
        <v>574</v>
      </c>
      <c r="Q35" s="67" t="s">
        <v>0</v>
      </c>
      <c r="R35" s="110" t="s">
        <v>519</v>
      </c>
      <c r="S35" s="166">
        <v>100</v>
      </c>
      <c r="T35" s="166" t="s">
        <v>0</v>
      </c>
      <c r="U35" s="67" t="s">
        <v>576</v>
      </c>
      <c r="V35" s="391">
        <v>20000</v>
      </c>
      <c r="W35" s="208">
        <v>67905.607868618565</v>
      </c>
      <c r="X35" s="208">
        <v>63561.103578361668</v>
      </c>
      <c r="Y35" s="206">
        <v>1589027.5894590418</v>
      </c>
      <c r="Z35" s="110" t="s">
        <v>658</v>
      </c>
      <c r="AA35" s="393" t="s">
        <v>655</v>
      </c>
      <c r="AB35" t="s">
        <v>223</v>
      </c>
      <c r="AC35">
        <v>1533.9</v>
      </c>
      <c r="AD35">
        <v>9203.4</v>
      </c>
      <c r="AE35" s="755">
        <v>9203.4</v>
      </c>
      <c r="AF35">
        <v>1</v>
      </c>
    </row>
    <row r="36" spans="1:32" x14ac:dyDescent="0.3">
      <c r="A36" s="145">
        <v>45279</v>
      </c>
      <c r="B36" s="189">
        <v>224</v>
      </c>
      <c r="C36" s="70" t="s">
        <v>549</v>
      </c>
      <c r="D36" s="35" t="s">
        <v>596</v>
      </c>
      <c r="E36" s="2" t="s">
        <v>589</v>
      </c>
      <c r="F36" s="2" t="s">
        <v>585</v>
      </c>
      <c r="G36" s="2" t="s">
        <v>568</v>
      </c>
      <c r="H36" s="14" t="s">
        <v>224</v>
      </c>
      <c r="I36" s="2" t="s">
        <v>517</v>
      </c>
      <c r="J36" s="9" t="s">
        <v>0</v>
      </c>
      <c r="K36" s="2" t="s">
        <v>531</v>
      </c>
      <c r="L36" s="2" t="s">
        <v>593</v>
      </c>
      <c r="M36" s="2" t="s">
        <v>532</v>
      </c>
      <c r="N36" s="2" t="s">
        <v>532</v>
      </c>
      <c r="O36" s="2" t="s">
        <v>570</v>
      </c>
      <c r="P36" s="2" t="s">
        <v>573</v>
      </c>
      <c r="Q36" s="67" t="s">
        <v>0</v>
      </c>
      <c r="R36" s="110" t="s">
        <v>519</v>
      </c>
      <c r="S36" s="166">
        <v>100</v>
      </c>
      <c r="T36" s="166" t="s">
        <v>0</v>
      </c>
      <c r="U36" s="67" t="s">
        <v>576</v>
      </c>
      <c r="V36" s="391">
        <v>200000</v>
      </c>
      <c r="W36" s="208">
        <v>644373.42940448679</v>
      </c>
      <c r="X36" s="208">
        <v>603147.33311518363</v>
      </c>
      <c r="Y36" s="206">
        <v>15078683.327879589</v>
      </c>
      <c r="Z36" s="110" t="s">
        <v>658</v>
      </c>
      <c r="AA36" s="394" t="s">
        <v>656</v>
      </c>
      <c r="AB36" t="s">
        <v>224</v>
      </c>
      <c r="AC36">
        <v>480.8</v>
      </c>
      <c r="AD36">
        <v>2884.8</v>
      </c>
      <c r="AE36" s="755">
        <v>28848</v>
      </c>
      <c r="AF36">
        <v>10</v>
      </c>
    </row>
    <row r="37" spans="1:32" x14ac:dyDescent="0.3">
      <c r="A37" s="145">
        <v>45279</v>
      </c>
      <c r="B37" s="189">
        <v>225</v>
      </c>
      <c r="C37" s="70" t="s">
        <v>549</v>
      </c>
      <c r="D37" s="35" t="s">
        <v>596</v>
      </c>
      <c r="E37" s="2" t="s">
        <v>589</v>
      </c>
      <c r="F37" s="2" t="s">
        <v>585</v>
      </c>
      <c r="G37" s="2" t="s">
        <v>568</v>
      </c>
      <c r="H37" s="14" t="s">
        <v>225</v>
      </c>
      <c r="I37" s="2" t="s">
        <v>517</v>
      </c>
      <c r="J37" s="9" t="s">
        <v>0</v>
      </c>
      <c r="K37" s="2" t="s">
        <v>531</v>
      </c>
      <c r="L37" s="2" t="s">
        <v>593</v>
      </c>
      <c r="M37" s="2" t="s">
        <v>532</v>
      </c>
      <c r="N37" s="2" t="s">
        <v>532</v>
      </c>
      <c r="O37" s="2" t="s">
        <v>570</v>
      </c>
      <c r="P37" s="2" t="s">
        <v>574</v>
      </c>
      <c r="Q37" s="67" t="s">
        <v>0</v>
      </c>
      <c r="R37" s="110" t="s">
        <v>519</v>
      </c>
      <c r="S37" s="166">
        <v>100</v>
      </c>
      <c r="T37" s="166" t="s">
        <v>0</v>
      </c>
      <c r="U37" s="67" t="s">
        <v>576</v>
      </c>
      <c r="V37" s="391">
        <v>200000</v>
      </c>
      <c r="W37" s="208">
        <v>883766.64197637292</v>
      </c>
      <c r="X37" s="208">
        <v>827224.50815024087</v>
      </c>
      <c r="Y37" s="206">
        <v>20680612.703756023</v>
      </c>
      <c r="Z37" s="110" t="s">
        <v>658</v>
      </c>
      <c r="AA37" s="394" t="s">
        <v>656</v>
      </c>
      <c r="AB37" t="s">
        <v>225</v>
      </c>
      <c r="AC37">
        <v>1345.3</v>
      </c>
      <c r="AD37">
        <v>8071.8</v>
      </c>
      <c r="AE37" s="755">
        <v>161436</v>
      </c>
      <c r="AF37">
        <v>20</v>
      </c>
    </row>
    <row r="38" spans="1:32" x14ac:dyDescent="0.3">
      <c r="A38" s="145">
        <v>45279</v>
      </c>
      <c r="B38" s="189">
        <v>226</v>
      </c>
      <c r="C38" s="70" t="s">
        <v>549</v>
      </c>
      <c r="D38" s="35" t="s">
        <v>596</v>
      </c>
      <c r="E38" s="2" t="s">
        <v>589</v>
      </c>
      <c r="F38" s="2" t="s">
        <v>585</v>
      </c>
      <c r="G38" s="2" t="s">
        <v>568</v>
      </c>
      <c r="H38" s="14" t="s">
        <v>226</v>
      </c>
      <c r="I38" s="2" t="s">
        <v>517</v>
      </c>
      <c r="J38" s="9" t="s">
        <v>0</v>
      </c>
      <c r="K38" s="2" t="s">
        <v>531</v>
      </c>
      <c r="L38" s="2" t="s">
        <v>593</v>
      </c>
      <c r="M38" s="2" t="s">
        <v>532</v>
      </c>
      <c r="N38" s="2" t="s">
        <v>532</v>
      </c>
      <c r="O38" s="2" t="s">
        <v>570</v>
      </c>
      <c r="P38" s="2" t="s">
        <v>573</v>
      </c>
      <c r="Q38" s="67" t="s">
        <v>0</v>
      </c>
      <c r="R38" s="110" t="s">
        <v>519</v>
      </c>
      <c r="S38" s="166">
        <v>100</v>
      </c>
      <c r="T38" s="166" t="s">
        <v>0</v>
      </c>
      <c r="U38" s="67" t="s">
        <v>576</v>
      </c>
      <c r="V38" s="391">
        <v>2000000</v>
      </c>
      <c r="W38" s="208">
        <v>6550305.1937448559</v>
      </c>
      <c r="X38" s="208">
        <v>6131225.9761377368</v>
      </c>
      <c r="Y38" s="206">
        <v>153280649.40344343</v>
      </c>
      <c r="Z38" s="110" t="s">
        <v>658</v>
      </c>
      <c r="AA38" s="394" t="s">
        <v>657</v>
      </c>
      <c r="AB38" t="s">
        <v>226</v>
      </c>
      <c r="AC38">
        <v>797.3</v>
      </c>
      <c r="AD38">
        <v>4783.8</v>
      </c>
      <c r="AE38" s="755">
        <v>1435140</v>
      </c>
      <c r="AF38">
        <v>300</v>
      </c>
    </row>
    <row r="39" spans="1:32" x14ac:dyDescent="0.3">
      <c r="A39" s="145">
        <v>45279</v>
      </c>
      <c r="B39" s="189">
        <v>227</v>
      </c>
      <c r="C39" s="70" t="s">
        <v>549</v>
      </c>
      <c r="D39" s="35" t="s">
        <v>596</v>
      </c>
      <c r="E39" s="2" t="s">
        <v>589</v>
      </c>
      <c r="F39" s="2" t="s">
        <v>585</v>
      </c>
      <c r="G39" s="2" t="s">
        <v>568</v>
      </c>
      <c r="H39" s="14" t="s">
        <v>227</v>
      </c>
      <c r="I39" s="2" t="s">
        <v>517</v>
      </c>
      <c r="J39" s="9" t="s">
        <v>0</v>
      </c>
      <c r="K39" s="2" t="s">
        <v>531</v>
      </c>
      <c r="L39" s="2" t="s">
        <v>593</v>
      </c>
      <c r="M39" s="2" t="s">
        <v>532</v>
      </c>
      <c r="N39" s="2" t="s">
        <v>532</v>
      </c>
      <c r="O39" s="2" t="s">
        <v>570</v>
      </c>
      <c r="P39" s="2" t="s">
        <v>574</v>
      </c>
      <c r="Q39" s="67" t="s">
        <v>0</v>
      </c>
      <c r="R39" s="110" t="s">
        <v>519</v>
      </c>
      <c r="S39" s="166">
        <v>100</v>
      </c>
      <c r="T39" s="166" t="s">
        <v>0</v>
      </c>
      <c r="U39" s="67" t="s">
        <v>576</v>
      </c>
      <c r="V39" s="391">
        <v>2000000</v>
      </c>
      <c r="W39" s="208">
        <v>5356247.6982941581</v>
      </c>
      <c r="X39" s="208">
        <v>5013562.5823617596</v>
      </c>
      <c r="Y39" s="206">
        <v>125339064.559044</v>
      </c>
      <c r="Z39" s="110" t="s">
        <v>658</v>
      </c>
      <c r="AA39" s="394" t="s">
        <v>657</v>
      </c>
      <c r="AB39" t="s">
        <v>227</v>
      </c>
      <c r="AC39">
        <v>889.1</v>
      </c>
      <c r="AD39">
        <v>5334.6</v>
      </c>
      <c r="AE39" s="755">
        <v>1600380</v>
      </c>
      <c r="AF39">
        <v>300</v>
      </c>
    </row>
    <row r="40" spans="1:32" x14ac:dyDescent="0.3">
      <c r="A40" s="145">
        <v>45279</v>
      </c>
      <c r="B40" s="189">
        <v>228</v>
      </c>
      <c r="C40" s="70" t="s">
        <v>549</v>
      </c>
      <c r="D40" s="35" t="s">
        <v>596</v>
      </c>
      <c r="E40" s="2" t="s">
        <v>589</v>
      </c>
      <c r="F40" s="2" t="s">
        <v>585</v>
      </c>
      <c r="G40" s="2" t="s">
        <v>568</v>
      </c>
      <c r="H40" s="14" t="s">
        <v>228</v>
      </c>
      <c r="I40" s="2" t="s">
        <v>525</v>
      </c>
      <c r="J40" s="9" t="s">
        <v>0</v>
      </c>
      <c r="K40" s="2" t="s">
        <v>531</v>
      </c>
      <c r="L40" s="2" t="s">
        <v>533</v>
      </c>
      <c r="M40" s="2" t="s">
        <v>532</v>
      </c>
      <c r="N40" s="2" t="s">
        <v>532</v>
      </c>
      <c r="O40" s="2" t="s">
        <v>570</v>
      </c>
      <c r="P40" s="2" t="s">
        <v>573</v>
      </c>
      <c r="Q40" s="67" t="s">
        <v>0</v>
      </c>
      <c r="R40" s="110" t="s">
        <v>0</v>
      </c>
      <c r="S40" s="166">
        <v>100</v>
      </c>
      <c r="T40" s="166" t="s">
        <v>0</v>
      </c>
      <c r="U40" s="67" t="s">
        <v>0</v>
      </c>
      <c r="V40" s="208" t="s">
        <v>0</v>
      </c>
      <c r="W40" s="208">
        <v>21.479609327450035</v>
      </c>
      <c r="X40" s="208">
        <v>20.105374447516443</v>
      </c>
      <c r="Y40" s="206">
        <v>502.63436118791117</v>
      </c>
      <c r="Z40" s="110" t="s">
        <v>646</v>
      </c>
      <c r="AA40" s="393" t="s">
        <v>647</v>
      </c>
      <c r="AB40" t="s">
        <v>228</v>
      </c>
      <c r="AC40">
        <v>0</v>
      </c>
      <c r="AD40">
        <v>0</v>
      </c>
      <c r="AE40" s="755">
        <v>0</v>
      </c>
      <c r="AF40">
        <v>1</v>
      </c>
    </row>
    <row r="41" spans="1:32" x14ac:dyDescent="0.3">
      <c r="A41" s="153">
        <v>45300</v>
      </c>
      <c r="B41" s="188">
        <v>313</v>
      </c>
      <c r="C41" s="50" t="s">
        <v>546</v>
      </c>
      <c r="D41" s="51" t="s">
        <v>552</v>
      </c>
      <c r="E41" s="65" t="s">
        <v>588</v>
      </c>
      <c r="F41" s="65" t="s">
        <v>584</v>
      </c>
      <c r="G41" s="2" t="s">
        <v>556</v>
      </c>
      <c r="H41" s="14" t="s">
        <v>311</v>
      </c>
      <c r="I41" s="2" t="s">
        <v>517</v>
      </c>
      <c r="J41" s="9" t="s">
        <v>0</v>
      </c>
      <c r="K41" s="2" t="s">
        <v>531</v>
      </c>
      <c r="L41" s="2" t="s">
        <v>593</v>
      </c>
      <c r="M41" s="2" t="s">
        <v>531</v>
      </c>
      <c r="N41" s="2" t="s">
        <v>532</v>
      </c>
      <c r="O41" s="2" t="s">
        <v>570</v>
      </c>
      <c r="P41" s="2" t="s">
        <v>573</v>
      </c>
      <c r="Q41" s="67" t="s">
        <v>0</v>
      </c>
      <c r="R41" s="110" t="s">
        <v>519</v>
      </c>
      <c r="S41" s="166">
        <v>100</v>
      </c>
      <c r="T41" s="166" t="s">
        <v>0</v>
      </c>
      <c r="U41" s="67" t="s">
        <v>576</v>
      </c>
      <c r="V41" s="360">
        <v>200000</v>
      </c>
      <c r="W41" s="208">
        <v>58247.984069413098</v>
      </c>
      <c r="X41" s="208">
        <v>54521.360825306518</v>
      </c>
      <c r="Y41" s="206">
        <v>1363034.020632663</v>
      </c>
      <c r="Z41" s="110" t="s">
        <v>662</v>
      </c>
      <c r="AA41" s="393" t="s">
        <v>621</v>
      </c>
      <c r="AB41" t="s">
        <v>311</v>
      </c>
      <c r="AC41">
        <v>911.2</v>
      </c>
      <c r="AD41">
        <v>5467.4</v>
      </c>
      <c r="AE41" s="755">
        <v>5467.4</v>
      </c>
      <c r="AF41">
        <v>1</v>
      </c>
    </row>
    <row r="42" spans="1:32" x14ac:dyDescent="0.3">
      <c r="A42" s="153">
        <v>45300</v>
      </c>
      <c r="B42" s="189">
        <v>314</v>
      </c>
      <c r="C42" s="50" t="s">
        <v>546</v>
      </c>
      <c r="D42" s="51" t="s">
        <v>552</v>
      </c>
      <c r="E42" s="65" t="s">
        <v>588</v>
      </c>
      <c r="F42" s="65" t="s">
        <v>584</v>
      </c>
      <c r="G42" s="2" t="s">
        <v>556</v>
      </c>
      <c r="H42" s="14" t="s">
        <v>312</v>
      </c>
      <c r="I42" s="2" t="s">
        <v>517</v>
      </c>
      <c r="J42" s="9" t="s">
        <v>0</v>
      </c>
      <c r="K42" s="2" t="s">
        <v>531</v>
      </c>
      <c r="L42" s="2" t="s">
        <v>593</v>
      </c>
      <c r="M42" s="2" t="s">
        <v>531</v>
      </c>
      <c r="N42" s="2" t="s">
        <v>532</v>
      </c>
      <c r="O42" s="2" t="s">
        <v>570</v>
      </c>
      <c r="P42" s="2" t="s">
        <v>574</v>
      </c>
      <c r="Q42" s="67" t="s">
        <v>0</v>
      </c>
      <c r="R42" s="110" t="s">
        <v>519</v>
      </c>
      <c r="S42" s="166">
        <v>100</v>
      </c>
      <c r="T42" s="166" t="s">
        <v>0</v>
      </c>
      <c r="U42" s="67" t="s">
        <v>576</v>
      </c>
      <c r="V42" s="360">
        <v>200000</v>
      </c>
      <c r="W42" s="208">
        <v>197109.95004523371</v>
      </c>
      <c r="X42" s="208">
        <v>184499.13555579324</v>
      </c>
      <c r="Y42" s="206">
        <v>4612478.3888948308</v>
      </c>
      <c r="Z42" s="110" t="s">
        <v>662</v>
      </c>
      <c r="AA42" s="393" t="s">
        <v>621</v>
      </c>
      <c r="AB42" t="s">
        <v>312</v>
      </c>
      <c r="AC42">
        <v>3740.6</v>
      </c>
      <c r="AD42">
        <v>22443.4</v>
      </c>
      <c r="AE42" s="755">
        <v>22443.4</v>
      </c>
      <c r="AF42">
        <v>1</v>
      </c>
    </row>
    <row r="43" spans="1:32" x14ac:dyDescent="0.3">
      <c r="A43" s="153">
        <v>45300</v>
      </c>
      <c r="B43" s="189">
        <v>315</v>
      </c>
      <c r="C43" s="50" t="s">
        <v>546</v>
      </c>
      <c r="D43" s="51" t="s">
        <v>552</v>
      </c>
      <c r="E43" s="65" t="s">
        <v>588</v>
      </c>
      <c r="F43" s="65" t="s">
        <v>584</v>
      </c>
      <c r="G43" s="2" t="s">
        <v>556</v>
      </c>
      <c r="H43" s="14" t="s">
        <v>313</v>
      </c>
      <c r="I43" s="2" t="s">
        <v>517</v>
      </c>
      <c r="J43" s="9" t="s">
        <v>0</v>
      </c>
      <c r="K43" s="2" t="s">
        <v>531</v>
      </c>
      <c r="L43" s="2" t="s">
        <v>593</v>
      </c>
      <c r="M43" s="2" t="s">
        <v>531</v>
      </c>
      <c r="N43" s="2" t="s">
        <v>532</v>
      </c>
      <c r="O43" s="2" t="s">
        <v>570</v>
      </c>
      <c r="P43" s="2" t="s">
        <v>503</v>
      </c>
      <c r="Q43" s="67" t="s">
        <v>0</v>
      </c>
      <c r="R43" s="110" t="s">
        <v>519</v>
      </c>
      <c r="S43" s="166">
        <v>100</v>
      </c>
      <c r="T43" s="166" t="s">
        <v>0</v>
      </c>
      <c r="U43" s="67" t="s">
        <v>576</v>
      </c>
      <c r="V43" s="360">
        <v>200000</v>
      </c>
      <c r="W43" s="208" t="s">
        <v>0</v>
      </c>
      <c r="X43" s="302" t="s">
        <v>0</v>
      </c>
      <c r="Y43" s="382" t="s">
        <v>0</v>
      </c>
      <c r="Z43" s="110" t="s">
        <v>662</v>
      </c>
      <c r="AA43" s="393" t="s">
        <v>621</v>
      </c>
      <c r="AB43" t="s">
        <v>313</v>
      </c>
      <c r="AC43">
        <v>1231</v>
      </c>
      <c r="AD43">
        <v>7386.2</v>
      </c>
      <c r="AE43" s="755">
        <v>7386.2</v>
      </c>
      <c r="AF43">
        <v>1</v>
      </c>
    </row>
    <row r="44" spans="1:32" x14ac:dyDescent="0.3">
      <c r="A44" s="153">
        <v>45300</v>
      </c>
      <c r="B44" s="189">
        <v>316</v>
      </c>
      <c r="C44" s="50" t="s">
        <v>546</v>
      </c>
      <c r="D44" s="51" t="s">
        <v>552</v>
      </c>
      <c r="E44" s="65" t="s">
        <v>588</v>
      </c>
      <c r="F44" s="65" t="s">
        <v>584</v>
      </c>
      <c r="G44" s="2" t="s">
        <v>556</v>
      </c>
      <c r="H44" s="14" t="s">
        <v>314</v>
      </c>
      <c r="I44" s="2" t="s">
        <v>517</v>
      </c>
      <c r="J44" s="9" t="s">
        <v>0</v>
      </c>
      <c r="K44" s="2" t="s">
        <v>531</v>
      </c>
      <c r="L44" s="2" t="s">
        <v>593</v>
      </c>
      <c r="M44" s="2" t="s">
        <v>531</v>
      </c>
      <c r="N44" s="2" t="s">
        <v>532</v>
      </c>
      <c r="O44" s="2" t="s">
        <v>570</v>
      </c>
      <c r="P44" s="2" t="s">
        <v>575</v>
      </c>
      <c r="Q44" s="67" t="s">
        <v>0</v>
      </c>
      <c r="R44" s="110" t="s">
        <v>519</v>
      </c>
      <c r="S44" s="166">
        <v>100</v>
      </c>
      <c r="T44" s="166" t="s">
        <v>0</v>
      </c>
      <c r="U44" s="67" t="s">
        <v>576</v>
      </c>
      <c r="V44" s="360">
        <v>200000</v>
      </c>
      <c r="W44" s="208">
        <v>320073.10737623874</v>
      </c>
      <c r="X44" s="208">
        <v>299595.28482464136</v>
      </c>
      <c r="Y44" s="206">
        <v>7489882.1206160355</v>
      </c>
      <c r="Z44" s="110" t="s">
        <v>662</v>
      </c>
      <c r="AA44" s="393" t="s">
        <v>621</v>
      </c>
      <c r="AB44" t="s">
        <v>314</v>
      </c>
      <c r="AC44">
        <v>4508.7</v>
      </c>
      <c r="AD44">
        <v>27052.400000000001</v>
      </c>
      <c r="AE44" s="755">
        <v>27052.400000000001</v>
      </c>
      <c r="AF44">
        <v>1</v>
      </c>
    </row>
    <row r="45" spans="1:32" x14ac:dyDescent="0.3">
      <c r="A45" s="153">
        <v>45300</v>
      </c>
      <c r="B45" s="189">
        <v>317</v>
      </c>
      <c r="C45" s="50" t="s">
        <v>546</v>
      </c>
      <c r="D45" s="49" t="s">
        <v>596</v>
      </c>
      <c r="E45" s="65" t="s">
        <v>589</v>
      </c>
      <c r="F45" s="65" t="s">
        <v>585</v>
      </c>
      <c r="G45" s="2" t="s">
        <v>556</v>
      </c>
      <c r="H45" s="14" t="s">
        <v>315</v>
      </c>
      <c r="I45" s="2" t="s">
        <v>517</v>
      </c>
      <c r="J45" s="9" t="s">
        <v>0</v>
      </c>
      <c r="K45" s="2" t="s">
        <v>531</v>
      </c>
      <c r="L45" s="2" t="s">
        <v>593</v>
      </c>
      <c r="M45" s="2" t="s">
        <v>531</v>
      </c>
      <c r="N45" s="2" t="s">
        <v>532</v>
      </c>
      <c r="O45" s="2" t="s">
        <v>570</v>
      </c>
      <c r="P45" s="2" t="s">
        <v>573</v>
      </c>
      <c r="Q45" s="67" t="s">
        <v>0</v>
      </c>
      <c r="R45" s="110" t="s">
        <v>519</v>
      </c>
      <c r="S45" s="166">
        <v>100</v>
      </c>
      <c r="T45" s="166" t="s">
        <v>0</v>
      </c>
      <c r="U45" s="67" t="s">
        <v>576</v>
      </c>
      <c r="V45" s="360">
        <v>200000</v>
      </c>
      <c r="W45" s="208">
        <v>1004842.7013444382</v>
      </c>
      <c r="X45" s="208">
        <v>940554.29330204893</v>
      </c>
      <c r="Y45" s="206">
        <v>23513857.332551222</v>
      </c>
      <c r="Z45" s="110" t="s">
        <v>662</v>
      </c>
      <c r="AA45" s="393" t="s">
        <v>622</v>
      </c>
      <c r="AB45" t="s">
        <v>315</v>
      </c>
      <c r="AC45">
        <v>5129.2</v>
      </c>
      <c r="AD45">
        <v>30775.200000000001</v>
      </c>
      <c r="AE45" s="755">
        <v>307752</v>
      </c>
      <c r="AF45">
        <v>10</v>
      </c>
    </row>
    <row r="46" spans="1:32" x14ac:dyDescent="0.3">
      <c r="A46" s="153">
        <v>45300</v>
      </c>
      <c r="B46" s="189">
        <v>318</v>
      </c>
      <c r="C46" s="50" t="s">
        <v>546</v>
      </c>
      <c r="D46" s="49" t="s">
        <v>596</v>
      </c>
      <c r="E46" s="65" t="s">
        <v>589</v>
      </c>
      <c r="F46" s="65" t="s">
        <v>585</v>
      </c>
      <c r="G46" s="2" t="s">
        <v>556</v>
      </c>
      <c r="H46" s="14" t="s">
        <v>316</v>
      </c>
      <c r="I46" s="2" t="s">
        <v>517</v>
      </c>
      <c r="J46" s="9" t="s">
        <v>0</v>
      </c>
      <c r="K46" s="2" t="s">
        <v>531</v>
      </c>
      <c r="L46" s="2" t="s">
        <v>593</v>
      </c>
      <c r="M46" s="2" t="s">
        <v>531</v>
      </c>
      <c r="N46" s="2" t="s">
        <v>532</v>
      </c>
      <c r="O46" s="2" t="s">
        <v>570</v>
      </c>
      <c r="P46" s="2" t="s">
        <v>574</v>
      </c>
      <c r="Q46" s="67" t="s">
        <v>0</v>
      </c>
      <c r="R46" s="110" t="s">
        <v>519</v>
      </c>
      <c r="S46" s="166">
        <v>100</v>
      </c>
      <c r="T46" s="166" t="s">
        <v>0</v>
      </c>
      <c r="U46" s="67" t="s">
        <v>576</v>
      </c>
      <c r="V46" s="360">
        <v>200000</v>
      </c>
      <c r="W46" s="208">
        <v>827703.20169062796</v>
      </c>
      <c r="X46" s="208">
        <v>774747.92710179533</v>
      </c>
      <c r="Y46" s="206">
        <v>19368698.177544884</v>
      </c>
      <c r="Z46" s="110" t="s">
        <v>662</v>
      </c>
      <c r="AA46" s="393" t="s">
        <v>622</v>
      </c>
      <c r="AB46" t="s">
        <v>316</v>
      </c>
      <c r="AC46">
        <v>3756.8</v>
      </c>
      <c r="AD46">
        <v>22540.799999999999</v>
      </c>
      <c r="AE46" s="755">
        <v>225408</v>
      </c>
      <c r="AF46">
        <v>10</v>
      </c>
    </row>
    <row r="47" spans="1:32" x14ac:dyDescent="0.3">
      <c r="A47" s="153">
        <v>45300</v>
      </c>
      <c r="B47" s="189">
        <v>319</v>
      </c>
      <c r="C47" s="50" t="s">
        <v>546</v>
      </c>
      <c r="D47" s="49" t="s">
        <v>596</v>
      </c>
      <c r="E47" s="65" t="s">
        <v>589</v>
      </c>
      <c r="F47" s="65" t="s">
        <v>585</v>
      </c>
      <c r="G47" s="2" t="s">
        <v>556</v>
      </c>
      <c r="H47" s="14" t="s">
        <v>317</v>
      </c>
      <c r="I47" s="2" t="s">
        <v>517</v>
      </c>
      <c r="J47" s="9" t="s">
        <v>0</v>
      </c>
      <c r="K47" s="2" t="s">
        <v>531</v>
      </c>
      <c r="L47" s="2" t="s">
        <v>593</v>
      </c>
      <c r="M47" s="2" t="s">
        <v>531</v>
      </c>
      <c r="N47" s="2" t="s">
        <v>532</v>
      </c>
      <c r="O47" s="2" t="s">
        <v>570</v>
      </c>
      <c r="P47" s="2" t="s">
        <v>503</v>
      </c>
      <c r="Q47" s="67" t="s">
        <v>0</v>
      </c>
      <c r="R47" s="110" t="s">
        <v>519</v>
      </c>
      <c r="S47" s="166">
        <v>100</v>
      </c>
      <c r="T47" s="166" t="s">
        <v>0</v>
      </c>
      <c r="U47" s="67" t="s">
        <v>576</v>
      </c>
      <c r="V47" s="360">
        <v>200000</v>
      </c>
      <c r="W47" s="208">
        <v>749910.20769575436</v>
      </c>
      <c r="X47" s="208">
        <v>701932.01831049658</v>
      </c>
      <c r="Y47" s="206">
        <v>17548300.457762413</v>
      </c>
      <c r="Z47" s="110" t="s">
        <v>662</v>
      </c>
      <c r="AA47" s="393" t="s">
        <v>622</v>
      </c>
      <c r="AB47" t="s">
        <v>317</v>
      </c>
      <c r="AC47">
        <v>2747</v>
      </c>
      <c r="AD47">
        <v>16482</v>
      </c>
      <c r="AE47" s="755">
        <v>164820</v>
      </c>
      <c r="AF47">
        <v>10</v>
      </c>
    </row>
    <row r="48" spans="1:32" x14ac:dyDescent="0.3">
      <c r="A48" s="153">
        <v>45300</v>
      </c>
      <c r="B48" s="189">
        <v>320</v>
      </c>
      <c r="C48" s="50" t="s">
        <v>546</v>
      </c>
      <c r="D48" s="49" t="s">
        <v>596</v>
      </c>
      <c r="E48" s="65" t="s">
        <v>589</v>
      </c>
      <c r="F48" s="65" t="s">
        <v>585</v>
      </c>
      <c r="G48" s="2" t="s">
        <v>556</v>
      </c>
      <c r="H48" s="14" t="s">
        <v>318</v>
      </c>
      <c r="I48" s="2" t="s">
        <v>517</v>
      </c>
      <c r="J48" s="9" t="s">
        <v>0</v>
      </c>
      <c r="K48" s="2" t="s">
        <v>531</v>
      </c>
      <c r="L48" s="2" t="s">
        <v>593</v>
      </c>
      <c r="M48" s="2" t="s">
        <v>531</v>
      </c>
      <c r="N48" s="2" t="s">
        <v>532</v>
      </c>
      <c r="O48" s="2" t="s">
        <v>570</v>
      </c>
      <c r="P48" s="2" t="s">
        <v>575</v>
      </c>
      <c r="Q48" s="67" t="s">
        <v>0</v>
      </c>
      <c r="R48" s="110" t="s">
        <v>519</v>
      </c>
      <c r="S48" s="166">
        <v>100</v>
      </c>
      <c r="T48" s="166" t="s">
        <v>0</v>
      </c>
      <c r="U48" s="67" t="s">
        <v>576</v>
      </c>
      <c r="V48" s="360">
        <v>200000</v>
      </c>
      <c r="W48" s="208">
        <v>924121.30069524643</v>
      </c>
      <c r="X48" s="208">
        <v>864997.33315259428</v>
      </c>
      <c r="Y48" s="206">
        <v>21624933.328814853</v>
      </c>
      <c r="Z48" s="110" t="s">
        <v>662</v>
      </c>
      <c r="AA48" s="393" t="s">
        <v>622</v>
      </c>
      <c r="AB48" t="s">
        <v>318</v>
      </c>
      <c r="AC48">
        <v>3179</v>
      </c>
      <c r="AD48">
        <v>19074</v>
      </c>
      <c r="AE48" s="755">
        <v>190740</v>
      </c>
      <c r="AF48">
        <v>10</v>
      </c>
    </row>
    <row r="49" spans="1:32" x14ac:dyDescent="0.3">
      <c r="A49" s="153">
        <v>45300</v>
      </c>
      <c r="B49" s="189">
        <v>321</v>
      </c>
      <c r="C49" s="50" t="s">
        <v>546</v>
      </c>
      <c r="D49" s="51" t="s">
        <v>552</v>
      </c>
      <c r="E49" s="65" t="s">
        <v>588</v>
      </c>
      <c r="F49" s="65" t="s">
        <v>584</v>
      </c>
      <c r="G49" s="2" t="s">
        <v>556</v>
      </c>
      <c r="H49" s="14" t="s">
        <v>319</v>
      </c>
      <c r="I49" s="2" t="s">
        <v>517</v>
      </c>
      <c r="J49" s="9" t="s">
        <v>0</v>
      </c>
      <c r="K49" s="2" t="s">
        <v>531</v>
      </c>
      <c r="L49" s="2" t="s">
        <v>593</v>
      </c>
      <c r="M49" s="2" t="s">
        <v>531</v>
      </c>
      <c r="N49" s="2" t="s">
        <v>532</v>
      </c>
      <c r="O49" s="2" t="s">
        <v>570</v>
      </c>
      <c r="P49" s="2" t="s">
        <v>573</v>
      </c>
      <c r="Q49" s="67" t="s">
        <v>0</v>
      </c>
      <c r="R49" s="110" t="s">
        <v>519</v>
      </c>
      <c r="S49" s="166">
        <v>400</v>
      </c>
      <c r="T49" s="166" t="s">
        <v>0</v>
      </c>
      <c r="U49" s="67" t="s">
        <v>576</v>
      </c>
      <c r="V49" s="360">
        <v>200000</v>
      </c>
      <c r="W49" s="208">
        <v>333276.47224274732</v>
      </c>
      <c r="X49" s="208">
        <v>311953.91717039328</v>
      </c>
      <c r="Y49" s="206">
        <v>7798847.9292598329</v>
      </c>
      <c r="Z49" s="110" t="s">
        <v>662</v>
      </c>
      <c r="AA49" s="393" t="s">
        <v>621</v>
      </c>
      <c r="AB49" t="s">
        <v>319</v>
      </c>
      <c r="AC49">
        <v>5142.7</v>
      </c>
      <c r="AD49">
        <v>30856.2</v>
      </c>
      <c r="AE49" s="755">
        <v>30856.2</v>
      </c>
      <c r="AF49">
        <v>1</v>
      </c>
    </row>
    <row r="50" spans="1:32" x14ac:dyDescent="0.3">
      <c r="A50" s="153">
        <v>45300</v>
      </c>
      <c r="B50" s="189">
        <v>322</v>
      </c>
      <c r="C50" s="50" t="s">
        <v>546</v>
      </c>
      <c r="D50" s="51" t="s">
        <v>552</v>
      </c>
      <c r="E50" s="65" t="s">
        <v>588</v>
      </c>
      <c r="F50" s="65" t="s">
        <v>584</v>
      </c>
      <c r="G50" s="2" t="s">
        <v>556</v>
      </c>
      <c r="H50" s="14" t="s">
        <v>320</v>
      </c>
      <c r="I50" s="2" t="s">
        <v>517</v>
      </c>
      <c r="J50" s="9" t="s">
        <v>0</v>
      </c>
      <c r="K50" s="2" t="s">
        <v>531</v>
      </c>
      <c r="L50" s="2" t="s">
        <v>593</v>
      </c>
      <c r="M50" s="2" t="s">
        <v>531</v>
      </c>
      <c r="N50" s="2" t="s">
        <v>532</v>
      </c>
      <c r="O50" s="2" t="s">
        <v>570</v>
      </c>
      <c r="P50" s="2" t="s">
        <v>574</v>
      </c>
      <c r="Q50" s="67" t="s">
        <v>0</v>
      </c>
      <c r="R50" s="110" t="s">
        <v>519</v>
      </c>
      <c r="S50" s="166">
        <v>400</v>
      </c>
      <c r="T50" s="166" t="s">
        <v>0</v>
      </c>
      <c r="U50" s="67" t="s">
        <v>576</v>
      </c>
      <c r="V50" s="360">
        <v>200000</v>
      </c>
      <c r="W50" s="208">
        <v>156440.85408500282</v>
      </c>
      <c r="X50" s="208">
        <v>146431.99055993542</v>
      </c>
      <c r="Y50" s="206">
        <v>3660799.7639983851</v>
      </c>
      <c r="Z50" s="110" t="s">
        <v>662</v>
      </c>
      <c r="AA50" s="393" t="s">
        <v>621</v>
      </c>
      <c r="AB50" t="s">
        <v>320</v>
      </c>
      <c r="AC50">
        <v>2068.1999999999998</v>
      </c>
      <c r="AD50">
        <v>12409.2</v>
      </c>
      <c r="AE50" s="755">
        <v>12409.2</v>
      </c>
      <c r="AF50">
        <v>1</v>
      </c>
    </row>
    <row r="51" spans="1:32" x14ac:dyDescent="0.3">
      <c r="A51" s="153">
        <v>45300</v>
      </c>
      <c r="B51" s="189">
        <v>323</v>
      </c>
      <c r="C51" s="50" t="s">
        <v>546</v>
      </c>
      <c r="D51" s="51" t="s">
        <v>552</v>
      </c>
      <c r="E51" s="65" t="s">
        <v>588</v>
      </c>
      <c r="F51" s="65" t="s">
        <v>584</v>
      </c>
      <c r="G51" s="2" t="s">
        <v>556</v>
      </c>
      <c r="H51" s="14" t="s">
        <v>321</v>
      </c>
      <c r="I51" s="2" t="s">
        <v>517</v>
      </c>
      <c r="J51" s="9" t="s">
        <v>0</v>
      </c>
      <c r="K51" s="2" t="s">
        <v>531</v>
      </c>
      <c r="L51" s="2" t="s">
        <v>593</v>
      </c>
      <c r="M51" s="2" t="s">
        <v>531</v>
      </c>
      <c r="N51" s="2" t="s">
        <v>532</v>
      </c>
      <c r="O51" s="2" t="s">
        <v>570</v>
      </c>
      <c r="P51" s="2" t="s">
        <v>503</v>
      </c>
      <c r="Q51" s="67" t="s">
        <v>0</v>
      </c>
      <c r="R51" s="110" t="s">
        <v>519</v>
      </c>
      <c r="S51" s="166">
        <v>400</v>
      </c>
      <c r="T51" s="166" t="s">
        <v>0</v>
      </c>
      <c r="U51" s="67" t="s">
        <v>576</v>
      </c>
      <c r="V51" s="360">
        <v>200000</v>
      </c>
      <c r="W51" s="208">
        <v>150747.73732005121</v>
      </c>
      <c r="X51" s="208">
        <v>141103.11131507374</v>
      </c>
      <c r="Y51" s="206">
        <v>3527577.7828768436</v>
      </c>
      <c r="Z51" s="110" t="s">
        <v>662</v>
      </c>
      <c r="AA51" s="393" t="s">
        <v>621</v>
      </c>
      <c r="AB51" t="s">
        <v>321</v>
      </c>
      <c r="AC51">
        <v>2738</v>
      </c>
      <c r="AD51">
        <v>16428</v>
      </c>
      <c r="AE51" s="755">
        <v>16428</v>
      </c>
      <c r="AF51">
        <v>1</v>
      </c>
    </row>
    <row r="52" spans="1:32" x14ac:dyDescent="0.3">
      <c r="A52" s="153">
        <v>45300</v>
      </c>
      <c r="B52" s="189">
        <v>324</v>
      </c>
      <c r="C52" s="50" t="s">
        <v>546</v>
      </c>
      <c r="D52" s="51" t="s">
        <v>552</v>
      </c>
      <c r="E52" s="65" t="s">
        <v>588</v>
      </c>
      <c r="F52" s="65" t="s">
        <v>584</v>
      </c>
      <c r="G52" s="2" t="s">
        <v>556</v>
      </c>
      <c r="H52" s="14" t="s">
        <v>322</v>
      </c>
      <c r="I52" s="2" t="s">
        <v>517</v>
      </c>
      <c r="J52" s="9" t="s">
        <v>0</v>
      </c>
      <c r="K52" s="2" t="s">
        <v>531</v>
      </c>
      <c r="L52" s="2" t="s">
        <v>593</v>
      </c>
      <c r="M52" s="2" t="s">
        <v>531</v>
      </c>
      <c r="N52" s="2" t="s">
        <v>532</v>
      </c>
      <c r="O52" s="2" t="s">
        <v>570</v>
      </c>
      <c r="P52" s="2" t="s">
        <v>575</v>
      </c>
      <c r="Q52" s="67" t="s">
        <v>0</v>
      </c>
      <c r="R52" s="110" t="s">
        <v>519</v>
      </c>
      <c r="S52" s="166">
        <v>400</v>
      </c>
      <c r="T52" s="166" t="s">
        <v>0</v>
      </c>
      <c r="U52" s="67" t="s">
        <v>576</v>
      </c>
      <c r="V52" s="360">
        <v>200000</v>
      </c>
      <c r="W52" s="208">
        <v>309327.25910830393</v>
      </c>
      <c r="X52" s="208">
        <v>289536.94065788208</v>
      </c>
      <c r="Y52" s="206">
        <v>7238423.5164470524</v>
      </c>
      <c r="Z52" s="110" t="s">
        <v>662</v>
      </c>
      <c r="AA52" s="393" t="s">
        <v>621</v>
      </c>
      <c r="AB52" t="s">
        <v>322</v>
      </c>
      <c r="AC52">
        <v>5984.4</v>
      </c>
      <c r="AD52">
        <v>35906.6</v>
      </c>
      <c r="AE52" s="755">
        <v>35906.6</v>
      </c>
      <c r="AF52">
        <v>1</v>
      </c>
    </row>
    <row r="53" spans="1:32" x14ac:dyDescent="0.3">
      <c r="A53" s="153">
        <v>45300</v>
      </c>
      <c r="B53" s="189">
        <v>325</v>
      </c>
      <c r="C53" s="50" t="s">
        <v>546</v>
      </c>
      <c r="D53" s="49" t="s">
        <v>596</v>
      </c>
      <c r="E53" s="65" t="s">
        <v>589</v>
      </c>
      <c r="F53" s="65" t="s">
        <v>585</v>
      </c>
      <c r="G53" s="2" t="s">
        <v>556</v>
      </c>
      <c r="H53" s="14" t="s">
        <v>323</v>
      </c>
      <c r="I53" s="2" t="s">
        <v>517</v>
      </c>
      <c r="J53" s="9" t="s">
        <v>0</v>
      </c>
      <c r="K53" s="2" t="s">
        <v>531</v>
      </c>
      <c r="L53" s="2" t="s">
        <v>593</v>
      </c>
      <c r="M53" s="2" t="s">
        <v>531</v>
      </c>
      <c r="N53" s="2" t="s">
        <v>532</v>
      </c>
      <c r="O53" s="2" t="s">
        <v>570</v>
      </c>
      <c r="P53" s="2" t="s">
        <v>573</v>
      </c>
      <c r="Q53" s="67" t="s">
        <v>0</v>
      </c>
      <c r="R53" s="110" t="s">
        <v>519</v>
      </c>
      <c r="S53" s="166">
        <v>400</v>
      </c>
      <c r="T53" s="166" t="s">
        <v>0</v>
      </c>
      <c r="U53" s="67" t="s">
        <v>576</v>
      </c>
      <c r="V53" s="360">
        <v>200000</v>
      </c>
      <c r="W53" s="208">
        <v>550358.23485896597</v>
      </c>
      <c r="X53" s="208">
        <v>515147.09711097501</v>
      </c>
      <c r="Y53" s="206">
        <v>12878677.427774373</v>
      </c>
      <c r="Z53" s="110" t="s">
        <v>662</v>
      </c>
      <c r="AA53" s="393" t="s">
        <v>622</v>
      </c>
      <c r="AB53" t="s">
        <v>323</v>
      </c>
      <c r="AC53">
        <v>1130.7</v>
      </c>
      <c r="AD53">
        <v>6784.2</v>
      </c>
      <c r="AE53" s="755">
        <v>67842</v>
      </c>
      <c r="AF53">
        <v>10</v>
      </c>
    </row>
    <row r="54" spans="1:32" x14ac:dyDescent="0.3">
      <c r="A54" s="153">
        <v>45300</v>
      </c>
      <c r="B54" s="188">
        <v>326</v>
      </c>
      <c r="C54" s="50" t="s">
        <v>546</v>
      </c>
      <c r="D54" s="49" t="s">
        <v>596</v>
      </c>
      <c r="E54" s="65" t="s">
        <v>589</v>
      </c>
      <c r="F54" s="65" t="s">
        <v>585</v>
      </c>
      <c r="G54" s="2" t="s">
        <v>556</v>
      </c>
      <c r="H54" s="14" t="s">
        <v>324</v>
      </c>
      <c r="I54" s="2" t="s">
        <v>517</v>
      </c>
      <c r="J54" s="9" t="s">
        <v>0</v>
      </c>
      <c r="K54" s="2" t="s">
        <v>531</v>
      </c>
      <c r="L54" s="2" t="s">
        <v>593</v>
      </c>
      <c r="M54" s="2" t="s">
        <v>531</v>
      </c>
      <c r="N54" s="2" t="s">
        <v>532</v>
      </c>
      <c r="O54" s="2" t="s">
        <v>570</v>
      </c>
      <c r="P54" s="2" t="s">
        <v>574</v>
      </c>
      <c r="Q54" s="67" t="s">
        <v>0</v>
      </c>
      <c r="R54" s="110" t="s">
        <v>519</v>
      </c>
      <c r="S54" s="166">
        <v>400</v>
      </c>
      <c r="T54" s="166" t="s">
        <v>0</v>
      </c>
      <c r="U54" s="67" t="s">
        <v>576</v>
      </c>
      <c r="V54" s="360">
        <v>200000</v>
      </c>
      <c r="W54" s="208">
        <v>387667.03301763342</v>
      </c>
      <c r="X54" s="208">
        <v>362864.64716174302</v>
      </c>
      <c r="Y54" s="206">
        <v>9071616.1790435761</v>
      </c>
      <c r="Z54" s="110" t="s">
        <v>662</v>
      </c>
      <c r="AA54" s="393" t="s">
        <v>622</v>
      </c>
      <c r="AB54" t="s">
        <v>324</v>
      </c>
      <c r="AC54">
        <v>2819.7</v>
      </c>
      <c r="AD54">
        <v>16918.2</v>
      </c>
      <c r="AE54" s="755">
        <v>169182</v>
      </c>
      <c r="AF54">
        <v>10</v>
      </c>
    </row>
    <row r="55" spans="1:32" x14ac:dyDescent="0.3">
      <c r="A55" s="153">
        <v>45300</v>
      </c>
      <c r="B55" s="189">
        <v>327</v>
      </c>
      <c r="C55" s="50" t="s">
        <v>546</v>
      </c>
      <c r="D55" s="49" t="s">
        <v>596</v>
      </c>
      <c r="E55" s="65" t="s">
        <v>589</v>
      </c>
      <c r="F55" s="65" t="s">
        <v>585</v>
      </c>
      <c r="G55" s="2" t="s">
        <v>556</v>
      </c>
      <c r="H55" s="14" t="s">
        <v>325</v>
      </c>
      <c r="I55" s="2" t="s">
        <v>517</v>
      </c>
      <c r="J55" s="9" t="s">
        <v>0</v>
      </c>
      <c r="K55" s="2" t="s">
        <v>531</v>
      </c>
      <c r="L55" s="2" t="s">
        <v>593</v>
      </c>
      <c r="M55" s="2" t="s">
        <v>531</v>
      </c>
      <c r="N55" s="2" t="s">
        <v>532</v>
      </c>
      <c r="O55" s="2" t="s">
        <v>570</v>
      </c>
      <c r="P55" s="2" t="s">
        <v>503</v>
      </c>
      <c r="Q55" s="67" t="s">
        <v>0</v>
      </c>
      <c r="R55" s="110" t="s">
        <v>519</v>
      </c>
      <c r="S55" s="166">
        <v>400</v>
      </c>
      <c r="T55" s="166" t="s">
        <v>0</v>
      </c>
      <c r="U55" s="67" t="s">
        <v>576</v>
      </c>
      <c r="V55" s="360">
        <v>200000</v>
      </c>
      <c r="W55" s="208">
        <v>617140.45952311426</v>
      </c>
      <c r="X55" s="208">
        <v>577656.68994583993</v>
      </c>
      <c r="Y55" s="206">
        <v>14441417.248645999</v>
      </c>
      <c r="Z55" s="110" t="s">
        <v>662</v>
      </c>
      <c r="AA55" s="393" t="s">
        <v>622</v>
      </c>
      <c r="AB55" t="s">
        <v>325</v>
      </c>
      <c r="AC55">
        <v>1889.9</v>
      </c>
      <c r="AD55">
        <v>11339.4</v>
      </c>
      <c r="AE55" s="755">
        <v>113394</v>
      </c>
      <c r="AF55">
        <v>10</v>
      </c>
    </row>
    <row r="56" spans="1:32" ht="16.2" thickBot="1" x14ac:dyDescent="0.35">
      <c r="A56" s="239">
        <v>45300</v>
      </c>
      <c r="B56" s="190">
        <v>328</v>
      </c>
      <c r="C56" s="120" t="s">
        <v>546</v>
      </c>
      <c r="D56" s="240" t="s">
        <v>596</v>
      </c>
      <c r="E56" s="207" t="s">
        <v>589</v>
      </c>
      <c r="F56" s="207" t="s">
        <v>585</v>
      </c>
      <c r="G56" s="107" t="s">
        <v>556</v>
      </c>
      <c r="H56" s="340" t="s">
        <v>597</v>
      </c>
      <c r="I56" s="107" t="s">
        <v>517</v>
      </c>
      <c r="J56" s="129" t="s">
        <v>0</v>
      </c>
      <c r="K56" s="107" t="s">
        <v>531</v>
      </c>
      <c r="L56" s="107" t="s">
        <v>593</v>
      </c>
      <c r="M56" s="107" t="s">
        <v>531</v>
      </c>
      <c r="N56" s="107" t="s">
        <v>532</v>
      </c>
      <c r="O56" s="107" t="s">
        <v>570</v>
      </c>
      <c r="P56" s="107" t="s">
        <v>503</v>
      </c>
      <c r="Q56" s="118" t="s">
        <v>0</v>
      </c>
      <c r="R56" s="111" t="s">
        <v>519</v>
      </c>
      <c r="S56" s="224">
        <v>400</v>
      </c>
      <c r="T56" s="224" t="s">
        <v>0</v>
      </c>
      <c r="U56" s="118" t="s">
        <v>576</v>
      </c>
      <c r="V56" s="363">
        <v>200000</v>
      </c>
      <c r="W56" s="211">
        <v>550358.23485896597</v>
      </c>
      <c r="X56" s="211">
        <v>515147.09711097501</v>
      </c>
      <c r="Y56" s="380">
        <v>12878677.427774373</v>
      </c>
      <c r="Z56" s="111" t="s">
        <v>662</v>
      </c>
      <c r="AA56" s="408" t="s">
        <v>622</v>
      </c>
      <c r="AB56" t="s">
        <v>836</v>
      </c>
      <c r="AC56">
        <v>1175.0999999999999</v>
      </c>
      <c r="AD56">
        <v>7050.6</v>
      </c>
      <c r="AE56" s="755">
        <v>282024</v>
      </c>
      <c r="AF56">
        <v>40</v>
      </c>
    </row>
    <row r="57" spans="1:32" ht="16.2" thickBot="1" x14ac:dyDescent="0.35">
      <c r="C57" s="760" t="s">
        <v>546</v>
      </c>
      <c r="D57" s="761" t="s">
        <v>552</v>
      </c>
      <c r="H57" t="s">
        <v>303</v>
      </c>
      <c r="Z57" s="111" t="s">
        <v>662</v>
      </c>
      <c r="AA57" s="758" t="s">
        <v>621</v>
      </c>
      <c r="AB57" t="s">
        <v>303</v>
      </c>
      <c r="AC57">
        <v>4.2</v>
      </c>
      <c r="AD57">
        <v>24.91</v>
      </c>
      <c r="AE57" s="754">
        <v>24.91</v>
      </c>
      <c r="AF57">
        <v>1</v>
      </c>
    </row>
    <row r="58" spans="1:32" ht="16.2" thickBot="1" x14ac:dyDescent="0.35">
      <c r="C58" s="760" t="s">
        <v>546</v>
      </c>
      <c r="D58" s="761" t="s">
        <v>552</v>
      </c>
      <c r="H58" t="s">
        <v>304</v>
      </c>
      <c r="Z58" s="111" t="s">
        <v>662</v>
      </c>
      <c r="AA58" s="758" t="s">
        <v>621</v>
      </c>
      <c r="AB58" t="s">
        <v>304</v>
      </c>
      <c r="AC58">
        <v>0.9</v>
      </c>
      <c r="AD58">
        <v>5.08</v>
      </c>
      <c r="AE58" s="754">
        <v>5.08</v>
      </c>
      <c r="AF58">
        <v>1</v>
      </c>
    </row>
    <row r="59" spans="1:32" ht="16.2" thickBot="1" x14ac:dyDescent="0.35">
      <c r="C59" s="760" t="s">
        <v>546</v>
      </c>
      <c r="D59" s="762" t="s">
        <v>596</v>
      </c>
      <c r="H59" t="s">
        <v>305</v>
      </c>
      <c r="Z59" s="111" t="s">
        <v>662</v>
      </c>
      <c r="AA59" s="758" t="s">
        <v>622</v>
      </c>
      <c r="AB59" t="s">
        <v>305</v>
      </c>
      <c r="AC59">
        <v>0.1</v>
      </c>
      <c r="AD59">
        <v>0.82</v>
      </c>
      <c r="AE59" s="754">
        <v>0.82</v>
      </c>
      <c r="AF59">
        <v>1</v>
      </c>
    </row>
    <row r="60" spans="1:32" ht="16.2" thickBot="1" x14ac:dyDescent="0.35">
      <c r="C60" s="760" t="s">
        <v>546</v>
      </c>
      <c r="D60" s="762" t="s">
        <v>596</v>
      </c>
      <c r="H60" t="s">
        <v>306</v>
      </c>
      <c r="Z60" s="111" t="s">
        <v>662</v>
      </c>
      <c r="AA60" s="758" t="s">
        <v>622</v>
      </c>
      <c r="AB60" t="s">
        <v>306</v>
      </c>
      <c r="AC60">
        <v>1.4</v>
      </c>
      <c r="AD60">
        <v>8.5500000000000007</v>
      </c>
      <c r="AE60" s="754">
        <v>8.5500000000000007</v>
      </c>
      <c r="AF60">
        <v>1</v>
      </c>
    </row>
    <row r="61" spans="1:32" ht="16.2" thickBot="1" x14ac:dyDescent="0.35">
      <c r="C61" s="763" t="s">
        <v>546</v>
      </c>
      <c r="D61" s="761" t="s">
        <v>552</v>
      </c>
      <c r="H61" t="s">
        <v>307</v>
      </c>
      <c r="Z61" s="111" t="s">
        <v>662</v>
      </c>
      <c r="AA61" s="758" t="s">
        <v>621</v>
      </c>
      <c r="AB61" t="s">
        <v>307</v>
      </c>
      <c r="AC61">
        <v>0.5</v>
      </c>
      <c r="AD61">
        <v>3.13</v>
      </c>
      <c r="AE61" s="754">
        <v>3.13</v>
      </c>
      <c r="AF61">
        <v>1</v>
      </c>
    </row>
    <row r="62" spans="1:32" ht="16.2" thickBot="1" x14ac:dyDescent="0.35">
      <c r="C62" s="760" t="s">
        <v>546</v>
      </c>
      <c r="D62" s="761" t="s">
        <v>552</v>
      </c>
      <c r="H62" t="s">
        <v>308</v>
      </c>
      <c r="Z62" s="111" t="s">
        <v>662</v>
      </c>
      <c r="AA62" s="758" t="s">
        <v>621</v>
      </c>
      <c r="AB62" t="s">
        <v>308</v>
      </c>
      <c r="AC62">
        <v>0.4</v>
      </c>
      <c r="AD62">
        <v>2.44</v>
      </c>
      <c r="AE62" s="754">
        <v>2.44</v>
      </c>
      <c r="AF62">
        <v>1</v>
      </c>
    </row>
    <row r="63" spans="1:32" ht="16.2" thickBot="1" x14ac:dyDescent="0.35">
      <c r="C63" s="760" t="s">
        <v>546</v>
      </c>
      <c r="D63" s="762" t="s">
        <v>596</v>
      </c>
      <c r="H63" t="s">
        <v>309</v>
      </c>
      <c r="Z63" s="111" t="s">
        <v>662</v>
      </c>
      <c r="AA63" s="758" t="s">
        <v>622</v>
      </c>
      <c r="AB63" t="s">
        <v>309</v>
      </c>
      <c r="AC63">
        <v>0.4</v>
      </c>
      <c r="AD63">
        <v>2.44</v>
      </c>
      <c r="AE63" s="754">
        <v>2.44</v>
      </c>
      <c r="AF63">
        <v>1</v>
      </c>
    </row>
    <row r="64" spans="1:32" ht="16.2" thickBot="1" x14ac:dyDescent="0.35">
      <c r="C64" s="760" t="s">
        <v>546</v>
      </c>
      <c r="D64" s="762" t="s">
        <v>596</v>
      </c>
      <c r="H64" t="s">
        <v>310</v>
      </c>
      <c r="Z64" s="111" t="s">
        <v>662</v>
      </c>
      <c r="AA64" s="758" t="s">
        <v>622</v>
      </c>
      <c r="AB64" t="s">
        <v>310</v>
      </c>
      <c r="AC64">
        <v>1.1000000000000001</v>
      </c>
      <c r="AD64">
        <v>6.66</v>
      </c>
      <c r="AE64" s="754">
        <v>6.66</v>
      </c>
      <c r="AF64">
        <v>1</v>
      </c>
    </row>
    <row r="65" spans="3:32" ht="16.2" thickBot="1" x14ac:dyDescent="0.35">
      <c r="C65" s="764" t="s">
        <v>549</v>
      </c>
      <c r="D65" s="765" t="s">
        <v>840</v>
      </c>
      <c r="H65" t="s">
        <v>811</v>
      </c>
      <c r="Z65" s="111" t="s">
        <v>662</v>
      </c>
      <c r="AA65" s="759" t="s">
        <v>839</v>
      </c>
      <c r="AB65" t="s">
        <v>810</v>
      </c>
      <c r="AC65">
        <v>2.1</v>
      </c>
      <c r="AD65">
        <v>12.816000000000001</v>
      </c>
      <c r="AE65" s="754">
        <v>12.816000000000001</v>
      </c>
      <c r="AF65">
        <v>1</v>
      </c>
    </row>
    <row r="66" spans="3:32" ht="16.2" thickBot="1" x14ac:dyDescent="0.35">
      <c r="C66" s="764" t="s">
        <v>549</v>
      </c>
      <c r="D66" s="765" t="s">
        <v>840</v>
      </c>
      <c r="H66" t="s">
        <v>812</v>
      </c>
      <c r="Z66" s="111" t="s">
        <v>662</v>
      </c>
      <c r="AA66" s="759" t="s">
        <v>839</v>
      </c>
      <c r="AB66" t="s">
        <v>810</v>
      </c>
      <c r="AC66">
        <v>1.1000000000000001</v>
      </c>
      <c r="AD66">
        <v>6.6180000000000003</v>
      </c>
      <c r="AE66" s="754">
        <v>6.6180000000000003</v>
      </c>
      <c r="AF66">
        <v>1</v>
      </c>
    </row>
    <row r="67" spans="3:32" ht="16.2" thickBot="1" x14ac:dyDescent="0.35">
      <c r="C67" s="764" t="s">
        <v>549</v>
      </c>
      <c r="D67" s="765" t="s">
        <v>840</v>
      </c>
      <c r="H67" t="s">
        <v>813</v>
      </c>
      <c r="Z67" s="111" t="s">
        <v>662</v>
      </c>
      <c r="AA67" s="759" t="s">
        <v>839</v>
      </c>
      <c r="AB67" t="s">
        <v>811</v>
      </c>
      <c r="AC67">
        <v>0.4</v>
      </c>
      <c r="AD67">
        <v>2.1</v>
      </c>
      <c r="AE67" s="754">
        <v>2.1</v>
      </c>
      <c r="AF67">
        <v>1</v>
      </c>
    </row>
    <row r="68" spans="3:32" ht="16.2" thickBot="1" x14ac:dyDescent="0.35">
      <c r="C68" s="764" t="s">
        <v>549</v>
      </c>
      <c r="D68" s="765" t="s">
        <v>840</v>
      </c>
      <c r="H68" t="s">
        <v>814</v>
      </c>
      <c r="Z68" s="111" t="s">
        <v>662</v>
      </c>
      <c r="AA68" s="759" t="s">
        <v>839</v>
      </c>
      <c r="AB68" t="s">
        <v>812</v>
      </c>
      <c r="AC68">
        <v>0</v>
      </c>
      <c r="AD68">
        <v>0</v>
      </c>
      <c r="AE68" s="754">
        <v>0</v>
      </c>
      <c r="AF68">
        <v>1</v>
      </c>
    </row>
    <row r="69" spans="3:32" ht="16.2" thickBot="1" x14ac:dyDescent="0.35">
      <c r="C69" s="764" t="s">
        <v>549</v>
      </c>
      <c r="D69" s="765" t="s">
        <v>840</v>
      </c>
      <c r="H69" t="s">
        <v>831</v>
      </c>
      <c r="Z69" s="111" t="s">
        <v>662</v>
      </c>
      <c r="AA69" s="759" t="s">
        <v>839</v>
      </c>
      <c r="AB69" t="s">
        <v>813</v>
      </c>
      <c r="AC69">
        <v>0.7</v>
      </c>
      <c r="AD69">
        <v>4.3</v>
      </c>
      <c r="AE69" s="754">
        <v>4.3</v>
      </c>
      <c r="AF69">
        <v>1</v>
      </c>
    </row>
    <row r="70" spans="3:32" ht="16.2" thickBot="1" x14ac:dyDescent="0.35">
      <c r="C70" s="764" t="s">
        <v>549</v>
      </c>
      <c r="D70" s="765" t="s">
        <v>840</v>
      </c>
      <c r="H70" t="s">
        <v>832</v>
      </c>
      <c r="Z70" s="111" t="s">
        <v>662</v>
      </c>
      <c r="AA70" s="759" t="s">
        <v>839</v>
      </c>
      <c r="AB70" t="s">
        <v>814</v>
      </c>
      <c r="AC70">
        <v>0.4</v>
      </c>
      <c r="AD70">
        <v>2.1</v>
      </c>
      <c r="AE70" s="754">
        <v>2.1</v>
      </c>
      <c r="AF70">
        <v>1</v>
      </c>
    </row>
    <row r="71" spans="3:32" ht="16.2" thickBot="1" x14ac:dyDescent="0.35">
      <c r="C71" s="764" t="s">
        <v>549</v>
      </c>
      <c r="D71" s="765" t="s">
        <v>840</v>
      </c>
      <c r="H71" t="s">
        <v>833</v>
      </c>
      <c r="Z71" s="111" t="s">
        <v>662</v>
      </c>
      <c r="AA71" s="759" t="s">
        <v>839</v>
      </c>
      <c r="AB71" t="s">
        <v>815</v>
      </c>
      <c r="AC71">
        <v>0</v>
      </c>
      <c r="AD71">
        <v>0</v>
      </c>
      <c r="AE71" s="754">
        <v>0</v>
      </c>
      <c r="AF71">
        <v>1</v>
      </c>
    </row>
    <row r="72" spans="3:32" ht="16.2" thickBot="1" x14ac:dyDescent="0.35">
      <c r="C72" s="764" t="s">
        <v>549</v>
      </c>
      <c r="D72" s="765" t="s">
        <v>840</v>
      </c>
      <c r="H72" t="s">
        <v>834</v>
      </c>
      <c r="Z72" s="111" t="s">
        <v>662</v>
      </c>
      <c r="AA72" s="759" t="s">
        <v>839</v>
      </c>
      <c r="AB72" t="s">
        <v>815</v>
      </c>
      <c r="AC72">
        <v>0</v>
      </c>
      <c r="AD72">
        <v>0</v>
      </c>
      <c r="AE72" s="754">
        <v>0</v>
      </c>
      <c r="AF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7EE2-03C1-F84F-87E9-49D04A30B30E}">
  <dimension ref="A1:AJ61"/>
  <sheetViews>
    <sheetView topLeftCell="T9" workbookViewId="0">
      <selection activeCell="AG6" sqref="AG6"/>
    </sheetView>
  </sheetViews>
  <sheetFormatPr defaultColWidth="11.19921875" defaultRowHeight="15.6" x14ac:dyDescent="0.3"/>
  <cols>
    <col min="2" max="2" width="14.5" bestFit="1" customWidth="1"/>
    <col min="3" max="3" width="20.296875" bestFit="1" customWidth="1"/>
    <col min="4" max="4" width="12.296875" bestFit="1" customWidth="1"/>
    <col min="5" max="5" width="17.296875" customWidth="1"/>
    <col min="6" max="6" width="17.5" customWidth="1"/>
    <col min="8" max="8" width="17.796875" customWidth="1"/>
    <col min="9" max="9" width="19.19921875" customWidth="1"/>
    <col min="10" max="10" width="16.69921875" customWidth="1"/>
    <col min="11" max="11" width="17.19921875" customWidth="1"/>
    <col min="12" max="12" width="14.796875" customWidth="1"/>
    <col min="13" max="13" width="14.5" customWidth="1"/>
    <col min="14" max="14" width="21" customWidth="1"/>
    <col min="15" max="15" width="16.5" customWidth="1"/>
    <col min="16" max="16" width="16.296875" customWidth="1"/>
    <col min="17" max="17" width="18.796875" customWidth="1"/>
    <col min="18" max="18" width="19.69921875" customWidth="1"/>
    <col min="19" max="19" width="19.796875" customWidth="1"/>
    <col min="20" max="20" width="23" customWidth="1"/>
    <col min="21" max="21" width="13.5" bestFit="1" customWidth="1"/>
    <col min="22" max="22" width="16.296875" customWidth="1"/>
    <col min="23" max="23" width="22.69921875" customWidth="1"/>
    <col min="24" max="24" width="17" customWidth="1"/>
    <col min="25" max="25" width="18.69921875" customWidth="1"/>
    <col min="26" max="26" width="6.296875" bestFit="1" customWidth="1"/>
    <col min="27" max="27" width="20.296875" bestFit="1" customWidth="1"/>
    <col min="29" max="29" width="30.19921875" customWidth="1"/>
    <col min="30" max="30" width="30.296875" bestFit="1" customWidth="1"/>
    <col min="31" max="31" width="11.69921875" bestFit="1" customWidth="1"/>
  </cols>
  <sheetData>
    <row r="1" spans="1:36" ht="31.8" thickBot="1" x14ac:dyDescent="0.35">
      <c r="A1" s="143" t="s">
        <v>3</v>
      </c>
      <c r="B1" s="559" t="s">
        <v>579</v>
      </c>
      <c r="C1" s="558" t="s">
        <v>578</v>
      </c>
      <c r="D1" s="558" t="s">
        <v>489</v>
      </c>
      <c r="E1" s="558" t="s">
        <v>586</v>
      </c>
      <c r="F1" s="558" t="s">
        <v>587</v>
      </c>
      <c r="G1" s="560" t="s">
        <v>492</v>
      </c>
      <c r="H1" s="558" t="s">
        <v>580</v>
      </c>
      <c r="I1" s="560" t="s">
        <v>516</v>
      </c>
      <c r="J1" s="558" t="s">
        <v>494</v>
      </c>
      <c r="K1" s="560" t="s">
        <v>515</v>
      </c>
      <c r="L1" s="558" t="s">
        <v>4</v>
      </c>
      <c r="M1" s="560" t="s">
        <v>594</v>
      </c>
      <c r="N1" s="560" t="s">
        <v>581</v>
      </c>
      <c r="O1" s="560" t="s">
        <v>513</v>
      </c>
      <c r="P1" s="560" t="s">
        <v>493</v>
      </c>
      <c r="Q1" s="560" t="s">
        <v>495</v>
      </c>
      <c r="R1" s="112" t="s">
        <v>582</v>
      </c>
      <c r="S1" s="174" t="s">
        <v>583</v>
      </c>
      <c r="T1" s="192" t="s">
        <v>540</v>
      </c>
      <c r="U1" s="563" t="s">
        <v>491</v>
      </c>
      <c r="V1" s="390" t="s">
        <v>490</v>
      </c>
      <c r="W1" s="286" t="s">
        <v>590</v>
      </c>
      <c r="X1" s="413" t="s">
        <v>604</v>
      </c>
      <c r="Y1" s="288" t="s">
        <v>605</v>
      </c>
      <c r="Z1" s="413" t="s">
        <v>643</v>
      </c>
      <c r="AA1" s="414" t="s">
        <v>609</v>
      </c>
      <c r="AB1" s="768" t="s">
        <v>837</v>
      </c>
      <c r="AC1" s="769" t="s">
        <v>829</v>
      </c>
      <c r="AD1" s="770" t="s">
        <v>841</v>
      </c>
      <c r="AE1" s="769" t="s">
        <v>757</v>
      </c>
      <c r="AF1" s="753"/>
      <c r="AG1" s="753"/>
      <c r="AH1" s="753"/>
      <c r="AI1" s="766"/>
      <c r="AJ1" s="753"/>
    </row>
    <row r="2" spans="1:36" x14ac:dyDescent="0.3">
      <c r="A2" s="144">
        <v>45222</v>
      </c>
      <c r="B2" s="188">
        <v>21</v>
      </c>
      <c r="C2" s="87" t="s">
        <v>548</v>
      </c>
      <c r="D2" s="76" t="s">
        <v>552</v>
      </c>
      <c r="E2" s="75" t="s">
        <v>588</v>
      </c>
      <c r="F2" s="75" t="s">
        <v>584</v>
      </c>
      <c r="G2" s="89" t="s">
        <v>563</v>
      </c>
      <c r="H2" s="131" t="s">
        <v>24</v>
      </c>
      <c r="I2" s="89" t="s">
        <v>527</v>
      </c>
      <c r="J2" s="45" t="s">
        <v>550</v>
      </c>
      <c r="K2" s="117" t="s">
        <v>532</v>
      </c>
      <c r="L2" s="88" t="s">
        <v>608</v>
      </c>
      <c r="M2" s="206" t="s">
        <v>531</v>
      </c>
      <c r="N2" s="89" t="s">
        <v>532</v>
      </c>
      <c r="O2" s="89" t="s">
        <v>570</v>
      </c>
      <c r="P2" s="89" t="s">
        <v>573</v>
      </c>
      <c r="Q2" s="136" t="s">
        <v>0</v>
      </c>
      <c r="R2" s="117" t="s">
        <v>519</v>
      </c>
      <c r="S2" s="321">
        <v>100</v>
      </c>
      <c r="T2" s="164">
        <v>25</v>
      </c>
      <c r="U2" s="89" t="s">
        <v>576</v>
      </c>
      <c r="V2" s="359">
        <v>2000000</v>
      </c>
      <c r="W2" s="209">
        <v>284629.20000136463</v>
      </c>
      <c r="X2" s="209">
        <v>266419.02827400464</v>
      </c>
      <c r="Y2" s="206">
        <v>6660475.7068501152</v>
      </c>
      <c r="Z2" s="117" t="s">
        <v>644</v>
      </c>
      <c r="AA2" s="404" t="s">
        <v>635</v>
      </c>
      <c r="AB2" t="s">
        <v>842</v>
      </c>
      <c r="AC2">
        <v>4428000</v>
      </c>
      <c r="AD2">
        <v>94677600</v>
      </c>
      <c r="AE2" s="767">
        <v>4.6769246368729238</v>
      </c>
    </row>
    <row r="3" spans="1:36" x14ac:dyDescent="0.3">
      <c r="A3" s="145">
        <v>45222</v>
      </c>
      <c r="B3" s="189">
        <v>22</v>
      </c>
      <c r="C3" s="80" t="s">
        <v>548</v>
      </c>
      <c r="D3" s="10" t="s">
        <v>552</v>
      </c>
      <c r="E3" s="2" t="s">
        <v>588</v>
      </c>
      <c r="F3" s="2" t="s">
        <v>584</v>
      </c>
      <c r="G3" s="67" t="s">
        <v>563</v>
      </c>
      <c r="H3" s="14" t="s">
        <v>25</v>
      </c>
      <c r="I3" s="67" t="s">
        <v>527</v>
      </c>
      <c r="J3" s="15" t="s">
        <v>550</v>
      </c>
      <c r="K3" s="110" t="s">
        <v>532</v>
      </c>
      <c r="L3" s="65" t="s">
        <v>608</v>
      </c>
      <c r="M3" s="106" t="s">
        <v>531</v>
      </c>
      <c r="N3" s="67" t="s">
        <v>532</v>
      </c>
      <c r="O3" s="67" t="s">
        <v>570</v>
      </c>
      <c r="P3" s="67" t="s">
        <v>574</v>
      </c>
      <c r="Q3" s="137" t="s">
        <v>0</v>
      </c>
      <c r="R3" s="110" t="s">
        <v>519</v>
      </c>
      <c r="S3" s="177">
        <v>100</v>
      </c>
      <c r="T3" s="165">
        <v>25</v>
      </c>
      <c r="U3" s="67" t="s">
        <v>576</v>
      </c>
      <c r="V3" s="360">
        <v>2000000</v>
      </c>
      <c r="W3" s="208">
        <v>263334.51984218461</v>
      </c>
      <c r="X3" s="208">
        <v>246486.75148937647</v>
      </c>
      <c r="Y3" s="206">
        <v>6162168.7872344125</v>
      </c>
      <c r="Z3" s="110" t="s">
        <v>644</v>
      </c>
      <c r="AA3" s="393" t="s">
        <v>635</v>
      </c>
      <c r="AB3" t="s">
        <v>843</v>
      </c>
      <c r="AC3">
        <v>3837600</v>
      </c>
      <c r="AD3">
        <v>94677600</v>
      </c>
      <c r="AE3" s="767">
        <v>4.053334685289868</v>
      </c>
    </row>
    <row r="4" spans="1:36" x14ac:dyDescent="0.3">
      <c r="A4" s="145">
        <v>45222</v>
      </c>
      <c r="B4" s="189">
        <v>23</v>
      </c>
      <c r="C4" s="80" t="s">
        <v>548</v>
      </c>
      <c r="D4" s="10" t="s">
        <v>552</v>
      </c>
      <c r="E4" s="2" t="s">
        <v>588</v>
      </c>
      <c r="F4" s="2" t="s">
        <v>584</v>
      </c>
      <c r="G4" s="67" t="s">
        <v>563</v>
      </c>
      <c r="H4" s="14" t="s">
        <v>26</v>
      </c>
      <c r="I4" s="67" t="s">
        <v>527</v>
      </c>
      <c r="J4" s="15" t="s">
        <v>550</v>
      </c>
      <c r="K4" s="110" t="s">
        <v>532</v>
      </c>
      <c r="L4" s="65" t="s">
        <v>608</v>
      </c>
      <c r="M4" s="106" t="s">
        <v>531</v>
      </c>
      <c r="N4" s="67" t="s">
        <v>532</v>
      </c>
      <c r="O4" s="67" t="s">
        <v>570</v>
      </c>
      <c r="P4" s="67" t="s">
        <v>503</v>
      </c>
      <c r="Q4" s="137" t="s">
        <v>0</v>
      </c>
      <c r="R4" s="110" t="s">
        <v>519</v>
      </c>
      <c r="S4" s="177">
        <v>100</v>
      </c>
      <c r="T4" s="165">
        <v>25</v>
      </c>
      <c r="U4" s="67" t="s">
        <v>576</v>
      </c>
      <c r="V4" s="360">
        <v>2000000</v>
      </c>
      <c r="W4" s="208">
        <v>323037.29988083459</v>
      </c>
      <c r="X4" s="208">
        <v>302369.8325052298</v>
      </c>
      <c r="Y4" s="206">
        <v>7559245.8126307447</v>
      </c>
      <c r="Z4" s="110" t="s">
        <v>644</v>
      </c>
      <c r="AA4" s="393" t="s">
        <v>635</v>
      </c>
      <c r="AB4" t="s">
        <v>844</v>
      </c>
      <c r="AC4">
        <v>3727200</v>
      </c>
      <c r="AD4">
        <v>94677600</v>
      </c>
      <c r="AE4" s="767">
        <v>3.9367284341808411</v>
      </c>
    </row>
    <row r="5" spans="1:36" x14ac:dyDescent="0.3">
      <c r="A5" s="145">
        <v>45222</v>
      </c>
      <c r="B5" s="189">
        <v>24</v>
      </c>
      <c r="C5" s="80" t="s">
        <v>548</v>
      </c>
      <c r="D5" s="10" t="s">
        <v>552</v>
      </c>
      <c r="E5" s="2" t="s">
        <v>588</v>
      </c>
      <c r="F5" s="2" t="s">
        <v>584</v>
      </c>
      <c r="G5" s="67" t="s">
        <v>563</v>
      </c>
      <c r="H5" s="14" t="s">
        <v>27</v>
      </c>
      <c r="I5" s="67" t="s">
        <v>527</v>
      </c>
      <c r="J5" s="15" t="s">
        <v>550</v>
      </c>
      <c r="K5" s="110" t="s">
        <v>532</v>
      </c>
      <c r="L5" s="65" t="s">
        <v>608</v>
      </c>
      <c r="M5" s="106" t="s">
        <v>531</v>
      </c>
      <c r="N5" s="67" t="s">
        <v>532</v>
      </c>
      <c r="O5" s="67" t="s">
        <v>570</v>
      </c>
      <c r="P5" s="67" t="s">
        <v>575</v>
      </c>
      <c r="Q5" s="137" t="s">
        <v>0</v>
      </c>
      <c r="R5" s="110" t="s">
        <v>519</v>
      </c>
      <c r="S5" s="177">
        <v>100</v>
      </c>
      <c r="T5" s="165">
        <v>25</v>
      </c>
      <c r="U5" s="67" t="s">
        <v>576</v>
      </c>
      <c r="V5" s="360">
        <v>2000000</v>
      </c>
      <c r="W5" s="208">
        <v>768163.71966975974</v>
      </c>
      <c r="X5" s="208">
        <v>719017.69652861019</v>
      </c>
      <c r="Y5" s="206">
        <v>17975442.41321525</v>
      </c>
      <c r="Z5" s="110" t="s">
        <v>644</v>
      </c>
      <c r="AA5" s="393" t="s">
        <v>635</v>
      </c>
      <c r="AB5" t="s">
        <v>845</v>
      </c>
      <c r="AC5">
        <v>11682000</v>
      </c>
      <c r="AD5">
        <v>94677600</v>
      </c>
      <c r="AE5" s="767">
        <v>12.338715810286699</v>
      </c>
    </row>
    <row r="6" spans="1:36" x14ac:dyDescent="0.3">
      <c r="A6" s="145">
        <v>45222</v>
      </c>
      <c r="B6" s="189">
        <v>25</v>
      </c>
      <c r="C6" s="80" t="s">
        <v>548</v>
      </c>
      <c r="D6" s="10" t="s">
        <v>552</v>
      </c>
      <c r="E6" s="2" t="s">
        <v>588</v>
      </c>
      <c r="F6" s="2" t="s">
        <v>584</v>
      </c>
      <c r="G6" s="67" t="s">
        <v>563</v>
      </c>
      <c r="H6" s="14" t="s">
        <v>28</v>
      </c>
      <c r="I6" s="67" t="s">
        <v>527</v>
      </c>
      <c r="J6" s="12" t="s">
        <v>551</v>
      </c>
      <c r="K6" s="110" t="s">
        <v>532</v>
      </c>
      <c r="L6" s="65" t="s">
        <v>608</v>
      </c>
      <c r="M6" s="106" t="s">
        <v>531</v>
      </c>
      <c r="N6" s="67" t="s">
        <v>532</v>
      </c>
      <c r="O6" s="67" t="s">
        <v>570</v>
      </c>
      <c r="P6" s="67" t="s">
        <v>573</v>
      </c>
      <c r="Q6" s="137" t="s">
        <v>0</v>
      </c>
      <c r="R6" s="110" t="s">
        <v>519</v>
      </c>
      <c r="S6" s="177">
        <v>100</v>
      </c>
      <c r="T6" s="165">
        <v>25</v>
      </c>
      <c r="U6" s="67" t="s">
        <v>576</v>
      </c>
      <c r="V6" s="360">
        <v>2000000</v>
      </c>
      <c r="W6" s="208">
        <v>229265.43535652358</v>
      </c>
      <c r="X6" s="208">
        <v>214597.35861327226</v>
      </c>
      <c r="Y6" s="206">
        <v>5364933.9653318059</v>
      </c>
      <c r="Z6" s="110" t="s">
        <v>644</v>
      </c>
      <c r="AA6" s="393" t="s">
        <v>636</v>
      </c>
      <c r="AB6" t="s">
        <v>849</v>
      </c>
      <c r="AC6">
        <v>5100000</v>
      </c>
      <c r="AD6">
        <v>94677600</v>
      </c>
      <c r="AE6" s="767">
        <v>5.386701817536566</v>
      </c>
    </row>
    <row r="7" spans="1:36" x14ac:dyDescent="0.3">
      <c r="A7" s="145">
        <v>45222</v>
      </c>
      <c r="B7" s="189">
        <v>26</v>
      </c>
      <c r="C7" s="80" t="s">
        <v>548</v>
      </c>
      <c r="D7" s="10" t="s">
        <v>552</v>
      </c>
      <c r="E7" s="2" t="s">
        <v>588</v>
      </c>
      <c r="F7" s="2" t="s">
        <v>584</v>
      </c>
      <c r="G7" s="67" t="s">
        <v>563</v>
      </c>
      <c r="H7" s="14" t="s">
        <v>29</v>
      </c>
      <c r="I7" s="67" t="s">
        <v>527</v>
      </c>
      <c r="J7" s="12" t="s">
        <v>551</v>
      </c>
      <c r="K7" s="110" t="s">
        <v>532</v>
      </c>
      <c r="L7" s="65" t="s">
        <v>608</v>
      </c>
      <c r="M7" s="106" t="s">
        <v>531</v>
      </c>
      <c r="N7" s="67" t="s">
        <v>532</v>
      </c>
      <c r="O7" s="67" t="s">
        <v>570</v>
      </c>
      <c r="P7" s="67" t="s">
        <v>574</v>
      </c>
      <c r="Q7" s="137" t="s">
        <v>0</v>
      </c>
      <c r="R7" s="110" t="s">
        <v>519</v>
      </c>
      <c r="S7" s="177">
        <v>100</v>
      </c>
      <c r="T7" s="165">
        <v>25</v>
      </c>
      <c r="U7" s="67" t="s">
        <v>576</v>
      </c>
      <c r="V7" s="360">
        <v>2000000</v>
      </c>
      <c r="W7" s="208">
        <v>277594.48323591775</v>
      </c>
      <c r="X7" s="208">
        <v>259834.3826901213</v>
      </c>
      <c r="Y7" s="206">
        <v>6495859.5672530336</v>
      </c>
      <c r="Z7" s="110" t="s">
        <v>644</v>
      </c>
      <c r="AA7" s="393" t="s">
        <v>636</v>
      </c>
      <c r="AB7" t="s">
        <v>850</v>
      </c>
      <c r="AC7">
        <v>6432.0000000000009</v>
      </c>
      <c r="AD7">
        <v>94677600</v>
      </c>
      <c r="AE7" s="767">
        <v>6.793581586351999E-3</v>
      </c>
    </row>
    <row r="8" spans="1:36" x14ac:dyDescent="0.3">
      <c r="A8" s="145">
        <v>45222</v>
      </c>
      <c r="B8" s="188">
        <v>27</v>
      </c>
      <c r="C8" s="80" t="s">
        <v>548</v>
      </c>
      <c r="D8" s="10" t="s">
        <v>552</v>
      </c>
      <c r="E8" s="2" t="s">
        <v>588</v>
      </c>
      <c r="F8" s="2" t="s">
        <v>584</v>
      </c>
      <c r="G8" s="67" t="s">
        <v>563</v>
      </c>
      <c r="H8" s="14" t="s">
        <v>30</v>
      </c>
      <c r="I8" s="67" t="s">
        <v>527</v>
      </c>
      <c r="J8" s="12" t="s">
        <v>551</v>
      </c>
      <c r="K8" s="110" t="s">
        <v>532</v>
      </c>
      <c r="L8" s="65" t="s">
        <v>608</v>
      </c>
      <c r="M8" s="106" t="s">
        <v>531</v>
      </c>
      <c r="N8" s="67" t="s">
        <v>532</v>
      </c>
      <c r="O8" s="67" t="s">
        <v>570</v>
      </c>
      <c r="P8" s="67" t="s">
        <v>503</v>
      </c>
      <c r="Q8" s="137" t="s">
        <v>0</v>
      </c>
      <c r="R8" s="110" t="s">
        <v>519</v>
      </c>
      <c r="S8" s="177">
        <v>100</v>
      </c>
      <c r="T8" s="165">
        <v>25</v>
      </c>
      <c r="U8" s="67" t="s">
        <v>576</v>
      </c>
      <c r="V8" s="360">
        <v>2000000</v>
      </c>
      <c r="W8" s="208">
        <v>203077.68238190887</v>
      </c>
      <c r="X8" s="208">
        <v>190085.06085835784</v>
      </c>
      <c r="Y8" s="206">
        <v>4752126.5214589462</v>
      </c>
      <c r="Z8" s="110" t="s">
        <v>644</v>
      </c>
      <c r="AA8" s="393" t="s">
        <v>636</v>
      </c>
      <c r="AB8" t="s">
        <v>851</v>
      </c>
      <c r="AC8">
        <v>1835400</v>
      </c>
      <c r="AD8">
        <v>94677600</v>
      </c>
      <c r="AE8" s="767">
        <v>1.9385789246875711</v>
      </c>
    </row>
    <row r="9" spans="1:36" x14ac:dyDescent="0.3">
      <c r="A9" s="145">
        <v>45222</v>
      </c>
      <c r="B9" s="189">
        <v>28</v>
      </c>
      <c r="C9" s="80" t="s">
        <v>548</v>
      </c>
      <c r="D9" s="10" t="s">
        <v>552</v>
      </c>
      <c r="E9" s="2" t="s">
        <v>588</v>
      </c>
      <c r="F9" s="2" t="s">
        <v>584</v>
      </c>
      <c r="G9" s="67" t="s">
        <v>563</v>
      </c>
      <c r="H9" s="14" t="s">
        <v>31</v>
      </c>
      <c r="I9" s="67" t="s">
        <v>527</v>
      </c>
      <c r="J9" s="12" t="s">
        <v>551</v>
      </c>
      <c r="K9" s="110" t="s">
        <v>532</v>
      </c>
      <c r="L9" s="65" t="s">
        <v>608</v>
      </c>
      <c r="M9" s="106" t="s">
        <v>531</v>
      </c>
      <c r="N9" s="67" t="s">
        <v>532</v>
      </c>
      <c r="O9" s="67" t="s">
        <v>570</v>
      </c>
      <c r="P9" s="67" t="s">
        <v>575</v>
      </c>
      <c r="Q9" s="137" t="s">
        <v>0</v>
      </c>
      <c r="R9" s="110" t="s">
        <v>519</v>
      </c>
      <c r="S9" s="177">
        <v>100</v>
      </c>
      <c r="T9" s="165">
        <v>25</v>
      </c>
      <c r="U9" s="67" t="s">
        <v>576</v>
      </c>
      <c r="V9" s="360">
        <v>2000000</v>
      </c>
      <c r="W9" s="208">
        <v>913707.41983643349</v>
      </c>
      <c r="X9" s="208">
        <v>855249.71759188257</v>
      </c>
      <c r="Y9" s="206">
        <v>21381242.939797066</v>
      </c>
      <c r="Z9" s="110" t="s">
        <v>644</v>
      </c>
      <c r="AA9" s="393" t="s">
        <v>636</v>
      </c>
      <c r="AB9" t="s">
        <v>852</v>
      </c>
      <c r="AC9">
        <v>16419000</v>
      </c>
      <c r="AD9">
        <v>94677600</v>
      </c>
      <c r="AE9" s="767">
        <v>17.34201120433978</v>
      </c>
    </row>
    <row r="10" spans="1:36" x14ac:dyDescent="0.3">
      <c r="A10" s="145">
        <v>45222</v>
      </c>
      <c r="B10" s="189">
        <v>35</v>
      </c>
      <c r="C10" s="34" t="s">
        <v>547</v>
      </c>
      <c r="D10" s="10" t="s">
        <v>552</v>
      </c>
      <c r="E10" s="2" t="s">
        <v>588</v>
      </c>
      <c r="F10" s="2" t="s">
        <v>584</v>
      </c>
      <c r="G10" s="67" t="s">
        <v>563</v>
      </c>
      <c r="H10" s="14" t="s">
        <v>38</v>
      </c>
      <c r="I10" s="67" t="s">
        <v>524</v>
      </c>
      <c r="J10" s="15" t="s">
        <v>550</v>
      </c>
      <c r="K10" s="110" t="s">
        <v>532</v>
      </c>
      <c r="L10" s="65" t="s">
        <v>608</v>
      </c>
      <c r="M10" s="106" t="s">
        <v>531</v>
      </c>
      <c r="N10" s="67" t="s">
        <v>532</v>
      </c>
      <c r="O10" s="67" t="s">
        <v>570</v>
      </c>
      <c r="P10" s="67" t="s">
        <v>573</v>
      </c>
      <c r="Q10" s="137" t="s">
        <v>0</v>
      </c>
      <c r="R10" s="110" t="s">
        <v>519</v>
      </c>
      <c r="S10" s="177">
        <v>100</v>
      </c>
      <c r="T10" s="165" t="s">
        <v>0</v>
      </c>
      <c r="U10" s="67" t="s">
        <v>576</v>
      </c>
      <c r="V10" s="360">
        <v>2000000</v>
      </c>
      <c r="W10" s="208">
        <v>1130341.335706061</v>
      </c>
      <c r="X10" s="208">
        <v>1058023.7033842816</v>
      </c>
      <c r="Y10" s="206">
        <v>26450592.584607042</v>
      </c>
      <c r="Z10" s="398" t="s">
        <v>645</v>
      </c>
      <c r="AA10" s="393" t="s">
        <v>632</v>
      </c>
      <c r="AB10" t="s">
        <v>846</v>
      </c>
      <c r="AC10">
        <v>30924000</v>
      </c>
      <c r="AD10">
        <v>113724000</v>
      </c>
      <c r="AE10" s="767">
        <v>27.192149414371634</v>
      </c>
    </row>
    <row r="11" spans="1:36" x14ac:dyDescent="0.3">
      <c r="A11" s="145">
        <v>45222</v>
      </c>
      <c r="B11" s="189">
        <v>36</v>
      </c>
      <c r="C11" s="34" t="s">
        <v>547</v>
      </c>
      <c r="D11" s="10" t="s">
        <v>552</v>
      </c>
      <c r="E11" s="2" t="s">
        <v>588</v>
      </c>
      <c r="F11" s="2" t="s">
        <v>584</v>
      </c>
      <c r="G11" s="67" t="s">
        <v>563</v>
      </c>
      <c r="H11" s="14" t="s">
        <v>39</v>
      </c>
      <c r="I11" s="67" t="s">
        <v>524</v>
      </c>
      <c r="J11" s="15" t="s">
        <v>550</v>
      </c>
      <c r="K11" s="110" t="s">
        <v>532</v>
      </c>
      <c r="L11" s="65" t="s">
        <v>608</v>
      </c>
      <c r="M11" s="106" t="s">
        <v>531</v>
      </c>
      <c r="N11" s="67" t="s">
        <v>532</v>
      </c>
      <c r="O11" s="67" t="s">
        <v>570</v>
      </c>
      <c r="P11" s="67" t="s">
        <v>574</v>
      </c>
      <c r="Q11" s="137" t="s">
        <v>0</v>
      </c>
      <c r="R11" s="110" t="s">
        <v>519</v>
      </c>
      <c r="S11" s="177">
        <v>100</v>
      </c>
      <c r="T11" s="165" t="s">
        <v>0</v>
      </c>
      <c r="U11" s="67" t="s">
        <v>576</v>
      </c>
      <c r="V11" s="360">
        <v>2000000</v>
      </c>
      <c r="W11" s="208">
        <v>1432776.1368140893</v>
      </c>
      <c r="X11" s="208">
        <v>1341109.155709821</v>
      </c>
      <c r="Y11" s="206">
        <v>33527728.892745528</v>
      </c>
      <c r="Z11" s="398" t="s">
        <v>645</v>
      </c>
      <c r="AA11" s="393" t="s">
        <v>632</v>
      </c>
      <c r="AB11" t="s">
        <v>847</v>
      </c>
      <c r="AC11">
        <v>28386000</v>
      </c>
      <c r="AD11">
        <v>113724000</v>
      </c>
      <c r="AE11" s="767">
        <v>24.960430515986072</v>
      </c>
    </row>
    <row r="12" spans="1:36" x14ac:dyDescent="0.3">
      <c r="A12" s="145">
        <v>45222</v>
      </c>
      <c r="B12" s="189">
        <v>37</v>
      </c>
      <c r="C12" s="34" t="s">
        <v>547</v>
      </c>
      <c r="D12" s="10" t="s">
        <v>552</v>
      </c>
      <c r="E12" s="2" t="s">
        <v>588</v>
      </c>
      <c r="F12" s="2" t="s">
        <v>584</v>
      </c>
      <c r="G12" s="67" t="s">
        <v>563</v>
      </c>
      <c r="H12" s="14" t="s">
        <v>40</v>
      </c>
      <c r="I12" s="67" t="s">
        <v>524</v>
      </c>
      <c r="J12" s="15" t="s">
        <v>550</v>
      </c>
      <c r="K12" s="110" t="s">
        <v>532</v>
      </c>
      <c r="L12" s="65" t="s">
        <v>608</v>
      </c>
      <c r="M12" s="106" t="s">
        <v>531</v>
      </c>
      <c r="N12" s="67" t="s">
        <v>532</v>
      </c>
      <c r="O12" s="67" t="s">
        <v>570</v>
      </c>
      <c r="P12" s="67" t="s">
        <v>503</v>
      </c>
      <c r="Q12" s="137" t="s">
        <v>0</v>
      </c>
      <c r="R12" s="110" t="s">
        <v>519</v>
      </c>
      <c r="S12" s="177">
        <v>100</v>
      </c>
      <c r="T12" s="165" t="s">
        <v>0</v>
      </c>
      <c r="U12" s="67" t="s">
        <v>576</v>
      </c>
      <c r="V12" s="360">
        <v>2000000</v>
      </c>
      <c r="W12" s="208">
        <v>903467.89359360747</v>
      </c>
      <c r="X12" s="208">
        <v>845665.30168660358</v>
      </c>
      <c r="Y12" s="206">
        <v>21141632.542165093</v>
      </c>
      <c r="Z12" s="398" t="s">
        <v>645</v>
      </c>
      <c r="AA12" s="393" t="s">
        <v>632</v>
      </c>
      <c r="AB12" t="s">
        <v>848</v>
      </c>
      <c r="AC12">
        <v>27321000</v>
      </c>
      <c r="AD12">
        <v>113724000</v>
      </c>
      <c r="AE12" s="767">
        <v>24.023952727656432</v>
      </c>
    </row>
    <row r="13" spans="1:36" x14ac:dyDescent="0.3">
      <c r="A13" s="145">
        <v>45222</v>
      </c>
      <c r="B13" s="189">
        <v>38</v>
      </c>
      <c r="C13" s="34" t="s">
        <v>547</v>
      </c>
      <c r="D13" s="10" t="s">
        <v>552</v>
      </c>
      <c r="E13" s="2" t="s">
        <v>588</v>
      </c>
      <c r="F13" s="2" t="s">
        <v>584</v>
      </c>
      <c r="G13" s="67" t="s">
        <v>563</v>
      </c>
      <c r="H13" s="14" t="s">
        <v>41</v>
      </c>
      <c r="I13" s="67" t="s">
        <v>524</v>
      </c>
      <c r="J13" s="12" t="s">
        <v>551</v>
      </c>
      <c r="K13" s="110" t="s">
        <v>532</v>
      </c>
      <c r="L13" s="65" t="s">
        <v>608</v>
      </c>
      <c r="M13" s="106" t="s">
        <v>531</v>
      </c>
      <c r="N13" s="67" t="s">
        <v>532</v>
      </c>
      <c r="O13" s="67" t="s">
        <v>570</v>
      </c>
      <c r="P13" s="67" t="s">
        <v>573</v>
      </c>
      <c r="Q13" s="137" t="s">
        <v>0</v>
      </c>
      <c r="R13" s="110" t="s">
        <v>519</v>
      </c>
      <c r="S13" s="177">
        <v>100</v>
      </c>
      <c r="T13" s="165" t="s">
        <v>0</v>
      </c>
      <c r="U13" s="67" t="s">
        <v>576</v>
      </c>
      <c r="V13" s="360">
        <v>2000000</v>
      </c>
      <c r="W13" s="208">
        <v>1949307.2322677667</v>
      </c>
      <c r="X13" s="208">
        <v>1824593.3257226523</v>
      </c>
      <c r="Y13" s="206">
        <v>45614833.143066302</v>
      </c>
      <c r="Z13" s="398" t="s">
        <v>645</v>
      </c>
      <c r="AA13" s="393" t="s">
        <v>634</v>
      </c>
      <c r="AB13" t="s">
        <v>853</v>
      </c>
      <c r="AC13">
        <v>36567000</v>
      </c>
      <c r="AD13">
        <v>113724000</v>
      </c>
      <c r="AE13" s="767">
        <v>32.154162709718264</v>
      </c>
    </row>
    <row r="14" spans="1:36" x14ac:dyDescent="0.3">
      <c r="A14" s="145">
        <v>45222</v>
      </c>
      <c r="B14" s="189">
        <v>39</v>
      </c>
      <c r="C14" s="34" t="s">
        <v>547</v>
      </c>
      <c r="D14" s="10" t="s">
        <v>552</v>
      </c>
      <c r="E14" s="2" t="s">
        <v>588</v>
      </c>
      <c r="F14" s="2" t="s">
        <v>584</v>
      </c>
      <c r="G14" s="67" t="s">
        <v>563</v>
      </c>
      <c r="H14" s="14" t="s">
        <v>42</v>
      </c>
      <c r="I14" s="67" t="s">
        <v>524</v>
      </c>
      <c r="J14" s="12" t="s">
        <v>551</v>
      </c>
      <c r="K14" s="110" t="s">
        <v>532</v>
      </c>
      <c r="L14" s="65" t="s">
        <v>608</v>
      </c>
      <c r="M14" s="106" t="s">
        <v>531</v>
      </c>
      <c r="N14" s="67" t="s">
        <v>532</v>
      </c>
      <c r="O14" s="67" t="s">
        <v>570</v>
      </c>
      <c r="P14" s="67" t="s">
        <v>573</v>
      </c>
      <c r="Q14" s="137" t="s">
        <v>0</v>
      </c>
      <c r="R14" s="110" t="s">
        <v>519</v>
      </c>
      <c r="S14" s="177">
        <v>100</v>
      </c>
      <c r="T14" s="165" t="s">
        <v>0</v>
      </c>
      <c r="U14" s="67" t="s">
        <v>576</v>
      </c>
      <c r="V14" s="360">
        <v>2000000</v>
      </c>
      <c r="W14" s="208">
        <v>168407.3635257245</v>
      </c>
      <c r="X14" s="208">
        <v>157632.8997323376</v>
      </c>
      <c r="Y14" s="206">
        <v>3940822.4933084394</v>
      </c>
      <c r="Z14" s="398" t="s">
        <v>645</v>
      </c>
      <c r="AA14" s="393" t="s">
        <v>634</v>
      </c>
      <c r="AB14" t="s">
        <v>854</v>
      </c>
      <c r="AC14">
        <v>1944000</v>
      </c>
      <c r="AD14">
        <v>113724000</v>
      </c>
      <c r="AE14" s="767">
        <v>1.7094017094017095</v>
      </c>
    </row>
    <row r="15" spans="1:36" x14ac:dyDescent="0.3">
      <c r="A15" s="145">
        <v>45222</v>
      </c>
      <c r="B15" s="188">
        <v>40</v>
      </c>
      <c r="C15" s="34" t="s">
        <v>547</v>
      </c>
      <c r="D15" s="10" t="s">
        <v>552</v>
      </c>
      <c r="E15" s="2" t="s">
        <v>588</v>
      </c>
      <c r="F15" s="2" t="s">
        <v>584</v>
      </c>
      <c r="G15" s="67" t="s">
        <v>563</v>
      </c>
      <c r="H15" s="14" t="s">
        <v>43</v>
      </c>
      <c r="I15" s="67" t="s">
        <v>524</v>
      </c>
      <c r="J15" s="12" t="s">
        <v>551</v>
      </c>
      <c r="K15" s="110" t="s">
        <v>532</v>
      </c>
      <c r="L15" s="65" t="s">
        <v>608</v>
      </c>
      <c r="M15" s="106" t="s">
        <v>531</v>
      </c>
      <c r="N15" s="67" t="s">
        <v>532</v>
      </c>
      <c r="O15" s="67" t="s">
        <v>570</v>
      </c>
      <c r="P15" s="67" t="s">
        <v>503</v>
      </c>
      <c r="Q15" s="137" t="s">
        <v>0</v>
      </c>
      <c r="R15" s="110" t="s">
        <v>519</v>
      </c>
      <c r="S15" s="177">
        <v>100</v>
      </c>
      <c r="T15" s="165" t="s">
        <v>0</v>
      </c>
      <c r="U15" s="67" t="s">
        <v>576</v>
      </c>
      <c r="V15" s="360">
        <v>2000000</v>
      </c>
      <c r="W15" s="208">
        <v>197458.29926764796</v>
      </c>
      <c r="X15" s="208">
        <v>184825.19788999914</v>
      </c>
      <c r="Y15" s="206">
        <v>4620629.9472499788</v>
      </c>
      <c r="Z15" s="398" t="s">
        <v>645</v>
      </c>
      <c r="AA15" s="393" t="s">
        <v>634</v>
      </c>
      <c r="AB15" t="s">
        <v>855</v>
      </c>
      <c r="AC15">
        <v>3367800</v>
      </c>
      <c r="AD15">
        <v>113724000</v>
      </c>
      <c r="AE15" s="767">
        <v>2.9613801836024058</v>
      </c>
    </row>
    <row r="16" spans="1:36" x14ac:dyDescent="0.3">
      <c r="A16" s="145">
        <v>45229</v>
      </c>
      <c r="B16" s="189">
        <v>45</v>
      </c>
      <c r="C16" s="80" t="s">
        <v>548</v>
      </c>
      <c r="D16" s="10" t="s">
        <v>552</v>
      </c>
      <c r="E16" s="2" t="s">
        <v>588</v>
      </c>
      <c r="F16" s="2" t="s">
        <v>584</v>
      </c>
      <c r="G16" s="67" t="s">
        <v>564</v>
      </c>
      <c r="H16" s="14" t="s">
        <v>48</v>
      </c>
      <c r="I16" s="67" t="s">
        <v>527</v>
      </c>
      <c r="J16" s="15" t="s">
        <v>550</v>
      </c>
      <c r="K16" s="110" t="s">
        <v>532</v>
      </c>
      <c r="L16" s="137" t="s">
        <v>608</v>
      </c>
      <c r="M16" s="110" t="s">
        <v>531</v>
      </c>
      <c r="N16" s="67" t="s">
        <v>532</v>
      </c>
      <c r="O16" s="67" t="s">
        <v>570</v>
      </c>
      <c r="P16" s="67" t="s">
        <v>573</v>
      </c>
      <c r="Q16" s="137" t="s">
        <v>0</v>
      </c>
      <c r="R16" s="110" t="s">
        <v>519</v>
      </c>
      <c r="S16" s="172">
        <v>100</v>
      </c>
      <c r="T16" s="165">
        <v>25</v>
      </c>
      <c r="U16" s="137" t="s">
        <v>576</v>
      </c>
      <c r="V16" s="360">
        <v>2000000</v>
      </c>
      <c r="W16" s="208">
        <v>1287820.8854695831</v>
      </c>
      <c r="X16" s="208">
        <v>1205427.9353493231</v>
      </c>
      <c r="Y16" s="378">
        <v>30135698.383733079</v>
      </c>
      <c r="Z16" s="110" t="s">
        <v>644</v>
      </c>
      <c r="AA16" s="393" t="s">
        <v>635</v>
      </c>
      <c r="AB16" t="s">
        <v>860</v>
      </c>
      <c r="AC16">
        <v>2110500</v>
      </c>
      <c r="AD16">
        <v>77258999.999999985</v>
      </c>
      <c r="AE16" s="767">
        <v>2.731720576243545</v>
      </c>
    </row>
    <row r="17" spans="1:31" x14ac:dyDescent="0.3">
      <c r="A17" s="145">
        <v>45229</v>
      </c>
      <c r="B17" s="189">
        <v>46</v>
      </c>
      <c r="C17" s="80" t="s">
        <v>548</v>
      </c>
      <c r="D17" s="10" t="s">
        <v>552</v>
      </c>
      <c r="E17" s="2" t="s">
        <v>588</v>
      </c>
      <c r="F17" s="2" t="s">
        <v>584</v>
      </c>
      <c r="G17" s="67" t="s">
        <v>564</v>
      </c>
      <c r="H17" s="14" t="s">
        <v>49</v>
      </c>
      <c r="I17" s="67" t="s">
        <v>527</v>
      </c>
      <c r="J17" s="15" t="s">
        <v>550</v>
      </c>
      <c r="K17" s="110" t="s">
        <v>532</v>
      </c>
      <c r="L17" s="137" t="s">
        <v>608</v>
      </c>
      <c r="M17" s="110" t="s">
        <v>531</v>
      </c>
      <c r="N17" s="67" t="s">
        <v>532</v>
      </c>
      <c r="O17" s="67" t="s">
        <v>570</v>
      </c>
      <c r="P17" s="67" t="s">
        <v>574</v>
      </c>
      <c r="Q17" s="137" t="s">
        <v>0</v>
      </c>
      <c r="R17" s="110" t="s">
        <v>519</v>
      </c>
      <c r="S17" s="172">
        <v>100</v>
      </c>
      <c r="T17" s="165">
        <v>25</v>
      </c>
      <c r="U17" s="137" t="s">
        <v>576</v>
      </c>
      <c r="V17" s="360">
        <v>2000000</v>
      </c>
      <c r="W17" s="208">
        <v>1223518.90655639</v>
      </c>
      <c r="X17" s="208">
        <v>1145239.9056669632</v>
      </c>
      <c r="Y17" s="378">
        <v>28630997.641674086</v>
      </c>
      <c r="Z17" s="110" t="s">
        <v>644</v>
      </c>
      <c r="AA17" s="393" t="s">
        <v>635</v>
      </c>
      <c r="AB17" t="s">
        <v>861</v>
      </c>
      <c r="AC17">
        <v>2946900</v>
      </c>
      <c r="AD17">
        <v>77258999.999999985</v>
      </c>
      <c r="AE17" s="767">
        <v>3.8143128955849814</v>
      </c>
    </row>
    <row r="18" spans="1:31" x14ac:dyDescent="0.3">
      <c r="A18" s="145">
        <v>45229</v>
      </c>
      <c r="B18" s="189">
        <v>47</v>
      </c>
      <c r="C18" s="80" t="s">
        <v>548</v>
      </c>
      <c r="D18" s="10" t="s">
        <v>552</v>
      </c>
      <c r="E18" s="2" t="s">
        <v>588</v>
      </c>
      <c r="F18" s="2" t="s">
        <v>584</v>
      </c>
      <c r="G18" s="67" t="s">
        <v>564</v>
      </c>
      <c r="H18" s="14" t="s">
        <v>50</v>
      </c>
      <c r="I18" s="67" t="s">
        <v>527</v>
      </c>
      <c r="J18" s="15" t="s">
        <v>550</v>
      </c>
      <c r="K18" s="110" t="s">
        <v>532</v>
      </c>
      <c r="L18" s="137" t="s">
        <v>608</v>
      </c>
      <c r="M18" s="110" t="s">
        <v>531</v>
      </c>
      <c r="N18" s="67" t="s">
        <v>532</v>
      </c>
      <c r="O18" s="67" t="s">
        <v>570</v>
      </c>
      <c r="P18" s="67" t="s">
        <v>503</v>
      </c>
      <c r="Q18" s="137" t="s">
        <v>0</v>
      </c>
      <c r="R18" s="110" t="s">
        <v>519</v>
      </c>
      <c r="S18" s="172">
        <v>100</v>
      </c>
      <c r="T18" s="165">
        <v>25</v>
      </c>
      <c r="U18" s="137" t="s">
        <v>576</v>
      </c>
      <c r="V18" s="360">
        <v>2000000</v>
      </c>
      <c r="W18" s="208">
        <v>1542974.931668459</v>
      </c>
      <c r="X18" s="208">
        <v>1444257.5882737564</v>
      </c>
      <c r="Y18" s="378">
        <v>36106439.706843913</v>
      </c>
      <c r="Z18" s="110" t="s">
        <v>644</v>
      </c>
      <c r="AA18" s="393" t="s">
        <v>635</v>
      </c>
      <c r="AB18" t="s">
        <v>862</v>
      </c>
      <c r="AC18">
        <v>653400</v>
      </c>
      <c r="AD18">
        <v>77259000</v>
      </c>
      <c r="AE18" s="767">
        <v>0.84572671145109313</v>
      </c>
    </row>
    <row r="19" spans="1:31" x14ac:dyDescent="0.3">
      <c r="A19" s="145">
        <v>45229</v>
      </c>
      <c r="B19" s="189">
        <v>48</v>
      </c>
      <c r="C19" s="80" t="s">
        <v>548</v>
      </c>
      <c r="D19" s="10" t="s">
        <v>552</v>
      </c>
      <c r="E19" s="2" t="s">
        <v>588</v>
      </c>
      <c r="F19" s="2" t="s">
        <v>584</v>
      </c>
      <c r="G19" s="67" t="s">
        <v>564</v>
      </c>
      <c r="H19" s="14" t="s">
        <v>51</v>
      </c>
      <c r="I19" s="67" t="s">
        <v>527</v>
      </c>
      <c r="J19" s="15" t="s">
        <v>550</v>
      </c>
      <c r="K19" s="110" t="s">
        <v>532</v>
      </c>
      <c r="L19" s="137" t="s">
        <v>608</v>
      </c>
      <c r="M19" s="110" t="s">
        <v>531</v>
      </c>
      <c r="N19" s="67" t="s">
        <v>532</v>
      </c>
      <c r="O19" s="67" t="s">
        <v>570</v>
      </c>
      <c r="P19" s="67" t="s">
        <v>575</v>
      </c>
      <c r="Q19" s="137" t="s">
        <v>0</v>
      </c>
      <c r="R19" s="110" t="s">
        <v>519</v>
      </c>
      <c r="S19" s="172">
        <v>100</v>
      </c>
      <c r="T19" s="165">
        <v>25</v>
      </c>
      <c r="U19" s="137" t="s">
        <v>576</v>
      </c>
      <c r="V19" s="360">
        <v>2000000</v>
      </c>
      <c r="W19" s="208">
        <v>1018130.7276799901</v>
      </c>
      <c r="X19" s="208">
        <v>952992.17059636768</v>
      </c>
      <c r="Y19" s="378">
        <v>23824804.264909197</v>
      </c>
      <c r="Z19" s="110" t="s">
        <v>644</v>
      </c>
      <c r="AA19" s="393" t="s">
        <v>635</v>
      </c>
      <c r="AB19" t="s">
        <v>863</v>
      </c>
      <c r="AC19">
        <v>4818000</v>
      </c>
      <c r="AD19">
        <v>77259000</v>
      </c>
      <c r="AE19" s="767">
        <v>6.2361666601949288</v>
      </c>
    </row>
    <row r="20" spans="1:31" x14ac:dyDescent="0.3">
      <c r="A20" s="145">
        <v>45229</v>
      </c>
      <c r="B20" s="189">
        <v>49</v>
      </c>
      <c r="C20" s="34" t="s">
        <v>547</v>
      </c>
      <c r="D20" s="10" t="s">
        <v>552</v>
      </c>
      <c r="E20" s="2" t="s">
        <v>588</v>
      </c>
      <c r="F20" s="2" t="s">
        <v>584</v>
      </c>
      <c r="G20" s="67" t="s">
        <v>564</v>
      </c>
      <c r="H20" s="14" t="s">
        <v>52</v>
      </c>
      <c r="I20" s="67" t="s">
        <v>524</v>
      </c>
      <c r="J20" s="15" t="s">
        <v>550</v>
      </c>
      <c r="K20" s="110" t="s">
        <v>532</v>
      </c>
      <c r="L20" s="137" t="s">
        <v>608</v>
      </c>
      <c r="M20" s="110" t="s">
        <v>531</v>
      </c>
      <c r="N20" s="67" t="s">
        <v>532</v>
      </c>
      <c r="O20" s="67" t="s">
        <v>570</v>
      </c>
      <c r="P20" s="67" t="s">
        <v>573</v>
      </c>
      <c r="Q20" s="137" t="s">
        <v>0</v>
      </c>
      <c r="R20" s="110" t="s">
        <v>519</v>
      </c>
      <c r="S20" s="172">
        <v>100</v>
      </c>
      <c r="T20" s="165" t="s">
        <v>0</v>
      </c>
      <c r="U20" s="137" t="s">
        <v>576</v>
      </c>
      <c r="V20" s="360">
        <v>2000000</v>
      </c>
      <c r="W20" s="208">
        <v>15044128.533522084</v>
      </c>
      <c r="X20" s="208">
        <v>14081626.569273159</v>
      </c>
      <c r="Y20" s="378">
        <v>352040664.23182899</v>
      </c>
      <c r="Z20" s="110" t="s">
        <v>645</v>
      </c>
      <c r="AA20" s="393" t="s">
        <v>632</v>
      </c>
      <c r="AB20" t="s">
        <v>864</v>
      </c>
      <c r="AC20">
        <v>159058800</v>
      </c>
      <c r="AD20">
        <v>140608500</v>
      </c>
      <c r="AE20" s="767">
        <v>113.12175295234641</v>
      </c>
    </row>
    <row r="21" spans="1:31" x14ac:dyDescent="0.3">
      <c r="A21" s="145">
        <v>45229</v>
      </c>
      <c r="B21" s="189">
        <v>50</v>
      </c>
      <c r="C21" s="34" t="s">
        <v>547</v>
      </c>
      <c r="D21" s="10" t="s">
        <v>552</v>
      </c>
      <c r="E21" s="2" t="s">
        <v>588</v>
      </c>
      <c r="F21" s="2" t="s">
        <v>584</v>
      </c>
      <c r="G21" s="67" t="s">
        <v>564</v>
      </c>
      <c r="H21" s="14" t="s">
        <v>53</v>
      </c>
      <c r="I21" s="67" t="s">
        <v>524</v>
      </c>
      <c r="J21" s="15" t="s">
        <v>550</v>
      </c>
      <c r="K21" s="110" t="s">
        <v>532</v>
      </c>
      <c r="L21" s="137" t="s">
        <v>608</v>
      </c>
      <c r="M21" s="110" t="s">
        <v>531</v>
      </c>
      <c r="N21" s="67" t="s">
        <v>532</v>
      </c>
      <c r="O21" s="67" t="s">
        <v>570</v>
      </c>
      <c r="P21" s="67" t="s">
        <v>574</v>
      </c>
      <c r="Q21" s="137" t="s">
        <v>0</v>
      </c>
      <c r="R21" s="110" t="s">
        <v>519</v>
      </c>
      <c r="S21" s="172">
        <v>100</v>
      </c>
      <c r="T21" s="165" t="s">
        <v>0</v>
      </c>
      <c r="U21" s="137" t="s">
        <v>576</v>
      </c>
      <c r="V21" s="360">
        <v>2000000</v>
      </c>
      <c r="W21" s="208">
        <v>4406464.6705197506</v>
      </c>
      <c r="X21" s="208">
        <v>4124545.3229604531</v>
      </c>
      <c r="Y21" s="378">
        <v>103113633.07401133</v>
      </c>
      <c r="Z21" s="110" t="s">
        <v>645</v>
      </c>
      <c r="AA21" s="393" t="s">
        <v>632</v>
      </c>
      <c r="AB21" t="s">
        <v>865</v>
      </c>
      <c r="AC21">
        <v>15588000</v>
      </c>
      <c r="AD21">
        <v>140608500</v>
      </c>
      <c r="AE21" s="767">
        <v>11.086100769156914</v>
      </c>
    </row>
    <row r="22" spans="1:31" x14ac:dyDescent="0.3">
      <c r="A22" s="145">
        <v>45229</v>
      </c>
      <c r="B22" s="189">
        <v>51</v>
      </c>
      <c r="C22" s="34" t="s">
        <v>547</v>
      </c>
      <c r="D22" s="10" t="s">
        <v>552</v>
      </c>
      <c r="E22" s="2" t="s">
        <v>588</v>
      </c>
      <c r="F22" s="2" t="s">
        <v>584</v>
      </c>
      <c r="G22" s="67" t="s">
        <v>564</v>
      </c>
      <c r="H22" s="14" t="s">
        <v>54</v>
      </c>
      <c r="I22" s="67" t="s">
        <v>524</v>
      </c>
      <c r="J22" s="15" t="s">
        <v>550</v>
      </c>
      <c r="K22" s="110" t="s">
        <v>532</v>
      </c>
      <c r="L22" s="137" t="s">
        <v>608</v>
      </c>
      <c r="M22" s="110" t="s">
        <v>531</v>
      </c>
      <c r="N22" s="67" t="s">
        <v>532</v>
      </c>
      <c r="O22" s="67" t="s">
        <v>570</v>
      </c>
      <c r="P22" s="67" t="s">
        <v>503</v>
      </c>
      <c r="Q22" s="137" t="s">
        <v>0</v>
      </c>
      <c r="R22" s="110" t="s">
        <v>519</v>
      </c>
      <c r="S22" s="172">
        <v>100</v>
      </c>
      <c r="T22" s="165" t="s">
        <v>0</v>
      </c>
      <c r="U22" s="137" t="s">
        <v>576</v>
      </c>
      <c r="V22" s="360">
        <v>2000000</v>
      </c>
      <c r="W22" s="208">
        <v>5708401.781202442</v>
      </c>
      <c r="X22" s="208">
        <v>5343186.3474944243</v>
      </c>
      <c r="Y22" s="378">
        <v>133579658.68736061</v>
      </c>
      <c r="Z22" s="110" t="s">
        <v>645</v>
      </c>
      <c r="AA22" s="393" t="s">
        <v>632</v>
      </c>
      <c r="AB22" t="s">
        <v>866</v>
      </c>
      <c r="AC22">
        <v>41148000</v>
      </c>
      <c r="AD22">
        <v>140608500</v>
      </c>
      <c r="AE22" s="767">
        <v>29.264233670083957</v>
      </c>
    </row>
    <row r="23" spans="1:31" x14ac:dyDescent="0.3">
      <c r="A23" s="145">
        <v>45229</v>
      </c>
      <c r="B23" s="189">
        <v>54</v>
      </c>
      <c r="C23" s="80" t="s">
        <v>548</v>
      </c>
      <c r="D23" s="10" t="s">
        <v>552</v>
      </c>
      <c r="E23" s="2" t="s">
        <v>588</v>
      </c>
      <c r="F23" s="2" t="s">
        <v>584</v>
      </c>
      <c r="G23" s="67" t="s">
        <v>564</v>
      </c>
      <c r="H23" s="14" t="s">
        <v>57</v>
      </c>
      <c r="I23" s="67" t="s">
        <v>527</v>
      </c>
      <c r="J23" s="12" t="s">
        <v>551</v>
      </c>
      <c r="K23" s="110" t="s">
        <v>532</v>
      </c>
      <c r="L23" s="137" t="s">
        <v>608</v>
      </c>
      <c r="M23" s="110" t="s">
        <v>531</v>
      </c>
      <c r="N23" s="67" t="s">
        <v>532</v>
      </c>
      <c r="O23" s="67" t="s">
        <v>570</v>
      </c>
      <c r="P23" s="67" t="s">
        <v>573</v>
      </c>
      <c r="Q23" s="137" t="s">
        <v>0</v>
      </c>
      <c r="R23" s="110" t="s">
        <v>519</v>
      </c>
      <c r="S23" s="172">
        <v>100</v>
      </c>
      <c r="T23" s="165">
        <v>25</v>
      </c>
      <c r="U23" s="137" t="s">
        <v>576</v>
      </c>
      <c r="V23" s="360">
        <v>2000000</v>
      </c>
      <c r="W23" s="208">
        <v>7866103.6435127789</v>
      </c>
      <c r="X23" s="208">
        <v>7362841.5109807206</v>
      </c>
      <c r="Y23" s="378">
        <v>184071037.77451804</v>
      </c>
      <c r="Z23" s="110" t="s">
        <v>644</v>
      </c>
      <c r="AA23" s="393" t="s">
        <v>636</v>
      </c>
      <c r="AB23" t="s">
        <v>867</v>
      </c>
      <c r="AC23">
        <v>37545000</v>
      </c>
      <c r="AD23">
        <v>77258999.999999985</v>
      </c>
      <c r="AE23" s="767">
        <v>48.596280045043308</v>
      </c>
    </row>
    <row r="24" spans="1:31" x14ac:dyDescent="0.3">
      <c r="A24" s="145">
        <v>45229</v>
      </c>
      <c r="B24" s="189">
        <v>55</v>
      </c>
      <c r="C24" s="80" t="s">
        <v>548</v>
      </c>
      <c r="D24" s="10" t="s">
        <v>552</v>
      </c>
      <c r="E24" s="2" t="s">
        <v>588</v>
      </c>
      <c r="F24" s="2" t="s">
        <v>584</v>
      </c>
      <c r="G24" s="67" t="s">
        <v>564</v>
      </c>
      <c r="H24" s="14" t="s">
        <v>58</v>
      </c>
      <c r="I24" s="67" t="s">
        <v>527</v>
      </c>
      <c r="J24" s="12" t="s">
        <v>551</v>
      </c>
      <c r="K24" s="110" t="s">
        <v>532</v>
      </c>
      <c r="L24" s="137" t="s">
        <v>608</v>
      </c>
      <c r="M24" s="110" t="s">
        <v>531</v>
      </c>
      <c r="N24" s="67" t="s">
        <v>532</v>
      </c>
      <c r="O24" s="67" t="s">
        <v>570</v>
      </c>
      <c r="P24" s="67" t="s">
        <v>574</v>
      </c>
      <c r="Q24" s="137" t="s">
        <v>0</v>
      </c>
      <c r="R24" s="110" t="s">
        <v>519</v>
      </c>
      <c r="S24" s="172">
        <v>100</v>
      </c>
      <c r="T24" s="165">
        <v>25</v>
      </c>
      <c r="U24" s="137" t="s">
        <v>576</v>
      </c>
      <c r="V24" s="360">
        <v>2000000</v>
      </c>
      <c r="W24" s="208">
        <v>3202276.5443349164</v>
      </c>
      <c r="X24" s="208">
        <v>2997399.4418079928</v>
      </c>
      <c r="Y24" s="378">
        <v>74934986.045199811</v>
      </c>
      <c r="Z24" s="110" t="s">
        <v>644</v>
      </c>
      <c r="AA24" s="393" t="s">
        <v>636</v>
      </c>
      <c r="AB24" t="s">
        <v>868</v>
      </c>
      <c r="AC24">
        <v>8676000</v>
      </c>
      <c r="AD24">
        <v>77258999.999999985</v>
      </c>
      <c r="AE24" s="767">
        <v>11.229759639653635</v>
      </c>
    </row>
    <row r="25" spans="1:31" x14ac:dyDescent="0.3">
      <c r="A25" s="145">
        <v>45229</v>
      </c>
      <c r="B25" s="189">
        <v>56</v>
      </c>
      <c r="C25" s="80" t="s">
        <v>548</v>
      </c>
      <c r="D25" s="10" t="s">
        <v>552</v>
      </c>
      <c r="E25" s="2" t="s">
        <v>588</v>
      </c>
      <c r="F25" s="2" t="s">
        <v>584</v>
      </c>
      <c r="G25" s="67" t="s">
        <v>564</v>
      </c>
      <c r="H25" s="14" t="s">
        <v>59</v>
      </c>
      <c r="I25" s="67" t="s">
        <v>527</v>
      </c>
      <c r="J25" s="12" t="s">
        <v>551</v>
      </c>
      <c r="K25" s="110" t="s">
        <v>532</v>
      </c>
      <c r="L25" s="137" t="s">
        <v>608</v>
      </c>
      <c r="M25" s="110" t="s">
        <v>531</v>
      </c>
      <c r="N25" s="67" t="s">
        <v>532</v>
      </c>
      <c r="O25" s="67" t="s">
        <v>570</v>
      </c>
      <c r="P25" s="67" t="s">
        <v>503</v>
      </c>
      <c r="Q25" s="137" t="s">
        <v>0</v>
      </c>
      <c r="R25" s="110" t="s">
        <v>519</v>
      </c>
      <c r="S25" s="172">
        <v>100</v>
      </c>
      <c r="T25" s="165">
        <v>25</v>
      </c>
      <c r="U25" s="137" t="s">
        <v>576</v>
      </c>
      <c r="V25" s="360">
        <v>2000000</v>
      </c>
      <c r="W25" s="208">
        <v>3158563.0121757891</v>
      </c>
      <c r="X25" s="208">
        <v>2956482.6393147721</v>
      </c>
      <c r="Y25" s="378">
        <v>73912065.982869297</v>
      </c>
      <c r="Z25" s="110" t="s">
        <v>644</v>
      </c>
      <c r="AA25" s="393" t="s">
        <v>636</v>
      </c>
      <c r="AB25" t="s">
        <v>869</v>
      </c>
      <c r="AC25">
        <v>11388000</v>
      </c>
      <c r="AD25">
        <v>77259000</v>
      </c>
      <c r="AE25" s="767">
        <v>14.740030287733468</v>
      </c>
    </row>
    <row r="26" spans="1:31" x14ac:dyDescent="0.3">
      <c r="A26" s="145">
        <v>45229</v>
      </c>
      <c r="B26" s="189">
        <v>57</v>
      </c>
      <c r="C26" s="80" t="s">
        <v>548</v>
      </c>
      <c r="D26" s="10" t="s">
        <v>552</v>
      </c>
      <c r="E26" s="2" t="s">
        <v>588</v>
      </c>
      <c r="F26" s="2" t="s">
        <v>584</v>
      </c>
      <c r="G26" s="67" t="s">
        <v>564</v>
      </c>
      <c r="H26" s="14" t="s">
        <v>60</v>
      </c>
      <c r="I26" s="67" t="s">
        <v>527</v>
      </c>
      <c r="J26" s="12" t="s">
        <v>551</v>
      </c>
      <c r="K26" s="110" t="s">
        <v>532</v>
      </c>
      <c r="L26" s="137" t="s">
        <v>608</v>
      </c>
      <c r="M26" s="110" t="s">
        <v>531</v>
      </c>
      <c r="N26" s="67" t="s">
        <v>532</v>
      </c>
      <c r="O26" s="67" t="s">
        <v>570</v>
      </c>
      <c r="P26" s="67" t="s">
        <v>575</v>
      </c>
      <c r="Q26" s="137" t="s">
        <v>0</v>
      </c>
      <c r="R26" s="110" t="s">
        <v>519</v>
      </c>
      <c r="S26" s="172">
        <v>100</v>
      </c>
      <c r="T26" s="165">
        <v>25</v>
      </c>
      <c r="U26" s="137" t="s">
        <v>576</v>
      </c>
      <c r="V26" s="360">
        <v>2000000</v>
      </c>
      <c r="W26" s="208">
        <v>9155692.0181675684</v>
      </c>
      <c r="X26" s="208">
        <v>8569923.854068974</v>
      </c>
      <c r="Y26" s="378">
        <v>214248096.35172433</v>
      </c>
      <c r="Z26" s="110" t="s">
        <v>644</v>
      </c>
      <c r="AA26" s="393" t="s">
        <v>636</v>
      </c>
      <c r="AB26" t="s">
        <v>870</v>
      </c>
      <c r="AC26">
        <v>47610000</v>
      </c>
      <c r="AD26">
        <v>77259000</v>
      </c>
      <c r="AE26" s="767">
        <v>61.623888479012159</v>
      </c>
    </row>
    <row r="27" spans="1:31" x14ac:dyDescent="0.3">
      <c r="A27" s="145">
        <v>45229</v>
      </c>
      <c r="B27" s="189">
        <v>58</v>
      </c>
      <c r="C27" s="34" t="s">
        <v>547</v>
      </c>
      <c r="D27" s="10" t="s">
        <v>552</v>
      </c>
      <c r="E27" s="2" t="s">
        <v>588</v>
      </c>
      <c r="F27" s="2" t="s">
        <v>584</v>
      </c>
      <c r="G27" s="67" t="s">
        <v>564</v>
      </c>
      <c r="H27" s="14" t="s">
        <v>61</v>
      </c>
      <c r="I27" s="67" t="s">
        <v>524</v>
      </c>
      <c r="J27" s="12" t="s">
        <v>551</v>
      </c>
      <c r="K27" s="110" t="s">
        <v>532</v>
      </c>
      <c r="L27" s="137" t="s">
        <v>608</v>
      </c>
      <c r="M27" s="110" t="s">
        <v>531</v>
      </c>
      <c r="N27" s="67" t="s">
        <v>532</v>
      </c>
      <c r="O27" s="67" t="s">
        <v>570</v>
      </c>
      <c r="P27" s="67" t="s">
        <v>573</v>
      </c>
      <c r="Q27" s="137" t="s">
        <v>0</v>
      </c>
      <c r="R27" s="110" t="s">
        <v>519</v>
      </c>
      <c r="S27" s="172">
        <v>100</v>
      </c>
      <c r="T27" s="165" t="s">
        <v>0</v>
      </c>
      <c r="U27" s="137" t="s">
        <v>576</v>
      </c>
      <c r="V27" s="360">
        <v>2000000</v>
      </c>
      <c r="W27" s="208">
        <v>7463263.6521365698</v>
      </c>
      <c r="X27" s="208">
        <v>6985774.6497737775</v>
      </c>
      <c r="Y27" s="378">
        <v>174644366.24434444</v>
      </c>
      <c r="Z27" s="110" t="s">
        <v>645</v>
      </c>
      <c r="AA27" s="393" t="s">
        <v>634</v>
      </c>
      <c r="AB27" t="s">
        <v>871</v>
      </c>
      <c r="AC27">
        <v>35925000</v>
      </c>
      <c r="AD27">
        <v>140608500</v>
      </c>
      <c r="AE27" s="767">
        <v>25.549664493967295</v>
      </c>
    </row>
    <row r="28" spans="1:31" x14ac:dyDescent="0.3">
      <c r="A28" s="145">
        <v>45229</v>
      </c>
      <c r="B28" s="189">
        <v>59</v>
      </c>
      <c r="C28" s="34" t="s">
        <v>547</v>
      </c>
      <c r="D28" s="10" t="s">
        <v>552</v>
      </c>
      <c r="E28" s="2" t="s">
        <v>588</v>
      </c>
      <c r="F28" s="2" t="s">
        <v>584</v>
      </c>
      <c r="G28" s="67" t="s">
        <v>564</v>
      </c>
      <c r="H28" s="14" t="s">
        <v>62</v>
      </c>
      <c r="I28" s="67" t="s">
        <v>524</v>
      </c>
      <c r="J28" s="12" t="s">
        <v>551</v>
      </c>
      <c r="K28" s="110" t="s">
        <v>532</v>
      </c>
      <c r="L28" s="137" t="s">
        <v>608</v>
      </c>
      <c r="M28" s="110" t="s">
        <v>531</v>
      </c>
      <c r="N28" s="67" t="s">
        <v>532</v>
      </c>
      <c r="O28" s="67" t="s">
        <v>570</v>
      </c>
      <c r="P28" s="67" t="s">
        <v>574</v>
      </c>
      <c r="Q28" s="137" t="s">
        <v>0</v>
      </c>
      <c r="R28" s="110" t="s">
        <v>519</v>
      </c>
      <c r="S28" s="172">
        <v>100</v>
      </c>
      <c r="T28" s="165" t="s">
        <v>0</v>
      </c>
      <c r="U28" s="137" t="s">
        <v>576</v>
      </c>
      <c r="V28" s="360">
        <v>2000000</v>
      </c>
      <c r="W28" s="208">
        <v>5494756.6996667087</v>
      </c>
      <c r="X28" s="208">
        <v>5143209.9746626923</v>
      </c>
      <c r="Y28" s="378">
        <v>128580249.36656731</v>
      </c>
      <c r="Z28" s="110" t="s">
        <v>645</v>
      </c>
      <c r="AA28" s="393" t="s">
        <v>634</v>
      </c>
      <c r="AB28" t="s">
        <v>872</v>
      </c>
      <c r="AC28">
        <v>38508000</v>
      </c>
      <c r="AD28">
        <v>140608500</v>
      </c>
      <c r="AE28" s="767">
        <v>27.386680037124357</v>
      </c>
    </row>
    <row r="29" spans="1:31" ht="16.2" thickBot="1" x14ac:dyDescent="0.35">
      <c r="A29" s="145">
        <v>45229</v>
      </c>
      <c r="B29" s="189">
        <v>60</v>
      </c>
      <c r="C29" s="34" t="s">
        <v>547</v>
      </c>
      <c r="D29" s="10" t="s">
        <v>552</v>
      </c>
      <c r="E29" s="2" t="s">
        <v>588</v>
      </c>
      <c r="F29" s="2" t="s">
        <v>584</v>
      </c>
      <c r="G29" s="67" t="s">
        <v>564</v>
      </c>
      <c r="H29" s="14" t="s">
        <v>63</v>
      </c>
      <c r="I29" s="67" t="s">
        <v>524</v>
      </c>
      <c r="J29" s="12" t="s">
        <v>551</v>
      </c>
      <c r="K29" s="110" t="s">
        <v>532</v>
      </c>
      <c r="L29" s="137" t="s">
        <v>608</v>
      </c>
      <c r="M29" s="110" t="s">
        <v>531</v>
      </c>
      <c r="N29" s="67" t="s">
        <v>532</v>
      </c>
      <c r="O29" s="67" t="s">
        <v>570</v>
      </c>
      <c r="P29" s="67" t="s">
        <v>503</v>
      </c>
      <c r="Q29" s="137" t="s">
        <v>0</v>
      </c>
      <c r="R29" s="110" t="s">
        <v>519</v>
      </c>
      <c r="S29" s="172">
        <v>100</v>
      </c>
      <c r="T29" s="165" t="s">
        <v>0</v>
      </c>
      <c r="U29" s="137" t="s">
        <v>576</v>
      </c>
      <c r="V29" s="360">
        <v>2000000</v>
      </c>
      <c r="W29" s="208">
        <v>5630926.0010532262</v>
      </c>
      <c r="X29" s="208">
        <v>5270667.3576577343</v>
      </c>
      <c r="Y29" s="378">
        <v>131766683.94144335</v>
      </c>
      <c r="Z29" s="110" t="s">
        <v>645</v>
      </c>
      <c r="AA29" s="393" t="s">
        <v>634</v>
      </c>
      <c r="AB29" t="s">
        <v>873</v>
      </c>
      <c r="AC29">
        <v>20544000</v>
      </c>
      <c r="AD29">
        <v>140608500</v>
      </c>
      <c r="AE29" s="767">
        <v>14.610780998303802</v>
      </c>
    </row>
    <row r="30" spans="1:31" x14ac:dyDescent="0.3">
      <c r="A30" s="147">
        <v>45295</v>
      </c>
      <c r="B30" s="188">
        <v>281</v>
      </c>
      <c r="C30" s="54" t="s">
        <v>548</v>
      </c>
      <c r="D30" s="30" t="s">
        <v>552</v>
      </c>
      <c r="E30" s="28" t="s">
        <v>588</v>
      </c>
      <c r="F30" s="28" t="s">
        <v>584</v>
      </c>
      <c r="G30" s="28" t="s">
        <v>555</v>
      </c>
      <c r="H30" s="320" t="s">
        <v>279</v>
      </c>
      <c r="I30" s="28" t="s">
        <v>527</v>
      </c>
      <c r="J30" s="59" t="s">
        <v>1</v>
      </c>
      <c r="K30" s="28" t="s">
        <v>532</v>
      </c>
      <c r="L30" s="28" t="s">
        <v>608</v>
      </c>
      <c r="M30" s="75" t="s">
        <v>531</v>
      </c>
      <c r="N30" s="75" t="s">
        <v>532</v>
      </c>
      <c r="O30" s="75" t="s">
        <v>570</v>
      </c>
      <c r="P30" s="75" t="s">
        <v>573</v>
      </c>
      <c r="Q30" s="89" t="s">
        <v>0</v>
      </c>
      <c r="R30" s="117" t="s">
        <v>519</v>
      </c>
      <c r="S30" s="185">
        <v>100</v>
      </c>
      <c r="T30" s="185">
        <v>25</v>
      </c>
      <c r="U30" s="72" t="s">
        <v>576</v>
      </c>
      <c r="V30" s="359">
        <v>200000</v>
      </c>
      <c r="W30" s="209">
        <v>2842.7820448458933</v>
      </c>
      <c r="X30" s="209">
        <v>2660.9048895159017</v>
      </c>
      <c r="Y30" s="206">
        <v>66522.622237897551</v>
      </c>
      <c r="Z30" s="117" t="s">
        <v>661</v>
      </c>
      <c r="AA30" s="404" t="s">
        <v>637</v>
      </c>
      <c r="AB30" t="s">
        <v>279</v>
      </c>
      <c r="AC30">
        <v>17569</v>
      </c>
      <c r="AD30">
        <v>2454450</v>
      </c>
      <c r="AE30" s="767">
        <v>0.71580191081505018</v>
      </c>
    </row>
    <row r="31" spans="1:31" x14ac:dyDescent="0.3">
      <c r="A31" s="145">
        <v>45295</v>
      </c>
      <c r="B31" s="189">
        <v>282</v>
      </c>
      <c r="C31" s="56" t="s">
        <v>548</v>
      </c>
      <c r="D31" s="10" t="s">
        <v>552</v>
      </c>
      <c r="E31" s="2" t="s">
        <v>588</v>
      </c>
      <c r="F31" s="2" t="s">
        <v>584</v>
      </c>
      <c r="G31" s="2" t="s">
        <v>555</v>
      </c>
      <c r="H31" s="14" t="s">
        <v>280</v>
      </c>
      <c r="I31" s="2" t="s">
        <v>527</v>
      </c>
      <c r="J31" s="58" t="s">
        <v>1</v>
      </c>
      <c r="K31" s="2" t="s">
        <v>532</v>
      </c>
      <c r="L31" s="42" t="s">
        <v>608</v>
      </c>
      <c r="M31" s="42" t="s">
        <v>531</v>
      </c>
      <c r="N31" s="2" t="s">
        <v>532</v>
      </c>
      <c r="O31" s="2" t="s">
        <v>570</v>
      </c>
      <c r="P31" s="2" t="s">
        <v>574</v>
      </c>
      <c r="Q31" s="67" t="s">
        <v>0</v>
      </c>
      <c r="R31" s="110" t="s">
        <v>519</v>
      </c>
      <c r="S31" s="166">
        <v>100</v>
      </c>
      <c r="T31" s="166">
        <v>25</v>
      </c>
      <c r="U31" s="67" t="s">
        <v>576</v>
      </c>
      <c r="V31" s="360">
        <v>200000</v>
      </c>
      <c r="W31" s="208">
        <v>2120.9607263672647</v>
      </c>
      <c r="X31" s="208">
        <v>1985.264673207754</v>
      </c>
      <c r="Y31" s="206">
        <v>49631.616830193852</v>
      </c>
      <c r="Z31" s="110" t="s">
        <v>661</v>
      </c>
      <c r="AA31" s="393" t="s">
        <v>637</v>
      </c>
      <c r="AB31" t="s">
        <v>280</v>
      </c>
      <c r="AC31">
        <v>6693.0000000000009</v>
      </c>
      <c r="AD31">
        <v>2454450</v>
      </c>
      <c r="AE31" s="767">
        <v>0.27268838232597942</v>
      </c>
    </row>
    <row r="32" spans="1:31" x14ac:dyDescent="0.3">
      <c r="A32" s="145">
        <v>45295</v>
      </c>
      <c r="B32" s="189">
        <v>283</v>
      </c>
      <c r="C32" s="56" t="s">
        <v>548</v>
      </c>
      <c r="D32" s="10" t="s">
        <v>552</v>
      </c>
      <c r="E32" s="2" t="s">
        <v>588</v>
      </c>
      <c r="F32" s="2" t="s">
        <v>584</v>
      </c>
      <c r="G32" s="2" t="s">
        <v>555</v>
      </c>
      <c r="H32" s="14" t="s">
        <v>281</v>
      </c>
      <c r="I32" s="2" t="s">
        <v>527</v>
      </c>
      <c r="J32" s="58" t="s">
        <v>1</v>
      </c>
      <c r="K32" s="2" t="s">
        <v>532</v>
      </c>
      <c r="L32" s="42" t="s">
        <v>608</v>
      </c>
      <c r="M32" s="42" t="s">
        <v>531</v>
      </c>
      <c r="N32" s="2" t="s">
        <v>532</v>
      </c>
      <c r="O32" s="2" t="s">
        <v>570</v>
      </c>
      <c r="P32" s="2" t="s">
        <v>503</v>
      </c>
      <c r="Q32" s="67" t="s">
        <v>0</v>
      </c>
      <c r="R32" s="110" t="s">
        <v>519</v>
      </c>
      <c r="S32" s="166">
        <v>100</v>
      </c>
      <c r="T32" s="166">
        <v>25</v>
      </c>
      <c r="U32" s="67" t="s">
        <v>576</v>
      </c>
      <c r="V32" s="360">
        <v>200000</v>
      </c>
      <c r="W32" s="208">
        <v>8198.0845842436574</v>
      </c>
      <c r="X32" s="208">
        <v>7673.5827829042864</v>
      </c>
      <c r="Y32" s="206">
        <v>191839.56957260714</v>
      </c>
      <c r="Z32" s="110" t="s">
        <v>661</v>
      </c>
      <c r="AA32" s="393" t="s">
        <v>637</v>
      </c>
      <c r="AB32" t="s">
        <v>281</v>
      </c>
      <c r="AC32">
        <v>17739</v>
      </c>
      <c r="AD32">
        <v>2454450</v>
      </c>
      <c r="AE32" s="767">
        <v>0.72272810609301474</v>
      </c>
    </row>
    <row r="33" spans="1:31" x14ac:dyDescent="0.3">
      <c r="A33" s="145">
        <v>45295</v>
      </c>
      <c r="B33" s="189">
        <v>284</v>
      </c>
      <c r="C33" s="56" t="s">
        <v>548</v>
      </c>
      <c r="D33" s="10" t="s">
        <v>552</v>
      </c>
      <c r="E33" s="2" t="s">
        <v>588</v>
      </c>
      <c r="F33" s="2" t="s">
        <v>584</v>
      </c>
      <c r="G33" s="2" t="s">
        <v>555</v>
      </c>
      <c r="H33" s="14" t="s">
        <v>282</v>
      </c>
      <c r="I33" s="2" t="s">
        <v>527</v>
      </c>
      <c r="J33" s="58" t="s">
        <v>1</v>
      </c>
      <c r="K33" s="2" t="s">
        <v>532</v>
      </c>
      <c r="L33" s="42" t="s">
        <v>608</v>
      </c>
      <c r="M33" s="42" t="s">
        <v>531</v>
      </c>
      <c r="N33" s="2" t="s">
        <v>532</v>
      </c>
      <c r="O33" s="2" t="s">
        <v>570</v>
      </c>
      <c r="P33" s="2" t="s">
        <v>575</v>
      </c>
      <c r="Q33" s="67" t="s">
        <v>0</v>
      </c>
      <c r="R33" s="110" t="s">
        <v>519</v>
      </c>
      <c r="S33" s="166">
        <v>100</v>
      </c>
      <c r="T33" s="166">
        <v>25</v>
      </c>
      <c r="U33" s="67" t="s">
        <v>576</v>
      </c>
      <c r="V33" s="360">
        <v>200000</v>
      </c>
      <c r="W33" s="208">
        <v>4340.5499865184402</v>
      </c>
      <c r="X33" s="208">
        <v>4062.847766769687</v>
      </c>
      <c r="Y33" s="206">
        <v>101571.19416924217</v>
      </c>
      <c r="Z33" s="110" t="s">
        <v>661</v>
      </c>
      <c r="AA33" s="393" t="s">
        <v>637</v>
      </c>
      <c r="AB33" t="s">
        <v>282</v>
      </c>
      <c r="AC33">
        <v>28670</v>
      </c>
      <c r="AD33">
        <v>2454450</v>
      </c>
      <c r="AE33" s="767">
        <v>1.168082462466133</v>
      </c>
    </row>
    <row r="34" spans="1:31" x14ac:dyDescent="0.3">
      <c r="A34" s="145">
        <v>45295</v>
      </c>
      <c r="B34" s="189">
        <v>285</v>
      </c>
      <c r="C34" s="56" t="s">
        <v>548</v>
      </c>
      <c r="D34" s="10" t="s">
        <v>552</v>
      </c>
      <c r="E34" s="2" t="s">
        <v>588</v>
      </c>
      <c r="F34" s="2" t="s">
        <v>584</v>
      </c>
      <c r="G34" s="2" t="s">
        <v>555</v>
      </c>
      <c r="H34" s="14" t="s">
        <v>283</v>
      </c>
      <c r="I34" s="2" t="s">
        <v>527</v>
      </c>
      <c r="J34" s="57" t="s">
        <v>2</v>
      </c>
      <c r="K34" s="2" t="s">
        <v>532</v>
      </c>
      <c r="L34" s="42" t="s">
        <v>608</v>
      </c>
      <c r="M34" s="42" t="s">
        <v>531</v>
      </c>
      <c r="N34" s="2" t="s">
        <v>532</v>
      </c>
      <c r="O34" s="2" t="s">
        <v>570</v>
      </c>
      <c r="P34" s="2" t="s">
        <v>573</v>
      </c>
      <c r="Q34" s="67" t="s">
        <v>0</v>
      </c>
      <c r="R34" s="110" t="s">
        <v>519</v>
      </c>
      <c r="S34" s="166">
        <v>100</v>
      </c>
      <c r="T34" s="166">
        <v>25</v>
      </c>
      <c r="U34" s="67" t="s">
        <v>576</v>
      </c>
      <c r="V34" s="360">
        <v>200000</v>
      </c>
      <c r="W34" s="208">
        <v>112597.34137930653</v>
      </c>
      <c r="X34" s="208">
        <v>105393.52349079923</v>
      </c>
      <c r="Y34" s="206">
        <v>2634838.0872699809</v>
      </c>
      <c r="Z34" s="110" t="s">
        <v>661</v>
      </c>
      <c r="AA34" s="393" t="s">
        <v>638</v>
      </c>
      <c r="AB34" t="s">
        <v>283</v>
      </c>
      <c r="AC34">
        <v>813880</v>
      </c>
      <c r="AD34">
        <v>2454450</v>
      </c>
      <c r="AE34" s="767">
        <v>33.15936360488093</v>
      </c>
    </row>
    <row r="35" spans="1:31" x14ac:dyDescent="0.3">
      <c r="A35" s="145">
        <v>45295</v>
      </c>
      <c r="B35" s="189">
        <v>286</v>
      </c>
      <c r="C35" s="56" t="s">
        <v>548</v>
      </c>
      <c r="D35" s="10" t="s">
        <v>552</v>
      </c>
      <c r="E35" s="2" t="s">
        <v>588</v>
      </c>
      <c r="F35" s="2" t="s">
        <v>584</v>
      </c>
      <c r="G35" s="2" t="s">
        <v>555</v>
      </c>
      <c r="H35" s="14" t="s">
        <v>284</v>
      </c>
      <c r="I35" s="2" t="s">
        <v>527</v>
      </c>
      <c r="J35" s="57" t="s">
        <v>2</v>
      </c>
      <c r="K35" s="2" t="s">
        <v>532</v>
      </c>
      <c r="L35" s="42" t="s">
        <v>608</v>
      </c>
      <c r="M35" s="42" t="s">
        <v>531</v>
      </c>
      <c r="N35" s="2" t="s">
        <v>532</v>
      </c>
      <c r="O35" s="2" t="s">
        <v>570</v>
      </c>
      <c r="P35" s="2" t="s">
        <v>574</v>
      </c>
      <c r="Q35" s="67" t="s">
        <v>0</v>
      </c>
      <c r="R35" s="110" t="s">
        <v>519</v>
      </c>
      <c r="S35" s="166">
        <v>100</v>
      </c>
      <c r="T35" s="166">
        <v>25</v>
      </c>
      <c r="U35" s="67" t="s">
        <v>576</v>
      </c>
      <c r="V35" s="360">
        <v>200000</v>
      </c>
      <c r="W35" s="208">
        <v>11324.042360114414</v>
      </c>
      <c r="X35" s="208">
        <v>10599.546222597271</v>
      </c>
      <c r="Y35" s="206">
        <v>264988.6555649318</v>
      </c>
      <c r="Z35" s="110" t="s">
        <v>661</v>
      </c>
      <c r="AA35" s="393" t="s">
        <v>638</v>
      </c>
      <c r="AB35" t="s">
        <v>284</v>
      </c>
      <c r="AC35">
        <v>50690</v>
      </c>
      <c r="AD35">
        <v>2454450</v>
      </c>
      <c r="AE35" s="767">
        <v>2.0652284625883599</v>
      </c>
    </row>
    <row r="36" spans="1:31" x14ac:dyDescent="0.3">
      <c r="A36" s="145">
        <v>45295</v>
      </c>
      <c r="B36" s="188">
        <v>287</v>
      </c>
      <c r="C36" s="56" t="s">
        <v>548</v>
      </c>
      <c r="D36" s="10" t="s">
        <v>552</v>
      </c>
      <c r="E36" s="2" t="s">
        <v>588</v>
      </c>
      <c r="F36" s="2" t="s">
        <v>584</v>
      </c>
      <c r="G36" s="2" t="s">
        <v>555</v>
      </c>
      <c r="H36" s="14" t="s">
        <v>285</v>
      </c>
      <c r="I36" s="2" t="s">
        <v>527</v>
      </c>
      <c r="J36" s="57" t="s">
        <v>2</v>
      </c>
      <c r="K36" s="2" t="s">
        <v>532</v>
      </c>
      <c r="L36" s="42" t="s">
        <v>608</v>
      </c>
      <c r="M36" s="42" t="s">
        <v>531</v>
      </c>
      <c r="N36" s="2" t="s">
        <v>532</v>
      </c>
      <c r="O36" s="2" t="s">
        <v>570</v>
      </c>
      <c r="P36" s="2" t="s">
        <v>503</v>
      </c>
      <c r="Q36" s="67" t="s">
        <v>0</v>
      </c>
      <c r="R36" s="110" t="s">
        <v>519</v>
      </c>
      <c r="S36" s="166">
        <v>100</v>
      </c>
      <c r="T36" s="166">
        <v>25</v>
      </c>
      <c r="U36" s="67" t="s">
        <v>576</v>
      </c>
      <c r="V36" s="360">
        <v>200000</v>
      </c>
      <c r="W36" s="208">
        <v>98492.666065809506</v>
      </c>
      <c r="X36" s="208">
        <v>92191.245259598072</v>
      </c>
      <c r="Y36" s="206">
        <v>2304781.1314899521</v>
      </c>
      <c r="Z36" s="110" t="s">
        <v>661</v>
      </c>
      <c r="AA36" s="393" t="s">
        <v>638</v>
      </c>
      <c r="AB36" t="s">
        <v>285</v>
      </c>
      <c r="AC36">
        <v>277750</v>
      </c>
      <c r="AD36">
        <v>2454450</v>
      </c>
      <c r="AE36" s="767">
        <v>11.316180814439079</v>
      </c>
    </row>
    <row r="37" spans="1:31" x14ac:dyDescent="0.3">
      <c r="A37" s="145">
        <v>45295</v>
      </c>
      <c r="B37" s="189">
        <v>288</v>
      </c>
      <c r="C37" s="56" t="s">
        <v>548</v>
      </c>
      <c r="D37" s="10" t="s">
        <v>552</v>
      </c>
      <c r="E37" s="2" t="s">
        <v>588</v>
      </c>
      <c r="F37" s="2" t="s">
        <v>584</v>
      </c>
      <c r="G37" s="2" t="s">
        <v>555</v>
      </c>
      <c r="H37" s="14" t="s">
        <v>286</v>
      </c>
      <c r="I37" s="2" t="s">
        <v>527</v>
      </c>
      <c r="J37" s="57" t="s">
        <v>2</v>
      </c>
      <c r="K37" s="2" t="s">
        <v>532</v>
      </c>
      <c r="L37" s="42" t="s">
        <v>608</v>
      </c>
      <c r="M37" s="42" t="s">
        <v>531</v>
      </c>
      <c r="N37" s="2" t="s">
        <v>532</v>
      </c>
      <c r="O37" s="2" t="s">
        <v>570</v>
      </c>
      <c r="P37" s="2" t="s">
        <v>575</v>
      </c>
      <c r="Q37" s="67" t="s">
        <v>0</v>
      </c>
      <c r="R37" s="110" t="s">
        <v>519</v>
      </c>
      <c r="S37" s="166">
        <v>100</v>
      </c>
      <c r="T37" s="166">
        <v>25</v>
      </c>
      <c r="U37" s="67" t="s">
        <v>576</v>
      </c>
      <c r="V37" s="360">
        <v>200000</v>
      </c>
      <c r="W37" s="208">
        <v>157860.23074308518</v>
      </c>
      <c r="X37" s="208">
        <v>147760.55751652067</v>
      </c>
      <c r="Y37" s="206">
        <v>3694013.9379130164</v>
      </c>
      <c r="Z37" s="110" t="s">
        <v>661</v>
      </c>
      <c r="AA37" s="393" t="s">
        <v>638</v>
      </c>
      <c r="AB37" t="s">
        <v>286</v>
      </c>
      <c r="AC37">
        <v>428450</v>
      </c>
      <c r="AD37">
        <v>2454450</v>
      </c>
      <c r="AE37" s="767">
        <v>17.4560492167288</v>
      </c>
    </row>
    <row r="38" spans="1:31" x14ac:dyDescent="0.3">
      <c r="A38" s="145">
        <v>45295</v>
      </c>
      <c r="B38" s="189">
        <v>289</v>
      </c>
      <c r="C38" s="56" t="s">
        <v>548</v>
      </c>
      <c r="D38" s="10" t="s">
        <v>552</v>
      </c>
      <c r="E38" s="2" t="s">
        <v>588</v>
      </c>
      <c r="F38" s="2" t="s">
        <v>584</v>
      </c>
      <c r="G38" s="2" t="s">
        <v>555</v>
      </c>
      <c r="H38" s="14" t="s">
        <v>287</v>
      </c>
      <c r="I38" s="2" t="s">
        <v>527</v>
      </c>
      <c r="J38" s="15" t="s">
        <v>550</v>
      </c>
      <c r="K38" s="2" t="s">
        <v>532</v>
      </c>
      <c r="L38" s="42" t="s">
        <v>608</v>
      </c>
      <c r="M38" s="42" t="s">
        <v>531</v>
      </c>
      <c r="N38" s="2" t="s">
        <v>532</v>
      </c>
      <c r="O38" s="2" t="s">
        <v>570</v>
      </c>
      <c r="P38" s="2" t="s">
        <v>573</v>
      </c>
      <c r="Q38" s="67" t="s">
        <v>0</v>
      </c>
      <c r="R38" s="110" t="s">
        <v>519</v>
      </c>
      <c r="S38" s="166">
        <v>100</v>
      </c>
      <c r="T38" s="166">
        <v>25</v>
      </c>
      <c r="U38" s="67" t="s">
        <v>576</v>
      </c>
      <c r="V38" s="360">
        <v>200000</v>
      </c>
      <c r="W38" s="208">
        <v>46059.131953211414</v>
      </c>
      <c r="X38" s="208">
        <v>43112.334145828703</v>
      </c>
      <c r="Y38" s="206">
        <v>1077808.3536457175</v>
      </c>
      <c r="Z38" s="110" t="s">
        <v>644</v>
      </c>
      <c r="AA38" s="393" t="s">
        <v>635</v>
      </c>
      <c r="AB38" t="s">
        <v>287</v>
      </c>
      <c r="AC38">
        <v>84530</v>
      </c>
      <c r="AD38">
        <v>2454450</v>
      </c>
      <c r="AE38" s="767">
        <v>3.443948746154943</v>
      </c>
    </row>
    <row r="39" spans="1:31" x14ac:dyDescent="0.3">
      <c r="A39" s="145">
        <v>45295</v>
      </c>
      <c r="B39" s="189">
        <v>290</v>
      </c>
      <c r="C39" s="56" t="s">
        <v>548</v>
      </c>
      <c r="D39" s="10" t="s">
        <v>552</v>
      </c>
      <c r="E39" s="2" t="s">
        <v>588</v>
      </c>
      <c r="F39" s="2" t="s">
        <v>584</v>
      </c>
      <c r="G39" s="2" t="s">
        <v>555</v>
      </c>
      <c r="H39" s="14" t="s">
        <v>288</v>
      </c>
      <c r="I39" s="2" t="s">
        <v>527</v>
      </c>
      <c r="J39" s="15" t="s">
        <v>550</v>
      </c>
      <c r="K39" s="2" t="s">
        <v>532</v>
      </c>
      <c r="L39" s="42" t="s">
        <v>608</v>
      </c>
      <c r="M39" s="42" t="s">
        <v>531</v>
      </c>
      <c r="N39" s="2" t="s">
        <v>532</v>
      </c>
      <c r="O39" s="2" t="s">
        <v>570</v>
      </c>
      <c r="P39" s="2" t="s">
        <v>574</v>
      </c>
      <c r="Q39" s="67" t="s">
        <v>0</v>
      </c>
      <c r="R39" s="110" t="s">
        <v>519</v>
      </c>
      <c r="S39" s="166">
        <v>100</v>
      </c>
      <c r="T39" s="166">
        <v>25</v>
      </c>
      <c r="U39" s="67" t="s">
        <v>576</v>
      </c>
      <c r="V39" s="360">
        <v>200000</v>
      </c>
      <c r="W39" s="208">
        <v>77496.34344387654</v>
      </c>
      <c r="X39" s="208">
        <v>72538.237520982133</v>
      </c>
      <c r="Y39" s="206">
        <v>1813455.938024553</v>
      </c>
      <c r="Z39" s="110" t="s">
        <v>644</v>
      </c>
      <c r="AA39" s="393" t="s">
        <v>635</v>
      </c>
      <c r="AB39" t="s">
        <v>288</v>
      </c>
      <c r="AC39">
        <v>171510</v>
      </c>
      <c r="AD39">
        <v>2454450</v>
      </c>
      <c r="AE39" s="767">
        <v>6.9877161889629047</v>
      </c>
    </row>
    <row r="40" spans="1:31" x14ac:dyDescent="0.3">
      <c r="A40" s="145">
        <v>45295</v>
      </c>
      <c r="B40" s="189">
        <v>291</v>
      </c>
      <c r="C40" s="56" t="s">
        <v>548</v>
      </c>
      <c r="D40" s="10" t="s">
        <v>552</v>
      </c>
      <c r="E40" s="2" t="s">
        <v>588</v>
      </c>
      <c r="F40" s="2" t="s">
        <v>584</v>
      </c>
      <c r="G40" s="2" t="s">
        <v>555</v>
      </c>
      <c r="H40" s="14" t="s">
        <v>289</v>
      </c>
      <c r="I40" s="2" t="s">
        <v>527</v>
      </c>
      <c r="J40" s="15" t="s">
        <v>550</v>
      </c>
      <c r="K40" s="2" t="s">
        <v>532</v>
      </c>
      <c r="L40" s="42" t="s">
        <v>608</v>
      </c>
      <c r="M40" s="42" t="s">
        <v>531</v>
      </c>
      <c r="N40" s="2" t="s">
        <v>532</v>
      </c>
      <c r="O40" s="2" t="s">
        <v>570</v>
      </c>
      <c r="P40" s="2" t="s">
        <v>503</v>
      </c>
      <c r="Q40" s="67" t="s">
        <v>0</v>
      </c>
      <c r="R40" s="110" t="s">
        <v>519</v>
      </c>
      <c r="S40" s="166">
        <v>100</v>
      </c>
      <c r="T40" s="166">
        <v>25</v>
      </c>
      <c r="U40" s="67" t="s">
        <v>576</v>
      </c>
      <c r="V40" s="360">
        <v>200000</v>
      </c>
      <c r="W40" s="208">
        <v>15208.709178202571</v>
      </c>
      <c r="X40" s="208">
        <v>14235.677578193796</v>
      </c>
      <c r="Y40" s="206">
        <v>355891.93945484486</v>
      </c>
      <c r="Z40" s="110" t="s">
        <v>644</v>
      </c>
      <c r="AA40" s="393" t="s">
        <v>635</v>
      </c>
      <c r="AB40" t="s">
        <v>289</v>
      </c>
      <c r="AC40">
        <v>64379.999999999993</v>
      </c>
      <c r="AD40">
        <v>2454450</v>
      </c>
      <c r="AE40" s="767">
        <v>2.6229908940903255</v>
      </c>
    </row>
    <row r="41" spans="1:31" x14ac:dyDescent="0.3">
      <c r="A41" s="145">
        <v>45295</v>
      </c>
      <c r="B41" s="189">
        <v>292</v>
      </c>
      <c r="C41" s="56" t="s">
        <v>548</v>
      </c>
      <c r="D41" s="10" t="s">
        <v>552</v>
      </c>
      <c r="E41" s="2" t="s">
        <v>588</v>
      </c>
      <c r="F41" s="2" t="s">
        <v>584</v>
      </c>
      <c r="G41" s="2" t="s">
        <v>555</v>
      </c>
      <c r="H41" s="14" t="s">
        <v>290</v>
      </c>
      <c r="I41" s="2" t="s">
        <v>527</v>
      </c>
      <c r="J41" s="15" t="s">
        <v>550</v>
      </c>
      <c r="K41" s="2" t="s">
        <v>532</v>
      </c>
      <c r="L41" s="42" t="s">
        <v>608</v>
      </c>
      <c r="M41" s="42" t="s">
        <v>531</v>
      </c>
      <c r="N41" s="2" t="s">
        <v>532</v>
      </c>
      <c r="O41" s="2" t="s">
        <v>570</v>
      </c>
      <c r="P41" s="2" t="s">
        <v>575</v>
      </c>
      <c r="Q41" s="67" t="s">
        <v>0</v>
      </c>
      <c r="R41" s="110" t="s">
        <v>519</v>
      </c>
      <c r="S41" s="166">
        <v>100</v>
      </c>
      <c r="T41" s="166">
        <v>25</v>
      </c>
      <c r="U41" s="67" t="s">
        <v>576</v>
      </c>
      <c r="V41" s="360">
        <v>200000</v>
      </c>
      <c r="W41" s="208">
        <v>42250.941888624555</v>
      </c>
      <c r="X41" s="208">
        <v>39547.786669726171</v>
      </c>
      <c r="Y41" s="206">
        <v>988694.66674315429</v>
      </c>
      <c r="Z41" s="110" t="s">
        <v>644</v>
      </c>
      <c r="AA41" s="393" t="s">
        <v>635</v>
      </c>
      <c r="AB41" t="s">
        <v>290</v>
      </c>
      <c r="AC41">
        <v>289900</v>
      </c>
      <c r="AD41">
        <v>2454450</v>
      </c>
      <c r="AE41" s="767">
        <v>11.81120006518772</v>
      </c>
    </row>
    <row r="42" spans="1:31" x14ac:dyDescent="0.3">
      <c r="A42" s="145">
        <v>45295</v>
      </c>
      <c r="B42" s="189">
        <v>293</v>
      </c>
      <c r="C42" s="56" t="s">
        <v>548</v>
      </c>
      <c r="D42" s="10" t="s">
        <v>552</v>
      </c>
      <c r="E42" s="2" t="s">
        <v>588</v>
      </c>
      <c r="F42" s="2" t="s">
        <v>584</v>
      </c>
      <c r="G42" s="2" t="s">
        <v>555</v>
      </c>
      <c r="H42" s="14" t="s">
        <v>291</v>
      </c>
      <c r="I42" s="2" t="s">
        <v>527</v>
      </c>
      <c r="J42" s="12" t="s">
        <v>551</v>
      </c>
      <c r="K42" s="2" t="s">
        <v>532</v>
      </c>
      <c r="L42" s="42" t="s">
        <v>608</v>
      </c>
      <c r="M42" s="42" t="s">
        <v>531</v>
      </c>
      <c r="N42" s="2" t="s">
        <v>532</v>
      </c>
      <c r="O42" s="2" t="s">
        <v>570</v>
      </c>
      <c r="P42" s="2" t="s">
        <v>573</v>
      </c>
      <c r="Q42" s="67" t="s">
        <v>0</v>
      </c>
      <c r="R42" s="110" t="s">
        <v>519</v>
      </c>
      <c r="S42" s="166">
        <v>100</v>
      </c>
      <c r="T42" s="166">
        <v>25</v>
      </c>
      <c r="U42" s="67" t="s">
        <v>576</v>
      </c>
      <c r="V42" s="360">
        <v>200000</v>
      </c>
      <c r="W42" s="208">
        <v>53409.646107232984</v>
      </c>
      <c r="X42" s="208">
        <v>49992.572850147706</v>
      </c>
      <c r="Y42" s="206">
        <v>1249814.3212536927</v>
      </c>
      <c r="Z42" s="110" t="s">
        <v>644</v>
      </c>
      <c r="AA42" s="393" t="s">
        <v>636</v>
      </c>
      <c r="AB42" t="s">
        <v>291</v>
      </c>
      <c r="AC42">
        <v>324330</v>
      </c>
      <c r="AD42">
        <v>2454450</v>
      </c>
      <c r="AE42" s="767">
        <v>13.213958320601357</v>
      </c>
    </row>
    <row r="43" spans="1:31" x14ac:dyDescent="0.3">
      <c r="A43" s="145">
        <v>45295</v>
      </c>
      <c r="B43" s="189">
        <v>294</v>
      </c>
      <c r="C43" s="56" t="s">
        <v>548</v>
      </c>
      <c r="D43" s="10" t="s">
        <v>552</v>
      </c>
      <c r="E43" s="2" t="s">
        <v>588</v>
      </c>
      <c r="F43" s="2" t="s">
        <v>584</v>
      </c>
      <c r="G43" s="2" t="s">
        <v>555</v>
      </c>
      <c r="H43" s="14" t="s">
        <v>292</v>
      </c>
      <c r="I43" s="2" t="s">
        <v>527</v>
      </c>
      <c r="J43" s="12" t="s">
        <v>551</v>
      </c>
      <c r="K43" s="2" t="s">
        <v>532</v>
      </c>
      <c r="L43" s="42" t="s">
        <v>608</v>
      </c>
      <c r="M43" s="42" t="s">
        <v>531</v>
      </c>
      <c r="N43" s="2" t="s">
        <v>532</v>
      </c>
      <c r="O43" s="2" t="s">
        <v>570</v>
      </c>
      <c r="P43" s="2" t="s">
        <v>574</v>
      </c>
      <c r="Q43" s="67" t="s">
        <v>0</v>
      </c>
      <c r="R43" s="110" t="s">
        <v>519</v>
      </c>
      <c r="S43" s="166">
        <v>100</v>
      </c>
      <c r="T43" s="166">
        <v>25</v>
      </c>
      <c r="U43" s="67" t="s">
        <v>576</v>
      </c>
      <c r="V43" s="360">
        <v>200000</v>
      </c>
      <c r="W43" s="208">
        <v>82242.212154622626</v>
      </c>
      <c r="X43" s="208">
        <v>76980.472296004911</v>
      </c>
      <c r="Y43" s="206">
        <v>1924511.8074001225</v>
      </c>
      <c r="Z43" s="110" t="s">
        <v>644</v>
      </c>
      <c r="AA43" s="393" t="s">
        <v>636</v>
      </c>
      <c r="AB43" t="s">
        <v>292</v>
      </c>
      <c r="AC43">
        <v>760610</v>
      </c>
      <c r="AD43">
        <v>2454450</v>
      </c>
      <c r="AE43" s="767">
        <v>30.989019943368167</v>
      </c>
    </row>
    <row r="44" spans="1:31" x14ac:dyDescent="0.3">
      <c r="A44" s="145">
        <v>45295</v>
      </c>
      <c r="B44" s="189">
        <v>295</v>
      </c>
      <c r="C44" s="56" t="s">
        <v>548</v>
      </c>
      <c r="D44" s="10" t="s">
        <v>552</v>
      </c>
      <c r="E44" s="2" t="s">
        <v>588</v>
      </c>
      <c r="F44" s="2" t="s">
        <v>584</v>
      </c>
      <c r="G44" s="2" t="s">
        <v>555</v>
      </c>
      <c r="H44" s="14" t="s">
        <v>293</v>
      </c>
      <c r="I44" s="2" t="s">
        <v>527</v>
      </c>
      <c r="J44" s="12" t="s">
        <v>551</v>
      </c>
      <c r="K44" s="2" t="s">
        <v>532</v>
      </c>
      <c r="L44" s="42" t="s">
        <v>608</v>
      </c>
      <c r="M44" s="42" t="s">
        <v>531</v>
      </c>
      <c r="N44" s="2" t="s">
        <v>532</v>
      </c>
      <c r="O44" s="2" t="s">
        <v>570</v>
      </c>
      <c r="P44" s="2" t="s">
        <v>503</v>
      </c>
      <c r="Q44" s="67" t="s">
        <v>0</v>
      </c>
      <c r="R44" s="110" t="s">
        <v>519</v>
      </c>
      <c r="S44" s="166">
        <v>100</v>
      </c>
      <c r="T44" s="166">
        <v>25</v>
      </c>
      <c r="U44" s="67" t="s">
        <v>576</v>
      </c>
      <c r="V44" s="360">
        <v>200000</v>
      </c>
      <c r="W44" s="208">
        <v>13082.318468135274</v>
      </c>
      <c r="X44" s="208">
        <v>12245.330323926544</v>
      </c>
      <c r="Y44" s="206">
        <v>306133.2580981637</v>
      </c>
      <c r="Z44" s="110" t="s">
        <v>644</v>
      </c>
      <c r="AA44" s="393" t="s">
        <v>636</v>
      </c>
      <c r="AB44" t="s">
        <v>293</v>
      </c>
      <c r="AC44">
        <v>67450</v>
      </c>
      <c r="AD44">
        <v>2454450</v>
      </c>
      <c r="AE44" s="767">
        <v>2.7480698323453323</v>
      </c>
    </row>
    <row r="45" spans="1:31" x14ac:dyDescent="0.3">
      <c r="A45" s="145">
        <v>45295</v>
      </c>
      <c r="B45" s="189">
        <v>296</v>
      </c>
      <c r="C45" s="56" t="s">
        <v>548</v>
      </c>
      <c r="D45" s="10" t="s">
        <v>552</v>
      </c>
      <c r="E45" s="2" t="s">
        <v>588</v>
      </c>
      <c r="F45" s="2" t="s">
        <v>584</v>
      </c>
      <c r="G45" s="2" t="s">
        <v>555</v>
      </c>
      <c r="H45" s="14" t="s">
        <v>294</v>
      </c>
      <c r="I45" s="2" t="s">
        <v>527</v>
      </c>
      <c r="J45" s="12" t="s">
        <v>551</v>
      </c>
      <c r="K45" s="2" t="s">
        <v>532</v>
      </c>
      <c r="L45" s="42" t="s">
        <v>608</v>
      </c>
      <c r="M45" s="42" t="s">
        <v>531</v>
      </c>
      <c r="N45" s="2" t="s">
        <v>532</v>
      </c>
      <c r="O45" s="2" t="s">
        <v>570</v>
      </c>
      <c r="P45" s="2" t="s">
        <v>575</v>
      </c>
      <c r="Q45" s="67" t="s">
        <v>0</v>
      </c>
      <c r="R45" s="110" t="s">
        <v>519</v>
      </c>
      <c r="S45" s="166">
        <v>100</v>
      </c>
      <c r="T45" s="166">
        <v>25</v>
      </c>
      <c r="U45" s="67" t="s">
        <v>576</v>
      </c>
      <c r="V45" s="360">
        <v>200000</v>
      </c>
      <c r="W45" s="208">
        <v>33457.135271256229</v>
      </c>
      <c r="X45" s="208">
        <v>31316.5953027914</v>
      </c>
      <c r="Y45" s="206">
        <v>782914.882569785</v>
      </c>
      <c r="Z45" s="110" t="s">
        <v>644</v>
      </c>
      <c r="AA45" s="393" t="s">
        <v>636</v>
      </c>
      <c r="AB45" t="s">
        <v>294</v>
      </c>
      <c r="AC45">
        <v>101980</v>
      </c>
      <c r="AD45">
        <v>2454450</v>
      </c>
      <c r="AE45" s="767">
        <v>4.1549023202754176</v>
      </c>
    </row>
    <row r="46" spans="1:31" x14ac:dyDescent="0.3">
      <c r="A46" s="151">
        <v>45324</v>
      </c>
      <c r="B46" s="189">
        <v>402</v>
      </c>
      <c r="C46" s="34" t="s">
        <v>547</v>
      </c>
      <c r="D46" s="10" t="s">
        <v>552</v>
      </c>
      <c r="E46" s="2" t="s">
        <v>588</v>
      </c>
      <c r="F46" s="2" t="s">
        <v>584</v>
      </c>
      <c r="G46" s="2" t="s">
        <v>560</v>
      </c>
      <c r="H46" s="14" t="s">
        <v>399</v>
      </c>
      <c r="I46" s="2" t="s">
        <v>524</v>
      </c>
      <c r="J46" s="45" t="s">
        <v>550</v>
      </c>
      <c r="K46" s="2" t="s">
        <v>532</v>
      </c>
      <c r="L46" s="67" t="s">
        <v>608</v>
      </c>
      <c r="M46" s="110" t="s">
        <v>531</v>
      </c>
      <c r="N46" s="75" t="s">
        <v>532</v>
      </c>
      <c r="O46" s="75" t="s">
        <v>570</v>
      </c>
      <c r="P46" s="75" t="s">
        <v>573</v>
      </c>
      <c r="Q46" s="89" t="s">
        <v>0</v>
      </c>
      <c r="R46" s="110" t="s">
        <v>519</v>
      </c>
      <c r="S46" s="172">
        <v>100</v>
      </c>
      <c r="T46" s="349" t="s">
        <v>0</v>
      </c>
      <c r="U46" s="67" t="s">
        <v>576</v>
      </c>
      <c r="V46" s="360">
        <v>200000</v>
      </c>
      <c r="W46" s="208">
        <v>67015.859229634632</v>
      </c>
      <c r="X46" s="208">
        <v>62728.279792871348</v>
      </c>
      <c r="Y46" s="206">
        <v>1568206.9948217839</v>
      </c>
      <c r="Z46" s="110" t="s">
        <v>645</v>
      </c>
      <c r="AA46" s="393" t="s">
        <v>632</v>
      </c>
      <c r="AB46" t="s">
        <v>399</v>
      </c>
      <c r="AC46">
        <v>209460</v>
      </c>
      <c r="AD46">
        <v>939210</v>
      </c>
      <c r="AE46" s="767">
        <v>22.301721659692721</v>
      </c>
    </row>
    <row r="47" spans="1:31" x14ac:dyDescent="0.3">
      <c r="A47" s="151">
        <v>45324</v>
      </c>
      <c r="B47" s="189">
        <v>403</v>
      </c>
      <c r="C47" s="34" t="s">
        <v>547</v>
      </c>
      <c r="D47" s="10" t="s">
        <v>552</v>
      </c>
      <c r="E47" s="2" t="s">
        <v>588</v>
      </c>
      <c r="F47" s="2" t="s">
        <v>584</v>
      </c>
      <c r="G47" s="2" t="s">
        <v>560</v>
      </c>
      <c r="H47" s="14" t="s">
        <v>400</v>
      </c>
      <c r="I47" s="341" t="s">
        <v>524</v>
      </c>
      <c r="J47" s="15" t="s">
        <v>550</v>
      </c>
      <c r="K47" s="2" t="s">
        <v>532</v>
      </c>
      <c r="L47" s="2" t="s">
        <v>608</v>
      </c>
      <c r="M47" s="110" t="s">
        <v>531</v>
      </c>
      <c r="N47" s="2" t="s">
        <v>532</v>
      </c>
      <c r="O47" s="2" t="s">
        <v>570</v>
      </c>
      <c r="P47" s="2" t="s">
        <v>574</v>
      </c>
      <c r="Q47" s="89" t="s">
        <v>0</v>
      </c>
      <c r="R47" s="110" t="s">
        <v>519</v>
      </c>
      <c r="S47" s="166">
        <v>100</v>
      </c>
      <c r="T47" s="167" t="s">
        <v>0</v>
      </c>
      <c r="U47" s="67" t="s">
        <v>576</v>
      </c>
      <c r="V47" s="360">
        <v>200000</v>
      </c>
      <c r="W47" s="208">
        <v>60253.951236554843</v>
      </c>
      <c r="X47" s="208">
        <v>56398.989063789784</v>
      </c>
      <c r="Y47" s="206">
        <v>1409974.7265947445</v>
      </c>
      <c r="Z47" s="110" t="s">
        <v>645</v>
      </c>
      <c r="AA47" s="393" t="s">
        <v>632</v>
      </c>
      <c r="AB47" t="s">
        <v>400</v>
      </c>
      <c r="AC47">
        <v>166490</v>
      </c>
      <c r="AD47">
        <v>939210</v>
      </c>
      <c r="AE47" s="767">
        <v>17.726600014906143</v>
      </c>
    </row>
    <row r="48" spans="1:31" x14ac:dyDescent="0.3">
      <c r="A48" s="151">
        <v>45324</v>
      </c>
      <c r="B48" s="188">
        <v>404</v>
      </c>
      <c r="C48" s="34" t="s">
        <v>547</v>
      </c>
      <c r="D48" s="10" t="s">
        <v>552</v>
      </c>
      <c r="E48" s="2" t="s">
        <v>588</v>
      </c>
      <c r="F48" s="2" t="s">
        <v>584</v>
      </c>
      <c r="G48" s="2" t="s">
        <v>560</v>
      </c>
      <c r="H48" s="14" t="s">
        <v>401</v>
      </c>
      <c r="I48" s="2" t="s">
        <v>524</v>
      </c>
      <c r="J48" s="15" t="s">
        <v>550</v>
      </c>
      <c r="K48" s="2" t="s">
        <v>532</v>
      </c>
      <c r="L48" s="2" t="s">
        <v>608</v>
      </c>
      <c r="M48" s="110" t="s">
        <v>531</v>
      </c>
      <c r="N48" s="2" t="s">
        <v>532</v>
      </c>
      <c r="O48" s="2" t="s">
        <v>570</v>
      </c>
      <c r="P48" s="2" t="s">
        <v>503</v>
      </c>
      <c r="Q48" s="89" t="s">
        <v>0</v>
      </c>
      <c r="R48" s="110" t="s">
        <v>519</v>
      </c>
      <c r="S48" s="166">
        <v>100</v>
      </c>
      <c r="T48" s="167" t="s">
        <v>0</v>
      </c>
      <c r="U48" s="67" t="s">
        <v>576</v>
      </c>
      <c r="V48" s="360">
        <v>200000</v>
      </c>
      <c r="W48" s="208">
        <v>54353.674759104135</v>
      </c>
      <c r="X48" s="208">
        <v>50876.203890438461</v>
      </c>
      <c r="Y48" s="206">
        <v>1271905.0972609615</v>
      </c>
      <c r="Z48" s="110" t="s">
        <v>645</v>
      </c>
      <c r="AA48" s="393" t="s">
        <v>632</v>
      </c>
      <c r="AB48" t="s">
        <v>401</v>
      </c>
      <c r="AC48">
        <v>154140</v>
      </c>
      <c r="AD48">
        <v>939210</v>
      </c>
      <c r="AE48" s="767">
        <v>16.411665122815982</v>
      </c>
    </row>
    <row r="49" spans="1:31" x14ac:dyDescent="0.3">
      <c r="A49" s="151">
        <v>45324</v>
      </c>
      <c r="B49" s="189">
        <v>405</v>
      </c>
      <c r="C49" s="34" t="s">
        <v>547</v>
      </c>
      <c r="D49" s="10" t="s">
        <v>552</v>
      </c>
      <c r="E49" s="2" t="s">
        <v>588</v>
      </c>
      <c r="F49" s="2" t="s">
        <v>584</v>
      </c>
      <c r="G49" s="2" t="s">
        <v>560</v>
      </c>
      <c r="H49" s="14" t="s">
        <v>402</v>
      </c>
      <c r="I49" s="2" t="s">
        <v>524</v>
      </c>
      <c r="J49" s="15" t="s">
        <v>550</v>
      </c>
      <c r="K49" s="2" t="s">
        <v>532</v>
      </c>
      <c r="L49" s="2" t="s">
        <v>608</v>
      </c>
      <c r="M49" s="110" t="s">
        <v>531</v>
      </c>
      <c r="N49" s="2" t="s">
        <v>532</v>
      </c>
      <c r="O49" s="2" t="s">
        <v>570</v>
      </c>
      <c r="P49" s="2" t="s">
        <v>575</v>
      </c>
      <c r="Q49" s="89" t="s">
        <v>0</v>
      </c>
      <c r="R49" s="110" t="s">
        <v>519</v>
      </c>
      <c r="S49" s="166">
        <v>100</v>
      </c>
      <c r="T49" s="167" t="s">
        <v>0</v>
      </c>
      <c r="U49" s="67" t="s">
        <v>576</v>
      </c>
      <c r="V49" s="360">
        <v>200000</v>
      </c>
      <c r="W49" s="208">
        <v>22371.192209996167</v>
      </c>
      <c r="X49" s="208">
        <v>20939.915124272506</v>
      </c>
      <c r="Y49" s="206">
        <v>523497.87810681277</v>
      </c>
      <c r="Z49" s="110" t="s">
        <v>645</v>
      </c>
      <c r="AA49" s="393" t="s">
        <v>632</v>
      </c>
      <c r="AB49" t="s">
        <v>402</v>
      </c>
      <c r="AC49">
        <v>87170</v>
      </c>
      <c r="AD49">
        <v>939210</v>
      </c>
      <c r="AE49" s="767">
        <v>9.2812044164776779</v>
      </c>
    </row>
    <row r="50" spans="1:31" x14ac:dyDescent="0.3">
      <c r="A50" s="151">
        <v>45324</v>
      </c>
      <c r="B50" s="189">
        <v>407</v>
      </c>
      <c r="C50" s="34" t="s">
        <v>547</v>
      </c>
      <c r="D50" s="10" t="s">
        <v>552</v>
      </c>
      <c r="E50" s="2" t="s">
        <v>588</v>
      </c>
      <c r="F50" s="2" t="s">
        <v>584</v>
      </c>
      <c r="G50" s="2" t="s">
        <v>560</v>
      </c>
      <c r="H50" s="14" t="s">
        <v>404</v>
      </c>
      <c r="I50" s="2" t="s">
        <v>524</v>
      </c>
      <c r="J50" s="12" t="s">
        <v>551</v>
      </c>
      <c r="K50" s="2" t="s">
        <v>532</v>
      </c>
      <c r="L50" s="2" t="s">
        <v>608</v>
      </c>
      <c r="M50" s="110" t="s">
        <v>531</v>
      </c>
      <c r="N50" s="2" t="s">
        <v>532</v>
      </c>
      <c r="O50" s="2" t="s">
        <v>570</v>
      </c>
      <c r="P50" s="2" t="s">
        <v>573</v>
      </c>
      <c r="Q50" s="89" t="s">
        <v>0</v>
      </c>
      <c r="R50" s="110" t="s">
        <v>519</v>
      </c>
      <c r="S50" s="166">
        <v>100</v>
      </c>
      <c r="T50" s="167" t="s">
        <v>0</v>
      </c>
      <c r="U50" s="67" t="s">
        <v>576</v>
      </c>
      <c r="V50" s="360">
        <v>200000</v>
      </c>
      <c r="W50" s="208">
        <v>34436.009426531498</v>
      </c>
      <c r="X50" s="208">
        <v>32232.842480697691</v>
      </c>
      <c r="Y50" s="206">
        <v>805821.06201744231</v>
      </c>
      <c r="Z50" s="110" t="s">
        <v>645</v>
      </c>
      <c r="AA50" s="393" t="s">
        <v>634</v>
      </c>
      <c r="AB50" t="s">
        <v>404</v>
      </c>
      <c r="AC50">
        <v>196390</v>
      </c>
      <c r="AD50">
        <v>939210</v>
      </c>
      <c r="AE50" s="767">
        <v>20.910126595756008</v>
      </c>
    </row>
    <row r="51" spans="1:31" x14ac:dyDescent="0.3">
      <c r="A51" s="151">
        <v>45324</v>
      </c>
      <c r="B51" s="189">
        <v>408</v>
      </c>
      <c r="C51" s="34" t="s">
        <v>547</v>
      </c>
      <c r="D51" s="10" t="s">
        <v>552</v>
      </c>
      <c r="E51" s="2" t="s">
        <v>588</v>
      </c>
      <c r="F51" s="2" t="s">
        <v>584</v>
      </c>
      <c r="G51" s="2" t="s">
        <v>560</v>
      </c>
      <c r="H51" s="14" t="s">
        <v>405</v>
      </c>
      <c r="I51" s="2" t="s">
        <v>524</v>
      </c>
      <c r="J51" s="12" t="s">
        <v>551</v>
      </c>
      <c r="K51" s="2" t="s">
        <v>532</v>
      </c>
      <c r="L51" s="2" t="s">
        <v>608</v>
      </c>
      <c r="M51" s="110" t="s">
        <v>531</v>
      </c>
      <c r="N51" s="2" t="s">
        <v>532</v>
      </c>
      <c r="O51" s="2" t="s">
        <v>570</v>
      </c>
      <c r="P51" s="2" t="s">
        <v>574</v>
      </c>
      <c r="Q51" s="89" t="s">
        <v>0</v>
      </c>
      <c r="R51" s="110" t="s">
        <v>519</v>
      </c>
      <c r="S51" s="166">
        <v>100</v>
      </c>
      <c r="T51" s="167" t="s">
        <v>0</v>
      </c>
      <c r="U51" s="67" t="s">
        <v>576</v>
      </c>
      <c r="V51" s="360">
        <v>200000</v>
      </c>
      <c r="W51" s="208">
        <v>98715.880542528525</v>
      </c>
      <c r="X51" s="208">
        <v>92400.178791308397</v>
      </c>
      <c r="Y51" s="206">
        <v>2310004.4697827101</v>
      </c>
      <c r="Z51" s="110" t="s">
        <v>645</v>
      </c>
      <c r="AA51" s="393" t="s">
        <v>634</v>
      </c>
      <c r="AB51" t="s">
        <v>405</v>
      </c>
      <c r="AC51">
        <v>447300</v>
      </c>
      <c r="AD51">
        <v>939210</v>
      </c>
      <c r="AE51" s="767">
        <v>47.625131759670367</v>
      </c>
    </row>
    <row r="52" spans="1:31" x14ac:dyDescent="0.3">
      <c r="A52" s="151">
        <v>45324</v>
      </c>
      <c r="B52" s="189">
        <v>409</v>
      </c>
      <c r="C52" s="34" t="s">
        <v>547</v>
      </c>
      <c r="D52" s="10" t="s">
        <v>552</v>
      </c>
      <c r="E52" s="2" t="s">
        <v>588</v>
      </c>
      <c r="F52" s="2" t="s">
        <v>584</v>
      </c>
      <c r="G52" s="2" t="s">
        <v>560</v>
      </c>
      <c r="H52" s="14" t="s">
        <v>406</v>
      </c>
      <c r="I52" s="2" t="s">
        <v>524</v>
      </c>
      <c r="J52" s="12" t="s">
        <v>551</v>
      </c>
      <c r="K52" s="2" t="s">
        <v>532</v>
      </c>
      <c r="L52" s="2" t="s">
        <v>608</v>
      </c>
      <c r="M52" s="110" t="s">
        <v>531</v>
      </c>
      <c r="N52" s="2" t="s">
        <v>532</v>
      </c>
      <c r="O52" s="2" t="s">
        <v>570</v>
      </c>
      <c r="P52" s="2" t="s">
        <v>503</v>
      </c>
      <c r="Q52" s="89" t="s">
        <v>0</v>
      </c>
      <c r="R52" s="110" t="s">
        <v>519</v>
      </c>
      <c r="S52" s="166">
        <v>100</v>
      </c>
      <c r="T52" s="167" t="s">
        <v>0</v>
      </c>
      <c r="U52" s="67" t="s">
        <v>576</v>
      </c>
      <c r="V52" s="360">
        <v>200000</v>
      </c>
      <c r="W52" s="208">
        <v>94306.411773759392</v>
      </c>
      <c r="X52" s="208">
        <v>88272.821568035419</v>
      </c>
      <c r="Y52" s="206">
        <v>2206820.5392008852</v>
      </c>
      <c r="Z52" s="110" t="s">
        <v>645</v>
      </c>
      <c r="AA52" s="393" t="s">
        <v>634</v>
      </c>
      <c r="AB52" t="s">
        <v>406</v>
      </c>
      <c r="AC52">
        <v>901429.99999999988</v>
      </c>
      <c r="AD52">
        <v>939210</v>
      </c>
      <c r="AE52" s="767">
        <v>95.977470427273971</v>
      </c>
    </row>
    <row r="53" spans="1:31" x14ac:dyDescent="0.3">
      <c r="A53" s="151">
        <v>45324</v>
      </c>
      <c r="B53" s="189">
        <v>410</v>
      </c>
      <c r="C53" s="34" t="s">
        <v>547</v>
      </c>
      <c r="D53" s="10" t="s">
        <v>552</v>
      </c>
      <c r="E53" s="2" t="s">
        <v>588</v>
      </c>
      <c r="F53" s="2" t="s">
        <v>584</v>
      </c>
      <c r="G53" s="2" t="s">
        <v>560</v>
      </c>
      <c r="H53" s="14" t="s">
        <v>407</v>
      </c>
      <c r="I53" s="2" t="s">
        <v>524</v>
      </c>
      <c r="J53" s="12" t="s">
        <v>551</v>
      </c>
      <c r="K53" s="2" t="s">
        <v>532</v>
      </c>
      <c r="L53" s="2" t="s">
        <v>608</v>
      </c>
      <c r="M53" s="110" t="s">
        <v>531</v>
      </c>
      <c r="N53" s="2" t="s">
        <v>532</v>
      </c>
      <c r="O53" s="2" t="s">
        <v>570</v>
      </c>
      <c r="P53" s="2" t="s">
        <v>575</v>
      </c>
      <c r="Q53" s="89" t="s">
        <v>0</v>
      </c>
      <c r="R53" s="110" t="s">
        <v>519</v>
      </c>
      <c r="S53" s="166">
        <v>100</v>
      </c>
      <c r="T53" s="167" t="s">
        <v>0</v>
      </c>
      <c r="U53" s="67" t="s">
        <v>576</v>
      </c>
      <c r="V53" s="360">
        <v>200000</v>
      </c>
      <c r="W53" s="208">
        <v>204662.69365289668</v>
      </c>
      <c r="X53" s="208">
        <v>191568.66536069944</v>
      </c>
      <c r="Y53" s="206">
        <v>4789216.6340174861</v>
      </c>
      <c r="Z53" s="110" t="s">
        <v>645</v>
      </c>
      <c r="AA53" s="393" t="s">
        <v>634</v>
      </c>
      <c r="AB53" t="s">
        <v>407</v>
      </c>
      <c r="AC53">
        <v>801080</v>
      </c>
      <c r="AD53">
        <v>939210</v>
      </c>
      <c r="AE53" s="767">
        <v>85.292958976160818</v>
      </c>
    </row>
    <row r="54" spans="1:31" x14ac:dyDescent="0.3">
      <c r="A54" s="151">
        <v>45324</v>
      </c>
      <c r="B54" s="189">
        <v>414</v>
      </c>
      <c r="C54" s="34" t="s">
        <v>547</v>
      </c>
      <c r="D54" s="35" t="s">
        <v>596</v>
      </c>
      <c r="E54" s="2" t="s">
        <v>589</v>
      </c>
      <c r="F54" s="2" t="s">
        <v>585</v>
      </c>
      <c r="G54" s="2" t="s">
        <v>560</v>
      </c>
      <c r="H54" s="14" t="s">
        <v>411</v>
      </c>
      <c r="I54" s="2" t="s">
        <v>524</v>
      </c>
      <c r="J54" s="15" t="s">
        <v>550</v>
      </c>
      <c r="K54" s="2" t="s">
        <v>532</v>
      </c>
      <c r="L54" s="2" t="s">
        <v>608</v>
      </c>
      <c r="M54" s="2" t="s">
        <v>531</v>
      </c>
      <c r="N54" s="2" t="s">
        <v>532</v>
      </c>
      <c r="O54" s="2" t="s">
        <v>570</v>
      </c>
      <c r="P54" s="2" t="s">
        <v>573</v>
      </c>
      <c r="Q54" s="89" t="s">
        <v>0</v>
      </c>
      <c r="R54" s="110" t="s">
        <v>519</v>
      </c>
      <c r="S54" s="166">
        <v>100</v>
      </c>
      <c r="T54" s="167" t="s">
        <v>0</v>
      </c>
      <c r="U54" s="67" t="s">
        <v>576</v>
      </c>
      <c r="V54" s="360">
        <v>200000</v>
      </c>
      <c r="W54" s="208">
        <v>75102.234789407899</v>
      </c>
      <c r="X54" s="208">
        <v>70297.300535940303</v>
      </c>
      <c r="Y54" s="206">
        <v>1757432.5133985078</v>
      </c>
      <c r="Z54" s="110" t="s">
        <v>645</v>
      </c>
      <c r="AA54" s="393" t="s">
        <v>632</v>
      </c>
      <c r="AB54" t="s">
        <v>411</v>
      </c>
      <c r="AC54">
        <v>779550</v>
      </c>
      <c r="AD54">
        <v>4250700</v>
      </c>
      <c r="AE54" s="767">
        <v>18.339332345260782</v>
      </c>
    </row>
    <row r="55" spans="1:31" x14ac:dyDescent="0.3">
      <c r="A55" s="151">
        <v>45324</v>
      </c>
      <c r="B55" s="189">
        <v>415</v>
      </c>
      <c r="C55" s="34" t="s">
        <v>547</v>
      </c>
      <c r="D55" s="35" t="s">
        <v>596</v>
      </c>
      <c r="E55" s="2" t="s">
        <v>589</v>
      </c>
      <c r="F55" s="2" t="s">
        <v>585</v>
      </c>
      <c r="G55" s="2" t="s">
        <v>560</v>
      </c>
      <c r="H55" s="14" t="s">
        <v>412</v>
      </c>
      <c r="I55" s="2" t="s">
        <v>524</v>
      </c>
      <c r="J55" s="15" t="s">
        <v>550</v>
      </c>
      <c r="K55" s="2" t="s">
        <v>532</v>
      </c>
      <c r="L55" s="2" t="s">
        <v>608</v>
      </c>
      <c r="M55" s="2" t="s">
        <v>531</v>
      </c>
      <c r="N55" s="2" t="s">
        <v>532</v>
      </c>
      <c r="O55" s="2" t="s">
        <v>570</v>
      </c>
      <c r="P55" s="2" t="s">
        <v>574</v>
      </c>
      <c r="Q55" s="89" t="s">
        <v>0</v>
      </c>
      <c r="R55" s="110" t="s">
        <v>519</v>
      </c>
      <c r="S55" s="166">
        <v>100</v>
      </c>
      <c r="T55" s="167" t="s">
        <v>0</v>
      </c>
      <c r="U55" s="67" t="s">
        <v>576</v>
      </c>
      <c r="V55" s="360">
        <v>200000</v>
      </c>
      <c r="W55" s="208">
        <v>63401.395045216734</v>
      </c>
      <c r="X55" s="208">
        <v>59345.063890429905</v>
      </c>
      <c r="Y55" s="206">
        <v>1483626.5972607476</v>
      </c>
      <c r="Z55" s="110" t="s">
        <v>645</v>
      </c>
      <c r="AA55" s="393" t="s">
        <v>632</v>
      </c>
      <c r="AB55" t="s">
        <v>412</v>
      </c>
      <c r="AC55">
        <v>195710</v>
      </c>
      <c r="AD55">
        <v>4250700</v>
      </c>
      <c r="AE55" s="767">
        <v>4.6041828404733334</v>
      </c>
    </row>
    <row r="56" spans="1:31" x14ac:dyDescent="0.3">
      <c r="A56" s="151">
        <v>45324</v>
      </c>
      <c r="B56" s="189">
        <v>416</v>
      </c>
      <c r="C56" s="34" t="s">
        <v>547</v>
      </c>
      <c r="D56" s="35" t="s">
        <v>596</v>
      </c>
      <c r="E56" s="2" t="s">
        <v>589</v>
      </c>
      <c r="F56" s="2" t="s">
        <v>585</v>
      </c>
      <c r="G56" s="2" t="s">
        <v>560</v>
      </c>
      <c r="H56" s="14" t="s">
        <v>413</v>
      </c>
      <c r="I56" s="2" t="s">
        <v>524</v>
      </c>
      <c r="J56" s="15" t="s">
        <v>550</v>
      </c>
      <c r="K56" s="2" t="s">
        <v>532</v>
      </c>
      <c r="L56" s="2" t="s">
        <v>608</v>
      </c>
      <c r="M56" s="2" t="s">
        <v>531</v>
      </c>
      <c r="N56" s="2" t="s">
        <v>532</v>
      </c>
      <c r="O56" s="2" t="s">
        <v>570</v>
      </c>
      <c r="P56" s="2" t="s">
        <v>503</v>
      </c>
      <c r="Q56" s="89" t="s">
        <v>0</v>
      </c>
      <c r="R56" s="110" t="s">
        <v>519</v>
      </c>
      <c r="S56" s="166">
        <v>100</v>
      </c>
      <c r="T56" s="167" t="s">
        <v>0</v>
      </c>
      <c r="U56" s="67" t="s">
        <v>576</v>
      </c>
      <c r="V56" s="360">
        <v>200000</v>
      </c>
      <c r="W56" s="208">
        <v>90393.682725096005</v>
      </c>
      <c r="X56" s="208">
        <v>84610.423363496404</v>
      </c>
      <c r="Y56" s="206">
        <v>2115260.58408741</v>
      </c>
      <c r="Z56" s="110" t="s">
        <v>645</v>
      </c>
      <c r="AA56" s="393" t="s">
        <v>632</v>
      </c>
      <c r="AB56" t="s">
        <v>413</v>
      </c>
      <c r="AC56">
        <v>930790</v>
      </c>
      <c r="AD56">
        <v>4250700</v>
      </c>
      <c r="AE56" s="767">
        <v>21.897334556661256</v>
      </c>
    </row>
    <row r="57" spans="1:31" x14ac:dyDescent="0.3">
      <c r="A57" s="151">
        <v>45324</v>
      </c>
      <c r="B57" s="188">
        <v>417</v>
      </c>
      <c r="C57" s="34" t="s">
        <v>547</v>
      </c>
      <c r="D57" s="35" t="s">
        <v>596</v>
      </c>
      <c r="E57" s="2" t="s">
        <v>589</v>
      </c>
      <c r="F57" s="2" t="s">
        <v>585</v>
      </c>
      <c r="G57" s="2" t="s">
        <v>560</v>
      </c>
      <c r="H57" s="14" t="s">
        <v>414</v>
      </c>
      <c r="I57" s="2" t="s">
        <v>524</v>
      </c>
      <c r="J57" s="15" t="s">
        <v>550</v>
      </c>
      <c r="K57" s="2" t="s">
        <v>532</v>
      </c>
      <c r="L57" s="2" t="s">
        <v>608</v>
      </c>
      <c r="M57" s="2" t="s">
        <v>531</v>
      </c>
      <c r="N57" s="2" t="s">
        <v>532</v>
      </c>
      <c r="O57" s="2" t="s">
        <v>570</v>
      </c>
      <c r="P57" s="2" t="s">
        <v>575</v>
      </c>
      <c r="Q57" s="89" t="s">
        <v>0</v>
      </c>
      <c r="R57" s="110" t="s">
        <v>519</v>
      </c>
      <c r="S57" s="166">
        <v>100</v>
      </c>
      <c r="T57" s="167" t="s">
        <v>0</v>
      </c>
      <c r="U57" s="67" t="s">
        <v>576</v>
      </c>
      <c r="V57" s="360">
        <v>200000</v>
      </c>
      <c r="W57" s="208">
        <v>72159.866508228748</v>
      </c>
      <c r="X57" s="208">
        <v>67543.18079596899</v>
      </c>
      <c r="Y57" s="206">
        <v>1688579.5198992249</v>
      </c>
      <c r="Z57" s="110" t="s">
        <v>645</v>
      </c>
      <c r="AA57" s="393" t="s">
        <v>632</v>
      </c>
      <c r="AB57" t="s">
        <v>414</v>
      </c>
      <c r="AC57">
        <v>648680</v>
      </c>
      <c r="AD57">
        <v>4250700</v>
      </c>
      <c r="AE57" s="767">
        <v>15.260545321946973</v>
      </c>
    </row>
    <row r="58" spans="1:31" x14ac:dyDescent="0.3">
      <c r="A58" s="151">
        <v>45324</v>
      </c>
      <c r="B58" s="189">
        <v>419</v>
      </c>
      <c r="C58" s="34" t="s">
        <v>547</v>
      </c>
      <c r="D58" s="35" t="s">
        <v>596</v>
      </c>
      <c r="E58" s="2" t="s">
        <v>589</v>
      </c>
      <c r="F58" s="2" t="s">
        <v>585</v>
      </c>
      <c r="G58" s="2" t="s">
        <v>560</v>
      </c>
      <c r="H58" s="14" t="s">
        <v>416</v>
      </c>
      <c r="I58" s="2" t="s">
        <v>524</v>
      </c>
      <c r="J58" s="12" t="s">
        <v>551</v>
      </c>
      <c r="K58" s="2" t="s">
        <v>532</v>
      </c>
      <c r="L58" s="2" t="s">
        <v>608</v>
      </c>
      <c r="M58" s="2" t="s">
        <v>531</v>
      </c>
      <c r="N58" s="2" t="s">
        <v>532</v>
      </c>
      <c r="O58" s="2" t="s">
        <v>570</v>
      </c>
      <c r="P58" s="2" t="s">
        <v>573</v>
      </c>
      <c r="Q58" s="89" t="s">
        <v>0</v>
      </c>
      <c r="R58" s="110" t="s">
        <v>519</v>
      </c>
      <c r="S58" s="166">
        <v>100</v>
      </c>
      <c r="T58" s="167" t="s">
        <v>0</v>
      </c>
      <c r="U58" s="67" t="s">
        <v>576</v>
      </c>
      <c r="V58" s="360">
        <v>200000</v>
      </c>
      <c r="W58" s="208">
        <v>236870.47043471484</v>
      </c>
      <c r="X58" s="208">
        <v>221715.83435473416</v>
      </c>
      <c r="Y58" s="206">
        <v>5542895.858868354</v>
      </c>
      <c r="Z58" s="110" t="s">
        <v>645</v>
      </c>
      <c r="AA58" s="393" t="s">
        <v>634</v>
      </c>
      <c r="AB58" t="s">
        <v>416</v>
      </c>
      <c r="AC58">
        <v>3468000</v>
      </c>
      <c r="AD58">
        <v>4250700</v>
      </c>
      <c r="AE58" s="767">
        <v>81.586562213282519</v>
      </c>
    </row>
    <row r="59" spans="1:31" x14ac:dyDescent="0.3">
      <c r="A59" s="151">
        <v>45324</v>
      </c>
      <c r="B59" s="189">
        <v>420</v>
      </c>
      <c r="C59" s="34" t="s">
        <v>547</v>
      </c>
      <c r="D59" s="35" t="s">
        <v>596</v>
      </c>
      <c r="E59" s="2" t="s">
        <v>589</v>
      </c>
      <c r="F59" s="2" t="s">
        <v>585</v>
      </c>
      <c r="G59" s="2" t="s">
        <v>560</v>
      </c>
      <c r="H59" s="14" t="s">
        <v>417</v>
      </c>
      <c r="I59" s="2" t="s">
        <v>524</v>
      </c>
      <c r="J59" s="12" t="s">
        <v>551</v>
      </c>
      <c r="K59" s="2" t="s">
        <v>532</v>
      </c>
      <c r="L59" s="2" t="s">
        <v>608</v>
      </c>
      <c r="M59" s="2" t="s">
        <v>531</v>
      </c>
      <c r="N59" s="2" t="s">
        <v>532</v>
      </c>
      <c r="O59" s="2" t="s">
        <v>570</v>
      </c>
      <c r="P59" s="2" t="s">
        <v>574</v>
      </c>
      <c r="Q59" s="89" t="s">
        <v>0</v>
      </c>
      <c r="R59" s="110" t="s">
        <v>519</v>
      </c>
      <c r="S59" s="166">
        <v>100</v>
      </c>
      <c r="T59" s="167" t="s">
        <v>0</v>
      </c>
      <c r="U59" s="67" t="s">
        <v>576</v>
      </c>
      <c r="V59" s="360">
        <v>200000</v>
      </c>
      <c r="W59" s="208">
        <v>191142.82323683467</v>
      </c>
      <c r="X59" s="208">
        <v>178913.77704066609</v>
      </c>
      <c r="Y59" s="206">
        <v>4472844.426016653</v>
      </c>
      <c r="Z59" s="110" t="s">
        <v>645</v>
      </c>
      <c r="AA59" s="393" t="s">
        <v>634</v>
      </c>
      <c r="AB59" t="s">
        <v>417</v>
      </c>
      <c r="AC59">
        <v>1115700</v>
      </c>
      <c r="AD59">
        <v>4250700</v>
      </c>
      <c r="AE59" s="767">
        <v>26.247441597854472</v>
      </c>
    </row>
    <row r="60" spans="1:31" x14ac:dyDescent="0.3">
      <c r="A60" s="151">
        <v>45324</v>
      </c>
      <c r="B60" s="189">
        <v>421</v>
      </c>
      <c r="C60" s="34" t="s">
        <v>547</v>
      </c>
      <c r="D60" s="35" t="s">
        <v>596</v>
      </c>
      <c r="E60" s="2" t="s">
        <v>589</v>
      </c>
      <c r="F60" s="2" t="s">
        <v>585</v>
      </c>
      <c r="G60" s="2" t="s">
        <v>560</v>
      </c>
      <c r="H60" s="14" t="s">
        <v>418</v>
      </c>
      <c r="I60" s="2" t="s">
        <v>524</v>
      </c>
      <c r="J60" s="12" t="s">
        <v>551</v>
      </c>
      <c r="K60" s="2" t="s">
        <v>532</v>
      </c>
      <c r="L60" s="2" t="s">
        <v>608</v>
      </c>
      <c r="M60" s="2" t="s">
        <v>531</v>
      </c>
      <c r="N60" s="2" t="s">
        <v>532</v>
      </c>
      <c r="O60" s="2" t="s">
        <v>570</v>
      </c>
      <c r="P60" s="2" t="s">
        <v>503</v>
      </c>
      <c r="Q60" s="89" t="s">
        <v>0</v>
      </c>
      <c r="R60" s="110" t="s">
        <v>519</v>
      </c>
      <c r="S60" s="166">
        <v>100</v>
      </c>
      <c r="T60" s="167" t="s">
        <v>0</v>
      </c>
      <c r="U60" s="67" t="s">
        <v>576</v>
      </c>
      <c r="V60" s="360">
        <v>200000</v>
      </c>
      <c r="W60" s="208">
        <v>308082.98435002379</v>
      </c>
      <c r="X60" s="208">
        <v>288372.27283038839</v>
      </c>
      <c r="Y60" s="206">
        <v>7209306.8207597099</v>
      </c>
      <c r="Z60" s="110" t="s">
        <v>645</v>
      </c>
      <c r="AA60" s="393" t="s">
        <v>634</v>
      </c>
      <c r="AB60" t="s">
        <v>418</v>
      </c>
      <c r="AC60">
        <v>3127200</v>
      </c>
      <c r="AD60">
        <v>4250700</v>
      </c>
      <c r="AE60" s="767">
        <v>73.569059213776555</v>
      </c>
    </row>
    <row r="61" spans="1:31" x14ac:dyDescent="0.3">
      <c r="A61" s="151">
        <v>45324</v>
      </c>
      <c r="B61" s="189">
        <v>422</v>
      </c>
      <c r="C61" s="34" t="s">
        <v>547</v>
      </c>
      <c r="D61" s="35" t="s">
        <v>596</v>
      </c>
      <c r="E61" s="2" t="s">
        <v>589</v>
      </c>
      <c r="F61" s="2" t="s">
        <v>585</v>
      </c>
      <c r="G61" s="2" t="s">
        <v>560</v>
      </c>
      <c r="H61" s="14" t="s">
        <v>419</v>
      </c>
      <c r="I61" s="2" t="s">
        <v>524</v>
      </c>
      <c r="J61" s="12" t="s">
        <v>551</v>
      </c>
      <c r="K61" s="2" t="s">
        <v>532</v>
      </c>
      <c r="L61" s="2" t="s">
        <v>608</v>
      </c>
      <c r="M61" s="2" t="s">
        <v>531</v>
      </c>
      <c r="N61" s="2" t="s">
        <v>532</v>
      </c>
      <c r="O61" s="2" t="s">
        <v>570</v>
      </c>
      <c r="P61" s="2" t="s">
        <v>575</v>
      </c>
      <c r="Q61" s="89" t="s">
        <v>0</v>
      </c>
      <c r="R61" s="110" t="s">
        <v>519</v>
      </c>
      <c r="S61" s="166">
        <v>100</v>
      </c>
      <c r="T61" s="167" t="s">
        <v>0</v>
      </c>
      <c r="U61" s="67" t="s">
        <v>576</v>
      </c>
      <c r="V61" s="360">
        <v>200000</v>
      </c>
      <c r="W61" s="208">
        <v>165853.11829489961</v>
      </c>
      <c r="X61" s="208">
        <v>155242.07148152351</v>
      </c>
      <c r="Y61" s="206">
        <v>3881051.7870380874</v>
      </c>
      <c r="Z61" s="110" t="s">
        <v>645</v>
      </c>
      <c r="AA61" s="393" t="s">
        <v>634</v>
      </c>
      <c r="AB61" t="s">
        <v>419</v>
      </c>
      <c r="AC61">
        <v>760730</v>
      </c>
      <c r="AD61">
        <v>4250700</v>
      </c>
      <c r="AE61" s="767">
        <v>17.896581739478204</v>
      </c>
    </row>
  </sheetData>
  <sortState xmlns:xlrd2="http://schemas.microsoft.com/office/spreadsheetml/2017/richdata2" ref="AG3:AG60">
    <sortCondition ref="AG2:AG60"/>
  </sortState>
  <conditionalFormatting sqref="AE2:AE6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0F17-8937-0A41-8534-173647A45C1A}">
  <sheetPr filterMode="1"/>
  <dimension ref="A1:W427"/>
  <sheetViews>
    <sheetView zoomScale="91" workbookViewId="0">
      <selection activeCell="Z68" sqref="Z68"/>
    </sheetView>
  </sheetViews>
  <sheetFormatPr defaultColWidth="10.796875" defaultRowHeight="15.6" x14ac:dyDescent="0.3"/>
  <cols>
    <col min="1" max="1" width="11.19921875" style="580" bestFit="1" customWidth="1"/>
    <col min="2" max="2" width="14.5" style="677" bestFit="1" customWidth="1"/>
    <col min="3" max="3" width="13" style="580" bestFit="1" customWidth="1"/>
    <col min="4" max="4" width="14.19921875" style="580" bestFit="1" customWidth="1"/>
    <col min="5" max="5" width="18.69921875" style="580" customWidth="1"/>
    <col min="6" max="6" width="19.19921875" style="580" customWidth="1"/>
    <col min="7" max="7" width="15.69921875" style="580" hidden="1" customWidth="1"/>
    <col min="8" max="8" width="32" style="580" bestFit="1" customWidth="1"/>
    <col min="9" max="9" width="12.796875" style="580" hidden="1" customWidth="1"/>
    <col min="10" max="10" width="12" style="580" hidden="1" customWidth="1"/>
    <col min="11" max="11" width="17.5" style="679" hidden="1" customWidth="1"/>
    <col min="12" max="12" width="19.69921875" style="679" hidden="1" customWidth="1"/>
    <col min="13" max="13" width="21.296875" style="680" customWidth="1"/>
    <col min="14" max="14" width="15.796875" style="680" customWidth="1"/>
    <col min="15" max="15" width="17.69921875" style="697" customWidth="1"/>
    <col min="16" max="16" width="21.296875" style="679" customWidth="1"/>
    <col min="17" max="17" width="14.296875" style="682" customWidth="1"/>
    <col min="18" max="18" width="10.796875" style="683"/>
    <col min="19" max="19" width="14.296875" style="683" customWidth="1"/>
    <col min="20" max="16384" width="10.796875" style="580"/>
  </cols>
  <sheetData>
    <row r="1" spans="1:23" ht="43.95" customHeight="1" thickBot="1" x14ac:dyDescent="0.35">
      <c r="A1" s="570" t="s">
        <v>3</v>
      </c>
      <c r="B1" s="571" t="s">
        <v>579</v>
      </c>
      <c r="C1" s="572" t="s">
        <v>489</v>
      </c>
      <c r="D1" s="573" t="s">
        <v>753</v>
      </c>
      <c r="E1" s="572" t="s">
        <v>580</v>
      </c>
      <c r="F1" s="572" t="s">
        <v>754</v>
      </c>
      <c r="G1" s="573" t="s">
        <v>515</v>
      </c>
      <c r="H1" s="572" t="s">
        <v>516</v>
      </c>
      <c r="I1" s="573" t="s">
        <v>594</v>
      </c>
      <c r="J1" s="573" t="s">
        <v>493</v>
      </c>
      <c r="K1" s="574" t="s">
        <v>755</v>
      </c>
      <c r="L1" s="575" t="s">
        <v>756</v>
      </c>
      <c r="M1" s="576" t="s">
        <v>591</v>
      </c>
      <c r="N1" s="576" t="s">
        <v>592</v>
      </c>
      <c r="O1" s="577" t="s">
        <v>604</v>
      </c>
      <c r="P1" s="574" t="s">
        <v>605</v>
      </c>
      <c r="Q1" s="578" t="s">
        <v>757</v>
      </c>
      <c r="R1" s="577" t="s">
        <v>758</v>
      </c>
      <c r="S1" s="579" t="s">
        <v>759</v>
      </c>
      <c r="T1" s="768" t="s">
        <v>837</v>
      </c>
      <c r="U1" s="769" t="s">
        <v>829</v>
      </c>
      <c r="V1" s="770" t="s">
        <v>841</v>
      </c>
      <c r="W1" s="769" t="s">
        <v>757</v>
      </c>
    </row>
    <row r="2" spans="1:23" x14ac:dyDescent="0.3">
      <c r="A2" s="584">
        <v>45222</v>
      </c>
      <c r="B2" s="585">
        <v>35</v>
      </c>
      <c r="C2" s="586" t="s">
        <v>552</v>
      </c>
      <c r="D2" s="587" t="s">
        <v>563</v>
      </c>
      <c r="E2" s="588" t="s">
        <v>38</v>
      </c>
      <c r="F2" s="597" t="s">
        <v>550</v>
      </c>
      <c r="G2" s="589" t="s">
        <v>532</v>
      </c>
      <c r="H2" s="590" t="s">
        <v>608</v>
      </c>
      <c r="I2" s="598" t="s">
        <v>531</v>
      </c>
      <c r="J2" s="587" t="s">
        <v>573</v>
      </c>
      <c r="K2" s="599">
        <v>2000000</v>
      </c>
      <c r="L2" s="595">
        <v>1130341.335706061</v>
      </c>
      <c r="M2" s="593">
        <v>50</v>
      </c>
      <c r="N2" s="594">
        <v>2</v>
      </c>
      <c r="O2" s="595">
        <v>1058023.7033842816</v>
      </c>
      <c r="P2" s="581">
        <v>26450592.584607042</v>
      </c>
      <c r="Q2" s="600">
        <f t="shared" ref="Q2:Q7" si="0">(P2/AVERAGE($P$8:$P$9)*100)</f>
        <v>12.862064660172829</v>
      </c>
      <c r="R2" s="600">
        <f>100-Q2</f>
        <v>87.137935339827166</v>
      </c>
      <c r="S2" s="596" t="s">
        <v>532</v>
      </c>
      <c r="T2" t="s">
        <v>846</v>
      </c>
      <c r="U2">
        <v>30924000</v>
      </c>
      <c r="V2">
        <v>113724000</v>
      </c>
      <c r="W2" s="767">
        <v>27.192149414371634</v>
      </c>
    </row>
    <row r="3" spans="1:23" x14ac:dyDescent="0.3">
      <c r="A3" s="584">
        <v>45222</v>
      </c>
      <c r="B3" s="585">
        <v>36</v>
      </c>
      <c r="C3" s="586" t="s">
        <v>552</v>
      </c>
      <c r="D3" s="587" t="s">
        <v>563</v>
      </c>
      <c r="E3" s="588" t="s">
        <v>39</v>
      </c>
      <c r="F3" s="597" t="s">
        <v>550</v>
      </c>
      <c r="G3" s="589" t="s">
        <v>532</v>
      </c>
      <c r="H3" s="590" t="s">
        <v>608</v>
      </c>
      <c r="I3" s="598" t="s">
        <v>531</v>
      </c>
      <c r="J3" s="587" t="s">
        <v>574</v>
      </c>
      <c r="K3" s="599">
        <v>2000000</v>
      </c>
      <c r="L3" s="595">
        <v>1432776.1368140893</v>
      </c>
      <c r="M3" s="593">
        <v>50</v>
      </c>
      <c r="N3" s="594">
        <v>2</v>
      </c>
      <c r="O3" s="595">
        <v>1341109.155709821</v>
      </c>
      <c r="P3" s="581">
        <v>33527728.892745528</v>
      </c>
      <c r="Q3" s="600">
        <f t="shared" si="0"/>
        <v>16.303446342377828</v>
      </c>
      <c r="R3" s="600">
        <f t="shared" ref="R3:R15" si="1">100-Q3</f>
        <v>83.696553657622175</v>
      </c>
      <c r="S3" s="596" t="s">
        <v>532</v>
      </c>
      <c r="T3" t="s">
        <v>847</v>
      </c>
      <c r="U3">
        <v>28386000</v>
      </c>
      <c r="V3">
        <v>113724000</v>
      </c>
      <c r="W3" s="767">
        <v>24.960430515986072</v>
      </c>
    </row>
    <row r="4" spans="1:23" x14ac:dyDescent="0.3">
      <c r="A4" s="584">
        <v>45222</v>
      </c>
      <c r="B4" s="585">
        <v>37</v>
      </c>
      <c r="C4" s="586" t="s">
        <v>552</v>
      </c>
      <c r="D4" s="587" t="s">
        <v>563</v>
      </c>
      <c r="E4" s="588" t="s">
        <v>40</v>
      </c>
      <c r="F4" s="597" t="s">
        <v>550</v>
      </c>
      <c r="G4" s="589" t="s">
        <v>532</v>
      </c>
      <c r="H4" s="590" t="s">
        <v>608</v>
      </c>
      <c r="I4" s="598" t="s">
        <v>531</v>
      </c>
      <c r="J4" s="587" t="s">
        <v>503</v>
      </c>
      <c r="K4" s="599">
        <v>2000000</v>
      </c>
      <c r="L4" s="595">
        <v>903467.89359360747</v>
      </c>
      <c r="M4" s="593">
        <v>50</v>
      </c>
      <c r="N4" s="594">
        <v>2</v>
      </c>
      <c r="O4" s="595">
        <v>845665.30168660358</v>
      </c>
      <c r="P4" s="581">
        <v>21141632.542165093</v>
      </c>
      <c r="Q4" s="600">
        <f t="shared" si="0"/>
        <v>10.280489705821889</v>
      </c>
      <c r="R4" s="600">
        <f t="shared" si="1"/>
        <v>89.719510294178107</v>
      </c>
      <c r="S4" s="596" t="s">
        <v>532</v>
      </c>
      <c r="T4" t="s">
        <v>848</v>
      </c>
      <c r="U4">
        <v>27321000</v>
      </c>
      <c r="V4">
        <v>113724000</v>
      </c>
      <c r="W4" s="767">
        <v>24.023952727656432</v>
      </c>
    </row>
    <row r="5" spans="1:23" x14ac:dyDescent="0.3">
      <c r="A5" s="584">
        <v>45222</v>
      </c>
      <c r="B5" s="585">
        <v>38</v>
      </c>
      <c r="C5" s="586" t="s">
        <v>552</v>
      </c>
      <c r="D5" s="587" t="s">
        <v>563</v>
      </c>
      <c r="E5" s="588" t="s">
        <v>41</v>
      </c>
      <c r="F5" s="601" t="s">
        <v>551</v>
      </c>
      <c r="G5" s="589" t="s">
        <v>532</v>
      </c>
      <c r="H5" s="590" t="s">
        <v>608</v>
      </c>
      <c r="I5" s="598" t="s">
        <v>531</v>
      </c>
      <c r="J5" s="587" t="s">
        <v>573</v>
      </c>
      <c r="K5" s="599">
        <v>2000000</v>
      </c>
      <c r="L5" s="595">
        <v>1949307.2322677667</v>
      </c>
      <c r="M5" s="593">
        <v>50</v>
      </c>
      <c r="N5" s="594">
        <v>2</v>
      </c>
      <c r="O5" s="595">
        <v>1824593.3257226523</v>
      </c>
      <c r="P5" s="581">
        <v>45614833.143066302</v>
      </c>
      <c r="Q5" s="600">
        <f t="shared" si="0"/>
        <v>22.181012825041385</v>
      </c>
      <c r="R5" s="600">
        <f>100-Q5</f>
        <v>77.818987174958608</v>
      </c>
      <c r="S5" s="596" t="s">
        <v>532</v>
      </c>
      <c r="T5" t="s">
        <v>853</v>
      </c>
      <c r="U5">
        <v>36567000</v>
      </c>
      <c r="V5">
        <v>113724000</v>
      </c>
      <c r="W5" s="767">
        <v>32.154162709718264</v>
      </c>
    </row>
    <row r="6" spans="1:23" x14ac:dyDescent="0.3">
      <c r="A6" s="584">
        <v>45222</v>
      </c>
      <c r="B6" s="585">
        <v>39</v>
      </c>
      <c r="C6" s="586" t="s">
        <v>552</v>
      </c>
      <c r="D6" s="587" t="s">
        <v>563</v>
      </c>
      <c r="E6" s="588" t="s">
        <v>42</v>
      </c>
      <c r="F6" s="601" t="s">
        <v>551</v>
      </c>
      <c r="G6" s="589" t="s">
        <v>532</v>
      </c>
      <c r="H6" s="590" t="s">
        <v>608</v>
      </c>
      <c r="I6" s="598" t="s">
        <v>531</v>
      </c>
      <c r="J6" s="587" t="s">
        <v>573</v>
      </c>
      <c r="K6" s="599">
        <v>2000000</v>
      </c>
      <c r="L6" s="595">
        <v>168407.3635257245</v>
      </c>
      <c r="M6" s="593">
        <v>50</v>
      </c>
      <c r="N6" s="594">
        <v>2</v>
      </c>
      <c r="O6" s="595">
        <v>157632.8997323376</v>
      </c>
      <c r="P6" s="581">
        <v>3940822.4933084394</v>
      </c>
      <c r="Q6" s="600">
        <f t="shared" si="0"/>
        <v>1.9162940702014402</v>
      </c>
      <c r="R6" s="600">
        <f t="shared" si="1"/>
        <v>98.083705929798555</v>
      </c>
      <c r="S6" s="596" t="s">
        <v>532</v>
      </c>
      <c r="T6" t="s">
        <v>854</v>
      </c>
      <c r="U6">
        <v>1944000</v>
      </c>
      <c r="V6">
        <v>113724000</v>
      </c>
      <c r="W6" s="767">
        <v>1.7094017094017095</v>
      </c>
    </row>
    <row r="7" spans="1:23" x14ac:dyDescent="0.3">
      <c r="A7" s="602">
        <v>45222</v>
      </c>
      <c r="B7" s="603">
        <v>40</v>
      </c>
      <c r="C7" s="604" t="s">
        <v>552</v>
      </c>
      <c r="D7" s="605" t="s">
        <v>563</v>
      </c>
      <c r="E7" s="606" t="s">
        <v>43</v>
      </c>
      <c r="F7" s="607" t="s">
        <v>551</v>
      </c>
      <c r="G7" s="608" t="s">
        <v>532</v>
      </c>
      <c r="H7" s="609" t="s">
        <v>608</v>
      </c>
      <c r="I7" s="610" t="s">
        <v>531</v>
      </c>
      <c r="J7" s="605" t="s">
        <v>503</v>
      </c>
      <c r="K7" s="611">
        <v>2000000</v>
      </c>
      <c r="L7" s="612">
        <v>197458.29926764796</v>
      </c>
      <c r="M7" s="613">
        <v>50</v>
      </c>
      <c r="N7" s="614">
        <v>2</v>
      </c>
      <c r="O7" s="612">
        <v>184825.19788999914</v>
      </c>
      <c r="P7" s="615">
        <v>4620629.9472499788</v>
      </c>
      <c r="Q7" s="600">
        <f t="shared" si="0"/>
        <v>2.2468623703669328</v>
      </c>
      <c r="R7" s="600">
        <f t="shared" si="1"/>
        <v>97.753137629633073</v>
      </c>
      <c r="S7" s="596" t="s">
        <v>532</v>
      </c>
      <c r="T7" t="s">
        <v>855</v>
      </c>
      <c r="U7">
        <v>3367800</v>
      </c>
      <c r="V7">
        <v>113724000</v>
      </c>
      <c r="W7" s="767">
        <v>2.9613801836024058</v>
      </c>
    </row>
    <row r="8" spans="1:23" x14ac:dyDescent="0.3">
      <c r="A8" s="616">
        <v>45222</v>
      </c>
      <c r="B8" s="617">
        <v>41</v>
      </c>
      <c r="C8" s="618" t="s">
        <v>552</v>
      </c>
      <c r="D8" s="589" t="s">
        <v>563</v>
      </c>
      <c r="E8" s="619" t="s">
        <v>44</v>
      </c>
      <c r="F8" s="620" t="s">
        <v>0</v>
      </c>
      <c r="G8" s="589" t="s">
        <v>531</v>
      </c>
      <c r="H8" s="722" t="s">
        <v>593</v>
      </c>
      <c r="I8" s="589" t="s">
        <v>531</v>
      </c>
      <c r="J8" s="589" t="s">
        <v>573</v>
      </c>
      <c r="K8" s="599">
        <v>2000000</v>
      </c>
      <c r="L8" s="595">
        <v>5702204.328905059</v>
      </c>
      <c r="M8" s="593">
        <v>50</v>
      </c>
      <c r="N8" s="593">
        <v>2</v>
      </c>
      <c r="O8" s="595">
        <v>5337385.3993877815</v>
      </c>
      <c r="P8" s="621">
        <v>133434634.98469454</v>
      </c>
      <c r="Q8" s="582" t="s">
        <v>0</v>
      </c>
      <c r="R8" s="582" t="s">
        <v>0</v>
      </c>
      <c r="S8" s="596" t="s">
        <v>532</v>
      </c>
      <c r="T8" t="s">
        <v>858</v>
      </c>
      <c r="U8">
        <v>88872000.000000015</v>
      </c>
      <c r="V8">
        <v>113724000</v>
      </c>
      <c r="W8" s="749">
        <v>78.147092961907788</v>
      </c>
    </row>
    <row r="9" spans="1:23" ht="16.2" thickBot="1" x14ac:dyDescent="0.35">
      <c r="A9" s="622">
        <v>45222</v>
      </c>
      <c r="B9" s="623">
        <v>42</v>
      </c>
      <c r="C9" s="624" t="s">
        <v>552</v>
      </c>
      <c r="D9" s="625" t="s">
        <v>563</v>
      </c>
      <c r="E9" s="626" t="s">
        <v>45</v>
      </c>
      <c r="F9" s="627" t="s">
        <v>0</v>
      </c>
      <c r="G9" s="625" t="s">
        <v>531</v>
      </c>
      <c r="H9" s="732" t="s">
        <v>593</v>
      </c>
      <c r="I9" s="628" t="s">
        <v>532</v>
      </c>
      <c r="J9" s="628" t="s">
        <v>573</v>
      </c>
      <c r="K9" s="629">
        <v>2000000</v>
      </c>
      <c r="L9" s="630">
        <v>11874154.763832895</v>
      </c>
      <c r="M9" s="631">
        <v>50</v>
      </c>
      <c r="N9" s="631">
        <v>2</v>
      </c>
      <c r="O9" s="632">
        <v>11114463.216494778</v>
      </c>
      <c r="P9" s="633">
        <v>277861580.41236943</v>
      </c>
      <c r="Q9" s="634" t="s">
        <v>0</v>
      </c>
      <c r="R9" s="634" t="s">
        <v>0</v>
      </c>
      <c r="S9" s="596" t="s">
        <v>532</v>
      </c>
      <c r="T9" t="s">
        <v>859</v>
      </c>
      <c r="U9">
        <v>138576000</v>
      </c>
      <c r="V9">
        <v>113724000</v>
      </c>
      <c r="W9" s="749">
        <v>121.85290703809221</v>
      </c>
    </row>
    <row r="10" spans="1:23" hidden="1" x14ac:dyDescent="0.3">
      <c r="A10" s="635">
        <v>45229</v>
      </c>
      <c r="B10" s="636">
        <v>49</v>
      </c>
      <c r="C10" s="637" t="s">
        <v>552</v>
      </c>
      <c r="D10" s="638" t="s">
        <v>564</v>
      </c>
      <c r="E10" s="639" t="s">
        <v>52</v>
      </c>
      <c r="F10" s="640" t="s">
        <v>550</v>
      </c>
      <c r="G10" s="638" t="s">
        <v>532</v>
      </c>
      <c r="H10" s="641" t="s">
        <v>608</v>
      </c>
      <c r="I10" s="638" t="s">
        <v>531</v>
      </c>
      <c r="J10" s="638" t="s">
        <v>573</v>
      </c>
      <c r="K10" s="642">
        <v>2000000</v>
      </c>
      <c r="L10" s="643">
        <v>15044128.533522084</v>
      </c>
      <c r="M10" s="644">
        <v>50</v>
      </c>
      <c r="N10" s="644">
        <v>2</v>
      </c>
      <c r="O10" s="643">
        <v>14081626.569273159</v>
      </c>
      <c r="P10" s="645">
        <v>352040664.23182899</v>
      </c>
      <c r="Q10" s="646">
        <f t="shared" ref="Q10:Q15" si="2">(P10/AVERAGE($P$16:$P$18)*100)</f>
        <v>106.82556269060284</v>
      </c>
      <c r="R10" s="646">
        <f t="shared" si="1"/>
        <v>-6.8255626906028368</v>
      </c>
      <c r="S10" s="647" t="s">
        <v>760</v>
      </c>
      <c r="T10" s="580" t="s">
        <v>761</v>
      </c>
    </row>
    <row r="11" spans="1:23" x14ac:dyDescent="0.3">
      <c r="A11" s="616">
        <v>45229</v>
      </c>
      <c r="B11" s="617">
        <v>50</v>
      </c>
      <c r="C11" s="618" t="s">
        <v>552</v>
      </c>
      <c r="D11" s="589" t="s">
        <v>564</v>
      </c>
      <c r="E11" s="619" t="s">
        <v>53</v>
      </c>
      <c r="F11" s="648" t="s">
        <v>550</v>
      </c>
      <c r="G11" s="589" t="s">
        <v>532</v>
      </c>
      <c r="H11" s="589" t="s">
        <v>608</v>
      </c>
      <c r="I11" s="589" t="s">
        <v>531</v>
      </c>
      <c r="J11" s="589" t="s">
        <v>574</v>
      </c>
      <c r="K11" s="599">
        <v>2000000</v>
      </c>
      <c r="L11" s="595">
        <v>4406464.6705197506</v>
      </c>
      <c r="M11" s="593">
        <v>50</v>
      </c>
      <c r="N11" s="593">
        <v>2</v>
      </c>
      <c r="O11" s="595">
        <v>4124545.3229604531</v>
      </c>
      <c r="P11" s="621">
        <v>103113633.07401133</v>
      </c>
      <c r="Q11" s="600">
        <f t="shared" si="2"/>
        <v>31.289487247841929</v>
      </c>
      <c r="R11" s="600">
        <f t="shared" si="1"/>
        <v>68.710512752158067</v>
      </c>
      <c r="S11" s="596" t="s">
        <v>532</v>
      </c>
      <c r="T11" t="s">
        <v>865</v>
      </c>
      <c r="U11">
        <v>15588000</v>
      </c>
      <c r="V11">
        <v>140608500</v>
      </c>
      <c r="W11" s="767">
        <v>11.086100769156914</v>
      </c>
    </row>
    <row r="12" spans="1:23" x14ac:dyDescent="0.3">
      <c r="A12" s="616">
        <v>45229</v>
      </c>
      <c r="B12" s="649">
        <v>51</v>
      </c>
      <c r="C12" s="618" t="s">
        <v>552</v>
      </c>
      <c r="D12" s="589" t="s">
        <v>564</v>
      </c>
      <c r="E12" s="619" t="s">
        <v>54</v>
      </c>
      <c r="F12" s="648" t="s">
        <v>550</v>
      </c>
      <c r="G12" s="589" t="s">
        <v>532</v>
      </c>
      <c r="H12" s="589" t="s">
        <v>608</v>
      </c>
      <c r="I12" s="589" t="s">
        <v>531</v>
      </c>
      <c r="J12" s="589" t="s">
        <v>503</v>
      </c>
      <c r="K12" s="599">
        <v>2000000</v>
      </c>
      <c r="L12" s="595">
        <v>5708401.781202442</v>
      </c>
      <c r="M12" s="593">
        <v>50</v>
      </c>
      <c r="N12" s="593">
        <v>2</v>
      </c>
      <c r="O12" s="595">
        <v>5343186.3474944243</v>
      </c>
      <c r="P12" s="621">
        <v>133579658.68736061</v>
      </c>
      <c r="Q12" s="600">
        <f t="shared" si="2"/>
        <v>40.534300872409858</v>
      </c>
      <c r="R12" s="600">
        <f t="shared" si="1"/>
        <v>59.465699127590142</v>
      </c>
      <c r="S12" s="596" t="s">
        <v>532</v>
      </c>
      <c r="T12" t="s">
        <v>866</v>
      </c>
      <c r="U12">
        <v>41148000</v>
      </c>
      <c r="V12">
        <v>140608500</v>
      </c>
      <c r="W12" s="767">
        <v>29.264233670083957</v>
      </c>
    </row>
    <row r="13" spans="1:23" x14ac:dyDescent="0.3">
      <c r="A13" s="616">
        <v>45229</v>
      </c>
      <c r="B13" s="649">
        <v>58</v>
      </c>
      <c r="C13" s="618" t="s">
        <v>552</v>
      </c>
      <c r="D13" s="589" t="s">
        <v>564</v>
      </c>
      <c r="E13" s="619" t="s">
        <v>61</v>
      </c>
      <c r="F13" s="601" t="s">
        <v>551</v>
      </c>
      <c r="G13" s="589" t="s">
        <v>532</v>
      </c>
      <c r="H13" s="589" t="s">
        <v>608</v>
      </c>
      <c r="I13" s="650" t="s">
        <v>531</v>
      </c>
      <c r="J13" s="650" t="s">
        <v>573</v>
      </c>
      <c r="K13" s="591">
        <v>2000000</v>
      </c>
      <c r="L13" s="592">
        <v>7460000</v>
      </c>
      <c r="M13" s="593">
        <v>50</v>
      </c>
      <c r="N13" s="593">
        <v>2</v>
      </c>
      <c r="O13" s="595">
        <v>6990000</v>
      </c>
      <c r="P13" s="621">
        <v>174644366.19999999</v>
      </c>
      <c r="Q13" s="600">
        <f t="shared" si="2"/>
        <v>52.995249087965767</v>
      </c>
      <c r="R13" s="600">
        <f t="shared" si="1"/>
        <v>47.004750912034233</v>
      </c>
      <c r="S13" s="596" t="s">
        <v>532</v>
      </c>
      <c r="T13" t="s">
        <v>871</v>
      </c>
      <c r="U13">
        <v>35925000</v>
      </c>
      <c r="V13">
        <v>140608500</v>
      </c>
      <c r="W13" s="767">
        <v>25.549664493967295</v>
      </c>
    </row>
    <row r="14" spans="1:23" x14ac:dyDescent="0.3">
      <c r="A14" s="616">
        <v>45229</v>
      </c>
      <c r="B14" s="649">
        <v>59</v>
      </c>
      <c r="C14" s="618" t="s">
        <v>552</v>
      </c>
      <c r="D14" s="589" t="s">
        <v>564</v>
      </c>
      <c r="E14" s="619" t="s">
        <v>62</v>
      </c>
      <c r="F14" s="601" t="s">
        <v>551</v>
      </c>
      <c r="G14" s="589" t="s">
        <v>532</v>
      </c>
      <c r="H14" s="589" t="s">
        <v>608</v>
      </c>
      <c r="I14" s="650" t="s">
        <v>531</v>
      </c>
      <c r="J14" s="650" t="s">
        <v>574</v>
      </c>
      <c r="K14" s="591">
        <v>2000000</v>
      </c>
      <c r="L14" s="592">
        <v>5490000</v>
      </c>
      <c r="M14" s="593">
        <v>50</v>
      </c>
      <c r="N14" s="593">
        <v>2</v>
      </c>
      <c r="O14" s="595">
        <v>5140000</v>
      </c>
      <c r="P14" s="621">
        <v>128580249.40000001</v>
      </c>
      <c r="Q14" s="600">
        <f t="shared" si="2"/>
        <v>39.017246837165722</v>
      </c>
      <c r="R14" s="600">
        <f t="shared" si="1"/>
        <v>60.982753162834278</v>
      </c>
      <c r="S14" s="596" t="s">
        <v>532</v>
      </c>
      <c r="T14" t="s">
        <v>872</v>
      </c>
      <c r="U14">
        <v>38508000</v>
      </c>
      <c r="V14">
        <v>140608500</v>
      </c>
      <c r="W14" s="767">
        <v>27.386680037124357</v>
      </c>
    </row>
    <row r="15" spans="1:23" x14ac:dyDescent="0.3">
      <c r="A15" s="616">
        <v>45229</v>
      </c>
      <c r="B15" s="649">
        <v>60</v>
      </c>
      <c r="C15" s="618" t="s">
        <v>552</v>
      </c>
      <c r="D15" s="589" t="s">
        <v>564</v>
      </c>
      <c r="E15" s="619" t="s">
        <v>63</v>
      </c>
      <c r="F15" s="607" t="s">
        <v>551</v>
      </c>
      <c r="G15" s="589" t="s">
        <v>532</v>
      </c>
      <c r="H15" s="589" t="s">
        <v>608</v>
      </c>
      <c r="I15" s="650" t="s">
        <v>531</v>
      </c>
      <c r="J15" s="650" t="s">
        <v>503</v>
      </c>
      <c r="K15" s="591">
        <v>2000000</v>
      </c>
      <c r="L15" s="592">
        <v>5630000</v>
      </c>
      <c r="M15" s="593">
        <v>50</v>
      </c>
      <c r="N15" s="593">
        <v>2</v>
      </c>
      <c r="O15" s="595">
        <v>5270000</v>
      </c>
      <c r="P15" s="621">
        <v>131766683.90000001</v>
      </c>
      <c r="Q15" s="600">
        <f t="shared" si="2"/>
        <v>39.984159733952815</v>
      </c>
      <c r="R15" s="600">
        <f t="shared" si="1"/>
        <v>60.015840266047185</v>
      </c>
      <c r="S15" s="596" t="s">
        <v>532</v>
      </c>
      <c r="T15" t="s">
        <v>873</v>
      </c>
      <c r="U15">
        <v>20544000</v>
      </c>
      <c r="V15">
        <v>140608500</v>
      </c>
      <c r="W15" s="767">
        <v>14.610780998303802</v>
      </c>
    </row>
    <row r="16" spans="1:23" x14ac:dyDescent="0.3">
      <c r="A16" s="616">
        <v>45229</v>
      </c>
      <c r="B16" s="617">
        <v>62</v>
      </c>
      <c r="C16" s="618" t="s">
        <v>552</v>
      </c>
      <c r="D16" s="589" t="s">
        <v>564</v>
      </c>
      <c r="E16" s="619" t="s">
        <v>65</v>
      </c>
      <c r="F16" s="620" t="s">
        <v>0</v>
      </c>
      <c r="G16" s="589" t="s">
        <v>531</v>
      </c>
      <c r="H16" s="722" t="s">
        <v>593</v>
      </c>
      <c r="I16" s="650" t="s">
        <v>532</v>
      </c>
      <c r="J16" s="650" t="s">
        <v>573</v>
      </c>
      <c r="K16" s="591">
        <v>2000000</v>
      </c>
      <c r="L16" s="592">
        <v>10328956.244485943</v>
      </c>
      <c r="M16" s="593">
        <v>50</v>
      </c>
      <c r="N16" s="593">
        <v>2</v>
      </c>
      <c r="O16" s="595">
        <v>9668124.3025222402</v>
      </c>
      <c r="P16" s="621">
        <v>241703107.56305599</v>
      </c>
      <c r="Q16" s="582" t="s">
        <v>0</v>
      </c>
      <c r="R16" s="582" t="s">
        <v>0</v>
      </c>
      <c r="S16" s="596" t="s">
        <v>532</v>
      </c>
      <c r="T16" t="s">
        <v>874</v>
      </c>
      <c r="U16">
        <v>0</v>
      </c>
      <c r="V16">
        <v>77258999.999999985</v>
      </c>
      <c r="W16" s="749">
        <v>0</v>
      </c>
    </row>
    <row r="17" spans="1:23" x14ac:dyDescent="0.3">
      <c r="A17" s="616">
        <v>45229</v>
      </c>
      <c r="B17" s="617">
        <v>63</v>
      </c>
      <c r="C17" s="618" t="s">
        <v>552</v>
      </c>
      <c r="D17" s="589" t="s">
        <v>564</v>
      </c>
      <c r="E17" s="619" t="s">
        <v>66</v>
      </c>
      <c r="F17" s="620" t="s">
        <v>0</v>
      </c>
      <c r="G17" s="589" t="s">
        <v>531</v>
      </c>
      <c r="H17" s="722" t="s">
        <v>593</v>
      </c>
      <c r="I17" s="650" t="s">
        <v>532</v>
      </c>
      <c r="J17" s="650" t="s">
        <v>574</v>
      </c>
      <c r="K17" s="591">
        <v>2000000</v>
      </c>
      <c r="L17" s="592">
        <v>18791090.961361483</v>
      </c>
      <c r="M17" s="593">
        <v>50</v>
      </c>
      <c r="N17" s="593">
        <v>2</v>
      </c>
      <c r="O17" s="595">
        <v>17588863.665816281</v>
      </c>
      <c r="P17" s="621">
        <v>439721591.64540702</v>
      </c>
      <c r="Q17" s="582" t="s">
        <v>0</v>
      </c>
      <c r="R17" s="582" t="s">
        <v>0</v>
      </c>
      <c r="S17" s="596" t="s">
        <v>532</v>
      </c>
      <c r="T17" t="s">
        <v>875</v>
      </c>
      <c r="U17">
        <v>77258999.999999985</v>
      </c>
      <c r="V17">
        <v>77258999.999999985</v>
      </c>
      <c r="W17" s="749">
        <v>100</v>
      </c>
    </row>
    <row r="18" spans="1:23" x14ac:dyDescent="0.3">
      <c r="A18" s="616">
        <v>45229</v>
      </c>
      <c r="B18" s="617">
        <v>64</v>
      </c>
      <c r="C18" s="618" t="s">
        <v>552</v>
      </c>
      <c r="D18" s="589" t="s">
        <v>564</v>
      </c>
      <c r="E18" s="619" t="s">
        <v>67</v>
      </c>
      <c r="F18" s="620" t="s">
        <v>0</v>
      </c>
      <c r="G18" s="589" t="s">
        <v>531</v>
      </c>
      <c r="H18" s="722" t="s">
        <v>593</v>
      </c>
      <c r="I18" s="589" t="s">
        <v>531</v>
      </c>
      <c r="J18" s="589" t="s">
        <v>573</v>
      </c>
      <c r="K18" s="599">
        <v>2000000</v>
      </c>
      <c r="L18" s="595">
        <v>13128628.545369972</v>
      </c>
      <c r="M18" s="593">
        <v>50</v>
      </c>
      <c r="N18" s="593">
        <v>2</v>
      </c>
      <c r="O18" s="595">
        <v>12288677.548231373</v>
      </c>
      <c r="P18" s="621">
        <v>307216938.70578432</v>
      </c>
      <c r="Q18" s="582" t="s">
        <v>0</v>
      </c>
      <c r="R18" s="582" t="s">
        <v>0</v>
      </c>
      <c r="S18" s="596" t="s">
        <v>532</v>
      </c>
      <c r="T18" t="s">
        <v>876</v>
      </c>
      <c r="U18">
        <v>71685000</v>
      </c>
      <c r="V18">
        <v>140608500</v>
      </c>
      <c r="W18" s="749">
        <v>50.981981885874603</v>
      </c>
    </row>
    <row r="19" spans="1:23" ht="16.2" thickBot="1" x14ac:dyDescent="0.35">
      <c r="A19" s="622">
        <v>45229</v>
      </c>
      <c r="B19" s="623">
        <v>65</v>
      </c>
      <c r="C19" s="624" t="s">
        <v>552</v>
      </c>
      <c r="D19" s="625" t="s">
        <v>564</v>
      </c>
      <c r="E19" s="626" t="s">
        <v>68</v>
      </c>
      <c r="F19" s="627" t="s">
        <v>0</v>
      </c>
      <c r="G19" s="625" t="s">
        <v>531</v>
      </c>
      <c r="H19" s="732" t="s">
        <v>593</v>
      </c>
      <c r="I19" s="628" t="s">
        <v>532</v>
      </c>
      <c r="J19" s="628" t="s">
        <v>573</v>
      </c>
      <c r="K19" s="629">
        <v>20000000</v>
      </c>
      <c r="L19" s="630">
        <v>27593472.273566492</v>
      </c>
      <c r="M19" s="631">
        <v>50</v>
      </c>
      <c r="N19" s="631">
        <v>2</v>
      </c>
      <c r="O19" s="632">
        <v>25828081.130797639</v>
      </c>
      <c r="P19" s="633">
        <v>645702028.26994109</v>
      </c>
      <c r="Q19" s="651" t="s">
        <v>0</v>
      </c>
      <c r="R19" s="634" t="s">
        <v>0</v>
      </c>
      <c r="S19" s="596" t="s">
        <v>532</v>
      </c>
      <c r="T19" t="s">
        <v>877</v>
      </c>
      <c r="U19">
        <v>209532000</v>
      </c>
      <c r="V19">
        <v>140608500</v>
      </c>
      <c r="W19" s="749">
        <v>149.0180181141254</v>
      </c>
    </row>
    <row r="20" spans="1:23" ht="16.2" hidden="1" thickBot="1" x14ac:dyDescent="0.35">
      <c r="A20" s="635">
        <v>45302</v>
      </c>
      <c r="B20" s="636">
        <v>329</v>
      </c>
      <c r="C20" s="637" t="s">
        <v>552</v>
      </c>
      <c r="D20" s="638" t="s">
        <v>557</v>
      </c>
      <c r="E20" s="639" t="s">
        <v>326</v>
      </c>
      <c r="F20" s="640" t="s">
        <v>550</v>
      </c>
      <c r="G20" s="638" t="s">
        <v>531</v>
      </c>
      <c r="H20" s="652" t="s">
        <v>535</v>
      </c>
      <c r="I20" s="652" t="s">
        <v>531</v>
      </c>
      <c r="J20" s="638" t="s">
        <v>573</v>
      </c>
      <c r="K20" s="653">
        <v>0</v>
      </c>
      <c r="L20" s="654" t="s">
        <v>0</v>
      </c>
      <c r="M20" s="644">
        <v>50</v>
      </c>
      <c r="N20" s="644">
        <v>2</v>
      </c>
      <c r="O20" s="655" t="s">
        <v>0</v>
      </c>
      <c r="P20" s="656" t="s">
        <v>0</v>
      </c>
      <c r="Q20" s="582" t="s">
        <v>0</v>
      </c>
      <c r="R20" s="582" t="s">
        <v>0</v>
      </c>
      <c r="S20" s="657" t="s">
        <v>531</v>
      </c>
    </row>
    <row r="21" spans="1:23" ht="16.2" hidden="1" thickBot="1" x14ac:dyDescent="0.35">
      <c r="A21" s="616">
        <v>45302</v>
      </c>
      <c r="B21" s="617">
        <v>330</v>
      </c>
      <c r="C21" s="618" t="s">
        <v>552</v>
      </c>
      <c r="D21" s="589" t="s">
        <v>557</v>
      </c>
      <c r="E21" s="619" t="s">
        <v>327</v>
      </c>
      <c r="F21" s="648" t="s">
        <v>550</v>
      </c>
      <c r="G21" s="589" t="s">
        <v>532</v>
      </c>
      <c r="H21" s="658" t="s">
        <v>608</v>
      </c>
      <c r="I21" s="658" t="s">
        <v>531</v>
      </c>
      <c r="J21" s="589" t="s">
        <v>573</v>
      </c>
      <c r="K21" s="599">
        <v>100000</v>
      </c>
      <c r="L21" s="595">
        <v>42312.843361459258</v>
      </c>
      <c r="M21" s="593">
        <v>50</v>
      </c>
      <c r="N21" s="593">
        <v>2</v>
      </c>
      <c r="O21" s="595">
        <v>39605.727774297564</v>
      </c>
      <c r="P21" s="621">
        <v>990143.19435743906</v>
      </c>
      <c r="Q21" s="600">
        <f>(P21/AVERAGE($P$30:$P$31)*100)</f>
        <v>1117.3490929574718</v>
      </c>
      <c r="R21" s="600">
        <f t="shared" ref="R21:R65" si="3">100-Q21</f>
        <v>-1017.3490929574718</v>
      </c>
      <c r="S21" s="659" t="s">
        <v>531</v>
      </c>
    </row>
    <row r="22" spans="1:23" ht="16.2" hidden="1" thickBot="1" x14ac:dyDescent="0.35">
      <c r="A22" s="616">
        <v>45302</v>
      </c>
      <c r="B22" s="617">
        <v>331</v>
      </c>
      <c r="C22" s="618" t="s">
        <v>552</v>
      </c>
      <c r="D22" s="589" t="s">
        <v>557</v>
      </c>
      <c r="E22" s="619" t="s">
        <v>328</v>
      </c>
      <c r="F22" s="648" t="s">
        <v>550</v>
      </c>
      <c r="G22" s="589" t="s">
        <v>532</v>
      </c>
      <c r="H22" s="658" t="s">
        <v>608</v>
      </c>
      <c r="I22" s="658" t="s">
        <v>531</v>
      </c>
      <c r="J22" s="589" t="s">
        <v>574</v>
      </c>
      <c r="K22" s="599">
        <v>100000</v>
      </c>
      <c r="L22" s="595">
        <v>52596.633460126766</v>
      </c>
      <c r="M22" s="593">
        <v>50</v>
      </c>
      <c r="N22" s="593">
        <v>2</v>
      </c>
      <c r="O22" s="595">
        <v>49231.575596824878</v>
      </c>
      <c r="P22" s="621">
        <v>1230789.3899206221</v>
      </c>
      <c r="Q22" s="600">
        <f t="shared" ref="Q22:Q29" si="4">(P22/AVERAGE($P$30:$P$31)*100)</f>
        <v>1388.91164054503</v>
      </c>
      <c r="R22" s="600">
        <f t="shared" si="3"/>
        <v>-1288.91164054503</v>
      </c>
      <c r="S22" s="659" t="s">
        <v>531</v>
      </c>
    </row>
    <row r="23" spans="1:23" ht="16.2" hidden="1" thickBot="1" x14ac:dyDescent="0.35">
      <c r="A23" s="616">
        <v>45302</v>
      </c>
      <c r="B23" s="617">
        <v>332</v>
      </c>
      <c r="C23" s="618" t="s">
        <v>552</v>
      </c>
      <c r="D23" s="589" t="s">
        <v>557</v>
      </c>
      <c r="E23" s="619" t="s">
        <v>329</v>
      </c>
      <c r="F23" s="648" t="s">
        <v>550</v>
      </c>
      <c r="G23" s="589" t="s">
        <v>532</v>
      </c>
      <c r="H23" s="658" t="s">
        <v>608</v>
      </c>
      <c r="I23" s="658" t="s">
        <v>531</v>
      </c>
      <c r="J23" s="589" t="s">
        <v>503</v>
      </c>
      <c r="K23" s="599">
        <v>100000</v>
      </c>
      <c r="L23" s="595">
        <v>18379.190563386044</v>
      </c>
      <c r="M23" s="593">
        <v>50</v>
      </c>
      <c r="N23" s="593">
        <v>2</v>
      </c>
      <c r="O23" s="595">
        <v>17203.316069948512</v>
      </c>
      <c r="P23" s="621">
        <v>430082.90174871281</v>
      </c>
      <c r="Q23" s="600">
        <f t="shared" si="4"/>
        <v>485.33660878949945</v>
      </c>
      <c r="R23" s="600">
        <f t="shared" si="3"/>
        <v>-385.33660878949945</v>
      </c>
      <c r="S23" s="659" t="s">
        <v>531</v>
      </c>
    </row>
    <row r="24" spans="1:23" ht="16.2" hidden="1" thickBot="1" x14ac:dyDescent="0.35">
      <c r="A24" s="616">
        <v>45302</v>
      </c>
      <c r="B24" s="617">
        <v>333</v>
      </c>
      <c r="C24" s="618" t="s">
        <v>552</v>
      </c>
      <c r="D24" s="589" t="s">
        <v>557</v>
      </c>
      <c r="E24" s="619" t="s">
        <v>330</v>
      </c>
      <c r="F24" s="648" t="s">
        <v>550</v>
      </c>
      <c r="G24" s="589" t="s">
        <v>532</v>
      </c>
      <c r="H24" s="658" t="s">
        <v>608</v>
      </c>
      <c r="I24" s="658" t="s">
        <v>531</v>
      </c>
      <c r="J24" s="589" t="s">
        <v>575</v>
      </c>
      <c r="K24" s="599">
        <v>100000</v>
      </c>
      <c r="L24" s="595">
        <v>32125.246627545541</v>
      </c>
      <c r="M24" s="593">
        <v>50</v>
      </c>
      <c r="N24" s="593">
        <v>2</v>
      </c>
      <c r="O24" s="595">
        <v>30069.919001748218</v>
      </c>
      <c r="P24" s="621">
        <v>751747.97504370543</v>
      </c>
      <c r="Q24" s="600">
        <f t="shared" si="4"/>
        <v>848.32670954507955</v>
      </c>
      <c r="R24" s="600">
        <f t="shared" si="3"/>
        <v>-748.32670954507955</v>
      </c>
      <c r="S24" s="659" t="s">
        <v>531</v>
      </c>
    </row>
    <row r="25" spans="1:23" ht="16.2" hidden="1" thickBot="1" x14ac:dyDescent="0.35">
      <c r="A25" s="616">
        <v>45302</v>
      </c>
      <c r="B25" s="617">
        <v>334</v>
      </c>
      <c r="C25" s="618" t="s">
        <v>552</v>
      </c>
      <c r="D25" s="589" t="s">
        <v>557</v>
      </c>
      <c r="E25" s="619" t="s">
        <v>331</v>
      </c>
      <c r="F25" s="660" t="s">
        <v>551</v>
      </c>
      <c r="G25" s="589" t="s">
        <v>531</v>
      </c>
      <c r="H25" s="658" t="s">
        <v>535</v>
      </c>
      <c r="I25" s="658" t="s">
        <v>531</v>
      </c>
      <c r="J25" s="589" t="s">
        <v>573</v>
      </c>
      <c r="K25" s="661">
        <v>0</v>
      </c>
      <c r="L25" s="595">
        <v>28.30406999772579</v>
      </c>
      <c r="M25" s="593">
        <v>50</v>
      </c>
      <c r="N25" s="593">
        <v>2</v>
      </c>
      <c r="O25" s="595">
        <v>26.493215822401069</v>
      </c>
      <c r="P25" s="621">
        <v>662.33039556002677</v>
      </c>
      <c r="Q25" s="582" t="s">
        <v>0</v>
      </c>
      <c r="R25" s="582" t="s">
        <v>0</v>
      </c>
      <c r="S25" s="659" t="s">
        <v>531</v>
      </c>
    </row>
    <row r="26" spans="1:23" ht="16.2" hidden="1" thickBot="1" x14ac:dyDescent="0.35">
      <c r="A26" s="616">
        <v>45302</v>
      </c>
      <c r="B26" s="617">
        <v>335</v>
      </c>
      <c r="C26" s="618" t="s">
        <v>552</v>
      </c>
      <c r="D26" s="589" t="s">
        <v>557</v>
      </c>
      <c r="E26" s="619" t="s">
        <v>332</v>
      </c>
      <c r="F26" s="660" t="s">
        <v>551</v>
      </c>
      <c r="G26" s="589" t="s">
        <v>532</v>
      </c>
      <c r="H26" s="658" t="s">
        <v>608</v>
      </c>
      <c r="I26" s="658" t="s">
        <v>531</v>
      </c>
      <c r="J26" s="589" t="s">
        <v>573</v>
      </c>
      <c r="K26" s="599">
        <v>100000</v>
      </c>
      <c r="L26" s="595">
        <v>13722.189730341457</v>
      </c>
      <c r="M26" s="593">
        <v>50</v>
      </c>
      <c r="N26" s="593">
        <v>2</v>
      </c>
      <c r="O26" s="595">
        <v>12844.26353210271</v>
      </c>
      <c r="P26" s="621">
        <v>321106.58830256778</v>
      </c>
      <c r="Q26" s="600">
        <f t="shared" si="4"/>
        <v>362.35986595391461</v>
      </c>
      <c r="R26" s="600">
        <f t="shared" si="3"/>
        <v>-262.35986595391461</v>
      </c>
      <c r="S26" s="659" t="s">
        <v>531</v>
      </c>
    </row>
    <row r="27" spans="1:23" ht="16.2" hidden="1" thickBot="1" x14ac:dyDescent="0.35">
      <c r="A27" s="616">
        <v>45302</v>
      </c>
      <c r="B27" s="617">
        <v>336</v>
      </c>
      <c r="C27" s="618" t="s">
        <v>552</v>
      </c>
      <c r="D27" s="589" t="s">
        <v>557</v>
      </c>
      <c r="E27" s="619" t="s">
        <v>333</v>
      </c>
      <c r="F27" s="660" t="s">
        <v>551</v>
      </c>
      <c r="G27" s="589" t="s">
        <v>532</v>
      </c>
      <c r="H27" s="658" t="s">
        <v>608</v>
      </c>
      <c r="I27" s="658" t="s">
        <v>531</v>
      </c>
      <c r="J27" s="589" t="s">
        <v>574</v>
      </c>
      <c r="K27" s="599">
        <v>100000</v>
      </c>
      <c r="L27" s="595">
        <v>1140.7456400528106</v>
      </c>
      <c r="M27" s="593">
        <v>50</v>
      </c>
      <c r="N27" s="593">
        <v>2</v>
      </c>
      <c r="O27" s="595">
        <v>1067.7623551245624</v>
      </c>
      <c r="P27" s="621">
        <v>26694.058878114061</v>
      </c>
      <c r="Q27" s="600">
        <f t="shared" si="4"/>
        <v>30.123503999005198</v>
      </c>
      <c r="R27" s="600">
        <f t="shared" si="3"/>
        <v>69.876496000994806</v>
      </c>
      <c r="S27" s="659" t="s">
        <v>531</v>
      </c>
      <c r="T27" s="580" t="s">
        <v>762</v>
      </c>
    </row>
    <row r="28" spans="1:23" ht="16.2" hidden="1" thickBot="1" x14ac:dyDescent="0.35">
      <c r="A28" s="616">
        <v>45302</v>
      </c>
      <c r="B28" s="617">
        <v>337</v>
      </c>
      <c r="C28" s="618" t="s">
        <v>552</v>
      </c>
      <c r="D28" s="589" t="s">
        <v>557</v>
      </c>
      <c r="E28" s="619" t="s">
        <v>334</v>
      </c>
      <c r="F28" s="660" t="s">
        <v>551</v>
      </c>
      <c r="G28" s="589" t="s">
        <v>532</v>
      </c>
      <c r="H28" s="658" t="s">
        <v>608</v>
      </c>
      <c r="I28" s="658" t="s">
        <v>531</v>
      </c>
      <c r="J28" s="589" t="s">
        <v>503</v>
      </c>
      <c r="K28" s="599">
        <v>100000</v>
      </c>
      <c r="L28" s="595">
        <v>3603.0810294037192</v>
      </c>
      <c r="M28" s="593">
        <v>50</v>
      </c>
      <c r="N28" s="593">
        <v>2</v>
      </c>
      <c r="O28" s="595">
        <v>3372.5610255084043</v>
      </c>
      <c r="P28" s="621">
        <v>84314.025637710103</v>
      </c>
      <c r="Q28" s="600">
        <f t="shared" si="4"/>
        <v>95.146036054942073</v>
      </c>
      <c r="R28" s="600">
        <f t="shared" si="3"/>
        <v>4.8539639450579273</v>
      </c>
      <c r="S28" s="659" t="s">
        <v>531</v>
      </c>
      <c r="T28" s="580" t="s">
        <v>763</v>
      </c>
    </row>
    <row r="29" spans="1:23" ht="16.2" hidden="1" thickBot="1" x14ac:dyDescent="0.35">
      <c r="A29" s="616">
        <v>45302</v>
      </c>
      <c r="B29" s="617">
        <v>338</v>
      </c>
      <c r="C29" s="618" t="s">
        <v>552</v>
      </c>
      <c r="D29" s="589" t="s">
        <v>557</v>
      </c>
      <c r="E29" s="619" t="s">
        <v>335</v>
      </c>
      <c r="F29" s="660" t="s">
        <v>551</v>
      </c>
      <c r="G29" s="589" t="s">
        <v>532</v>
      </c>
      <c r="H29" s="658" t="s">
        <v>608</v>
      </c>
      <c r="I29" s="658" t="s">
        <v>531</v>
      </c>
      <c r="J29" s="589" t="s">
        <v>575</v>
      </c>
      <c r="K29" s="599">
        <v>100000</v>
      </c>
      <c r="L29" s="595">
        <v>2151.9729289095203</v>
      </c>
      <c r="M29" s="593">
        <v>50</v>
      </c>
      <c r="N29" s="593">
        <v>2</v>
      </c>
      <c r="O29" s="595">
        <v>2014.2927591030343</v>
      </c>
      <c r="P29" s="621">
        <v>50357.318977575844</v>
      </c>
      <c r="Q29" s="600">
        <f t="shared" si="4"/>
        <v>56.826835758719888</v>
      </c>
      <c r="R29" s="600">
        <f t="shared" si="3"/>
        <v>43.173164241280112</v>
      </c>
      <c r="S29" s="659" t="s">
        <v>531</v>
      </c>
    </row>
    <row r="30" spans="1:23" ht="16.2" hidden="1" thickBot="1" x14ac:dyDescent="0.35">
      <c r="A30" s="616">
        <v>45302</v>
      </c>
      <c r="B30" s="617">
        <v>339</v>
      </c>
      <c r="C30" s="618" t="s">
        <v>552</v>
      </c>
      <c r="D30" s="589" t="s">
        <v>557</v>
      </c>
      <c r="E30" s="619" t="s">
        <v>336</v>
      </c>
      <c r="F30" s="620" t="s">
        <v>0</v>
      </c>
      <c r="G30" s="589" t="s">
        <v>531</v>
      </c>
      <c r="H30" s="658" t="s">
        <v>593</v>
      </c>
      <c r="I30" s="658" t="s">
        <v>531</v>
      </c>
      <c r="J30" s="589" t="s">
        <v>573</v>
      </c>
      <c r="K30" s="599">
        <v>100000</v>
      </c>
      <c r="L30" s="595">
        <v>1194.0333657469744</v>
      </c>
      <c r="M30" s="593">
        <v>50</v>
      </c>
      <c r="N30" s="593">
        <v>2</v>
      </c>
      <c r="O30" s="595">
        <v>1117.640807856407</v>
      </c>
      <c r="P30" s="621">
        <v>27941.02019641018</v>
      </c>
      <c r="Q30" s="582" t="s">
        <v>0</v>
      </c>
      <c r="R30" s="582" t="s">
        <v>0</v>
      </c>
      <c r="S30" s="659" t="s">
        <v>531</v>
      </c>
    </row>
    <row r="31" spans="1:23" ht="16.2" hidden="1" thickBot="1" x14ac:dyDescent="0.35">
      <c r="A31" s="616">
        <v>45302</v>
      </c>
      <c r="B31" s="617">
        <v>340</v>
      </c>
      <c r="C31" s="618" t="s">
        <v>552</v>
      </c>
      <c r="D31" s="589" t="s">
        <v>557</v>
      </c>
      <c r="E31" s="619" t="s">
        <v>337</v>
      </c>
      <c r="F31" s="620" t="s">
        <v>0</v>
      </c>
      <c r="G31" s="589" t="s">
        <v>531</v>
      </c>
      <c r="H31" s="658" t="s">
        <v>593</v>
      </c>
      <c r="I31" s="662" t="s">
        <v>532</v>
      </c>
      <c r="J31" s="650" t="s">
        <v>573</v>
      </c>
      <c r="K31" s="591">
        <v>100000</v>
      </c>
      <c r="L31" s="592">
        <v>6379.7577847810826</v>
      </c>
      <c r="M31" s="593">
        <v>50</v>
      </c>
      <c r="N31" s="593">
        <v>2</v>
      </c>
      <c r="O31" s="595">
        <v>5971.5899480332419</v>
      </c>
      <c r="P31" s="621">
        <v>149289.74870083106</v>
      </c>
      <c r="Q31" s="582" t="s">
        <v>0</v>
      </c>
      <c r="R31" s="582" t="s">
        <v>0</v>
      </c>
      <c r="S31" s="659" t="s">
        <v>531</v>
      </c>
    </row>
    <row r="32" spans="1:23" ht="16.2" hidden="1" thickBot="1" x14ac:dyDescent="0.35">
      <c r="A32" s="616">
        <v>45302</v>
      </c>
      <c r="B32" s="617">
        <v>341</v>
      </c>
      <c r="C32" s="663" t="s">
        <v>596</v>
      </c>
      <c r="D32" s="589" t="s">
        <v>557</v>
      </c>
      <c r="E32" s="619" t="s">
        <v>338</v>
      </c>
      <c r="F32" s="648" t="s">
        <v>550</v>
      </c>
      <c r="G32" s="589" t="s">
        <v>531</v>
      </c>
      <c r="H32" s="658" t="s">
        <v>535</v>
      </c>
      <c r="I32" s="658" t="s">
        <v>531</v>
      </c>
      <c r="J32" s="589" t="s">
        <v>573</v>
      </c>
      <c r="K32" s="661">
        <v>0</v>
      </c>
      <c r="L32" s="595">
        <v>42.982059971351482</v>
      </c>
      <c r="M32" s="593">
        <v>50</v>
      </c>
      <c r="N32" s="593">
        <v>2</v>
      </c>
      <c r="O32" s="595">
        <v>40.232128856517711</v>
      </c>
      <c r="P32" s="621">
        <v>1005.8032214129425</v>
      </c>
      <c r="Q32" s="582" t="s">
        <v>0</v>
      </c>
      <c r="R32" s="582" t="s">
        <v>0</v>
      </c>
      <c r="S32" s="659" t="s">
        <v>531</v>
      </c>
    </row>
    <row r="33" spans="1:23" ht="16.2" hidden="1" thickBot="1" x14ac:dyDescent="0.35">
      <c r="A33" s="616">
        <v>45302</v>
      </c>
      <c r="B33" s="617">
        <v>342</v>
      </c>
      <c r="C33" s="663" t="s">
        <v>596</v>
      </c>
      <c r="D33" s="589" t="s">
        <v>557</v>
      </c>
      <c r="E33" s="619" t="s">
        <v>339</v>
      </c>
      <c r="F33" s="648" t="s">
        <v>550</v>
      </c>
      <c r="G33" s="589" t="s">
        <v>532</v>
      </c>
      <c r="H33" s="658" t="s">
        <v>608</v>
      </c>
      <c r="I33" s="658" t="s">
        <v>531</v>
      </c>
      <c r="J33" s="589" t="s">
        <v>573</v>
      </c>
      <c r="K33" s="599">
        <v>100000</v>
      </c>
      <c r="L33" s="595">
        <v>92057.075070083563</v>
      </c>
      <c r="M33" s="593">
        <v>50</v>
      </c>
      <c r="N33" s="593">
        <v>2</v>
      </c>
      <c r="O33" s="595">
        <v>86167.394230111211</v>
      </c>
      <c r="P33" s="621">
        <v>2154184.8557527801</v>
      </c>
      <c r="Q33" s="600">
        <f t="shared" ref="Q33:Q41" si="5">(P33/AVERAGE($P$42:$P$43)*100)</f>
        <v>25.575440834081519</v>
      </c>
      <c r="R33" s="600">
        <f t="shared" si="3"/>
        <v>74.424559165918481</v>
      </c>
      <c r="S33" s="659" t="s">
        <v>531</v>
      </c>
    </row>
    <row r="34" spans="1:23" ht="16.2" hidden="1" thickBot="1" x14ac:dyDescent="0.35">
      <c r="A34" s="616">
        <v>45302</v>
      </c>
      <c r="B34" s="617">
        <v>343</v>
      </c>
      <c r="C34" s="663" t="s">
        <v>596</v>
      </c>
      <c r="D34" s="589" t="s">
        <v>557</v>
      </c>
      <c r="E34" s="619" t="s">
        <v>340</v>
      </c>
      <c r="F34" s="648" t="s">
        <v>550</v>
      </c>
      <c r="G34" s="589" t="s">
        <v>532</v>
      </c>
      <c r="H34" s="658" t="s">
        <v>608</v>
      </c>
      <c r="I34" s="658" t="s">
        <v>531</v>
      </c>
      <c r="J34" s="589" t="s">
        <v>574</v>
      </c>
      <c r="K34" s="599">
        <v>100000</v>
      </c>
      <c r="L34" s="595">
        <v>117102.53440824414</v>
      </c>
      <c r="M34" s="593">
        <v>50</v>
      </c>
      <c r="N34" s="593">
        <v>2</v>
      </c>
      <c r="O34" s="595">
        <v>109610.48067210958</v>
      </c>
      <c r="P34" s="621">
        <v>2740262.0168027403</v>
      </c>
      <c r="Q34" s="600">
        <f t="shared" si="5"/>
        <v>32.533609589474494</v>
      </c>
      <c r="R34" s="600">
        <f t="shared" si="3"/>
        <v>67.466390410525506</v>
      </c>
      <c r="S34" s="659" t="s">
        <v>531</v>
      </c>
    </row>
    <row r="35" spans="1:23" ht="16.2" hidden="1" thickBot="1" x14ac:dyDescent="0.35">
      <c r="A35" s="616">
        <v>45302</v>
      </c>
      <c r="B35" s="617">
        <v>344</v>
      </c>
      <c r="C35" s="663" t="s">
        <v>596</v>
      </c>
      <c r="D35" s="589" t="s">
        <v>557</v>
      </c>
      <c r="E35" s="619" t="s">
        <v>341</v>
      </c>
      <c r="F35" s="648" t="s">
        <v>550</v>
      </c>
      <c r="G35" s="589" t="s">
        <v>532</v>
      </c>
      <c r="H35" s="658" t="s">
        <v>608</v>
      </c>
      <c r="I35" s="658" t="s">
        <v>531</v>
      </c>
      <c r="J35" s="589" t="s">
        <v>503</v>
      </c>
      <c r="K35" s="599">
        <v>100000</v>
      </c>
      <c r="L35" s="595">
        <v>77932.613961440162</v>
      </c>
      <c r="M35" s="593">
        <v>50</v>
      </c>
      <c r="N35" s="593">
        <v>2</v>
      </c>
      <c r="O35" s="595">
        <v>72946.596070819403</v>
      </c>
      <c r="P35" s="621">
        <v>1823664.9017704851</v>
      </c>
      <c r="Q35" s="600">
        <f t="shared" si="5"/>
        <v>21.65136091819911</v>
      </c>
      <c r="R35" s="600">
        <f t="shared" si="3"/>
        <v>78.348639081800883</v>
      </c>
      <c r="S35" s="659" t="s">
        <v>531</v>
      </c>
    </row>
    <row r="36" spans="1:23" ht="16.2" hidden="1" thickBot="1" x14ac:dyDescent="0.35">
      <c r="A36" s="616">
        <v>45302</v>
      </c>
      <c r="B36" s="617">
        <v>345</v>
      </c>
      <c r="C36" s="663" t="s">
        <v>596</v>
      </c>
      <c r="D36" s="589" t="s">
        <v>557</v>
      </c>
      <c r="E36" s="619" t="s">
        <v>342</v>
      </c>
      <c r="F36" s="648" t="s">
        <v>550</v>
      </c>
      <c r="G36" s="589" t="s">
        <v>532</v>
      </c>
      <c r="H36" s="658" t="s">
        <v>608</v>
      </c>
      <c r="I36" s="658" t="s">
        <v>531</v>
      </c>
      <c r="J36" s="589" t="s">
        <v>575</v>
      </c>
      <c r="K36" s="599">
        <v>100000</v>
      </c>
      <c r="L36" s="595">
        <v>69495.626002947669</v>
      </c>
      <c r="M36" s="593">
        <v>50</v>
      </c>
      <c r="N36" s="593">
        <v>2</v>
      </c>
      <c r="O36" s="595">
        <v>65049.394612043296</v>
      </c>
      <c r="P36" s="621">
        <v>1626234.8653010826</v>
      </c>
      <c r="Q36" s="600">
        <f t="shared" si="5"/>
        <v>19.307383704215187</v>
      </c>
      <c r="R36" s="600">
        <f t="shared" si="3"/>
        <v>80.692616295784816</v>
      </c>
      <c r="S36" s="659" t="s">
        <v>531</v>
      </c>
    </row>
    <row r="37" spans="1:23" ht="16.2" hidden="1" thickBot="1" x14ac:dyDescent="0.35">
      <c r="A37" s="616">
        <v>45302</v>
      </c>
      <c r="B37" s="617">
        <v>346</v>
      </c>
      <c r="C37" s="663" t="s">
        <v>596</v>
      </c>
      <c r="D37" s="589" t="s">
        <v>557</v>
      </c>
      <c r="E37" s="619" t="s">
        <v>343</v>
      </c>
      <c r="F37" s="660" t="s">
        <v>551</v>
      </c>
      <c r="G37" s="589" t="s">
        <v>531</v>
      </c>
      <c r="H37" s="658" t="s">
        <v>535</v>
      </c>
      <c r="I37" s="658" t="s">
        <v>531</v>
      </c>
      <c r="J37" s="589" t="s">
        <v>573</v>
      </c>
      <c r="K37" s="661">
        <v>0</v>
      </c>
      <c r="L37" s="595">
        <v>47.340942278826297</v>
      </c>
      <c r="M37" s="593">
        <v>50</v>
      </c>
      <c r="N37" s="593">
        <v>2</v>
      </c>
      <c r="O37" s="595">
        <v>44.312136068401173</v>
      </c>
      <c r="P37" s="621">
        <v>1107.8034017100294</v>
      </c>
      <c r="Q37" s="582" t="s">
        <v>0</v>
      </c>
      <c r="R37" s="582" t="s">
        <v>0</v>
      </c>
      <c r="S37" s="659" t="s">
        <v>531</v>
      </c>
    </row>
    <row r="38" spans="1:23" ht="16.2" hidden="1" thickBot="1" x14ac:dyDescent="0.35">
      <c r="A38" s="616">
        <v>45302</v>
      </c>
      <c r="B38" s="617">
        <v>347</v>
      </c>
      <c r="C38" s="663" t="s">
        <v>596</v>
      </c>
      <c r="D38" s="589" t="s">
        <v>557</v>
      </c>
      <c r="E38" s="619" t="s">
        <v>344</v>
      </c>
      <c r="F38" s="660" t="s">
        <v>551</v>
      </c>
      <c r="G38" s="589" t="s">
        <v>532</v>
      </c>
      <c r="H38" s="658" t="s">
        <v>608</v>
      </c>
      <c r="I38" s="658" t="s">
        <v>531</v>
      </c>
      <c r="J38" s="589" t="s">
        <v>573</v>
      </c>
      <c r="K38" s="599">
        <v>100000</v>
      </c>
      <c r="L38" s="595">
        <v>212431.44114068363</v>
      </c>
      <c r="M38" s="593">
        <v>50</v>
      </c>
      <c r="N38" s="593">
        <v>2</v>
      </c>
      <c r="O38" s="595">
        <v>198840.37942444414</v>
      </c>
      <c r="P38" s="621">
        <v>4971009.4856111035</v>
      </c>
      <c r="Q38" s="600">
        <f t="shared" si="5"/>
        <v>59.018035822407256</v>
      </c>
      <c r="R38" s="600">
        <f t="shared" si="3"/>
        <v>40.981964177592744</v>
      </c>
      <c r="S38" s="659" t="s">
        <v>531</v>
      </c>
    </row>
    <row r="39" spans="1:23" ht="16.2" hidden="1" thickBot="1" x14ac:dyDescent="0.35">
      <c r="A39" s="616">
        <v>45302</v>
      </c>
      <c r="B39" s="617">
        <v>348</v>
      </c>
      <c r="C39" s="663" t="s">
        <v>596</v>
      </c>
      <c r="D39" s="589" t="s">
        <v>557</v>
      </c>
      <c r="E39" s="619" t="s">
        <v>345</v>
      </c>
      <c r="F39" s="660" t="s">
        <v>551</v>
      </c>
      <c r="G39" s="589" t="s">
        <v>532</v>
      </c>
      <c r="H39" s="658" t="s">
        <v>608</v>
      </c>
      <c r="I39" s="658" t="s">
        <v>531</v>
      </c>
      <c r="J39" s="589" t="s">
        <v>574</v>
      </c>
      <c r="K39" s="599">
        <v>100000</v>
      </c>
      <c r="L39" s="595">
        <v>228603.19520964389</v>
      </c>
      <c r="M39" s="593">
        <v>50</v>
      </c>
      <c r="N39" s="593">
        <v>2</v>
      </c>
      <c r="O39" s="595">
        <v>213977.48764987537</v>
      </c>
      <c r="P39" s="621">
        <v>5349437.1912468849</v>
      </c>
      <c r="Q39" s="600">
        <f t="shared" si="5"/>
        <v>63.510897876292141</v>
      </c>
      <c r="R39" s="600">
        <f t="shared" si="3"/>
        <v>36.489102123707859</v>
      </c>
      <c r="S39" s="659" t="s">
        <v>531</v>
      </c>
    </row>
    <row r="40" spans="1:23" ht="16.2" hidden="1" thickBot="1" x14ac:dyDescent="0.35">
      <c r="A40" s="616">
        <v>45302</v>
      </c>
      <c r="B40" s="617">
        <v>349</v>
      </c>
      <c r="C40" s="663" t="s">
        <v>596</v>
      </c>
      <c r="D40" s="589" t="s">
        <v>557</v>
      </c>
      <c r="E40" s="619" t="s">
        <v>346</v>
      </c>
      <c r="F40" s="660" t="s">
        <v>551</v>
      </c>
      <c r="G40" s="589" t="s">
        <v>532</v>
      </c>
      <c r="H40" s="658" t="s">
        <v>608</v>
      </c>
      <c r="I40" s="658" t="s">
        <v>531</v>
      </c>
      <c r="J40" s="589" t="s">
        <v>503</v>
      </c>
      <c r="K40" s="599">
        <v>100000</v>
      </c>
      <c r="L40" s="595">
        <v>379286.61969470448</v>
      </c>
      <c r="M40" s="593">
        <v>50</v>
      </c>
      <c r="N40" s="593">
        <v>2</v>
      </c>
      <c r="O40" s="595">
        <v>355020.40077374573</v>
      </c>
      <c r="P40" s="621">
        <v>8875510.0193436444</v>
      </c>
      <c r="Q40" s="600">
        <f t="shared" si="5"/>
        <v>105.37400296257195</v>
      </c>
      <c r="R40" s="600">
        <f t="shared" si="3"/>
        <v>-5.3740029625719501</v>
      </c>
      <c r="S40" s="659" t="s">
        <v>531</v>
      </c>
    </row>
    <row r="41" spans="1:23" ht="16.2" hidden="1" thickBot="1" x14ac:dyDescent="0.35">
      <c r="A41" s="616">
        <v>45302</v>
      </c>
      <c r="B41" s="617">
        <v>350</v>
      </c>
      <c r="C41" s="663" t="s">
        <v>596</v>
      </c>
      <c r="D41" s="589" t="s">
        <v>557</v>
      </c>
      <c r="E41" s="619" t="s">
        <v>347</v>
      </c>
      <c r="F41" s="660" t="s">
        <v>551</v>
      </c>
      <c r="G41" s="589" t="s">
        <v>532</v>
      </c>
      <c r="H41" s="658" t="s">
        <v>608</v>
      </c>
      <c r="I41" s="658" t="s">
        <v>531</v>
      </c>
      <c r="J41" s="589" t="s">
        <v>575</v>
      </c>
      <c r="K41" s="599">
        <v>100000</v>
      </c>
      <c r="L41" s="595">
        <v>492623.2068735807</v>
      </c>
      <c r="M41" s="593">
        <v>50</v>
      </c>
      <c r="N41" s="593">
        <v>2</v>
      </c>
      <c r="O41" s="595">
        <v>461105.87416840601</v>
      </c>
      <c r="P41" s="621">
        <v>11527646.854210149</v>
      </c>
      <c r="Q41" s="600">
        <f t="shared" si="5"/>
        <v>136.86135119217107</v>
      </c>
      <c r="R41" s="600">
        <f t="shared" si="3"/>
        <v>-36.861351192171071</v>
      </c>
      <c r="S41" s="659" t="s">
        <v>531</v>
      </c>
    </row>
    <row r="42" spans="1:23" ht="16.2" hidden="1" thickBot="1" x14ac:dyDescent="0.35">
      <c r="A42" s="616">
        <v>45302</v>
      </c>
      <c r="B42" s="617">
        <v>351</v>
      </c>
      <c r="C42" s="663" t="s">
        <v>596</v>
      </c>
      <c r="D42" s="589" t="s">
        <v>557</v>
      </c>
      <c r="E42" s="619" t="s">
        <v>348</v>
      </c>
      <c r="F42" s="620" t="s">
        <v>0</v>
      </c>
      <c r="G42" s="589" t="s">
        <v>531</v>
      </c>
      <c r="H42" s="658" t="s">
        <v>593</v>
      </c>
      <c r="I42" s="658" t="s">
        <v>531</v>
      </c>
      <c r="J42" s="589" t="s">
        <v>573</v>
      </c>
      <c r="K42" s="599">
        <v>100000</v>
      </c>
      <c r="L42" s="595">
        <v>579773.62872448168</v>
      </c>
      <c r="M42" s="593">
        <v>50</v>
      </c>
      <c r="N42" s="593">
        <v>2</v>
      </c>
      <c r="O42" s="595">
        <v>542680.53587941569</v>
      </c>
      <c r="P42" s="621">
        <v>13567013.396985389</v>
      </c>
      <c r="Q42" s="582" t="s">
        <v>0</v>
      </c>
      <c r="R42" s="582" t="s">
        <v>0</v>
      </c>
      <c r="S42" s="659" t="s">
        <v>531</v>
      </c>
    </row>
    <row r="43" spans="1:23" ht="16.2" hidden="1" thickBot="1" x14ac:dyDescent="0.35">
      <c r="A43" s="622">
        <v>45302</v>
      </c>
      <c r="B43" s="623">
        <v>352</v>
      </c>
      <c r="C43" s="664" t="s">
        <v>596</v>
      </c>
      <c r="D43" s="625" t="s">
        <v>557</v>
      </c>
      <c r="E43" s="626" t="s">
        <v>349</v>
      </c>
      <c r="F43" s="627" t="s">
        <v>0</v>
      </c>
      <c r="G43" s="625" t="s">
        <v>531</v>
      </c>
      <c r="H43" s="665" t="s">
        <v>593</v>
      </c>
      <c r="I43" s="666" t="s">
        <v>532</v>
      </c>
      <c r="J43" s="628" t="s">
        <v>573</v>
      </c>
      <c r="K43" s="629">
        <v>100000</v>
      </c>
      <c r="L43" s="630">
        <v>140112.88793261888</v>
      </c>
      <c r="M43" s="631">
        <v>50</v>
      </c>
      <c r="N43" s="631">
        <v>2</v>
      </c>
      <c r="O43" s="632">
        <v>131148.66447818375</v>
      </c>
      <c r="P43" s="633">
        <v>3278716.611954594</v>
      </c>
      <c r="Q43" s="634" t="s">
        <v>0</v>
      </c>
      <c r="R43" s="634" t="s">
        <v>0</v>
      </c>
      <c r="S43" s="667" t="s">
        <v>531</v>
      </c>
    </row>
    <row r="44" spans="1:23" x14ac:dyDescent="0.3">
      <c r="A44" s="635">
        <v>45324</v>
      </c>
      <c r="B44" s="636">
        <v>401</v>
      </c>
      <c r="C44" s="637" t="s">
        <v>552</v>
      </c>
      <c r="D44" s="638" t="s">
        <v>560</v>
      </c>
      <c r="E44" s="639" t="s">
        <v>398</v>
      </c>
      <c r="F44" s="640" t="s">
        <v>550</v>
      </c>
      <c r="G44" s="638" t="s">
        <v>531</v>
      </c>
      <c r="H44" s="638" t="s">
        <v>535</v>
      </c>
      <c r="I44" s="638" t="s">
        <v>531</v>
      </c>
      <c r="J44" s="638" t="s">
        <v>573</v>
      </c>
      <c r="K44" s="653">
        <v>0</v>
      </c>
      <c r="L44" s="654" t="s">
        <v>0</v>
      </c>
      <c r="M44" s="644">
        <v>50</v>
      </c>
      <c r="N44" s="644">
        <v>2</v>
      </c>
      <c r="O44" s="668" t="s">
        <v>0</v>
      </c>
      <c r="P44" s="656" t="s">
        <v>0</v>
      </c>
      <c r="Q44" s="669" t="s">
        <v>0</v>
      </c>
      <c r="R44" s="669" t="s">
        <v>0</v>
      </c>
      <c r="S44" s="583" t="s">
        <v>532</v>
      </c>
      <c r="T44" t="e">
        <v>#N/A</v>
      </c>
      <c r="U44" t="e">
        <v>#N/A</v>
      </c>
      <c r="V44" t="e">
        <v>#N/A</v>
      </c>
      <c r="W44" s="749" t="e">
        <v>#N/A</v>
      </c>
    </row>
    <row r="45" spans="1:23" x14ac:dyDescent="0.3">
      <c r="A45" s="670">
        <v>45324</v>
      </c>
      <c r="B45" s="617">
        <v>402</v>
      </c>
      <c r="C45" s="618" t="s">
        <v>552</v>
      </c>
      <c r="D45" s="589" t="s">
        <v>560</v>
      </c>
      <c r="E45" s="619" t="s">
        <v>399</v>
      </c>
      <c r="F45" s="648" t="s">
        <v>550</v>
      </c>
      <c r="G45" s="589" t="s">
        <v>532</v>
      </c>
      <c r="H45" s="589" t="s">
        <v>608</v>
      </c>
      <c r="I45" s="589" t="s">
        <v>531</v>
      </c>
      <c r="J45" s="589" t="s">
        <v>573</v>
      </c>
      <c r="K45" s="599">
        <v>200000</v>
      </c>
      <c r="L45" s="595">
        <v>67015.859229634632</v>
      </c>
      <c r="M45" s="593">
        <v>50</v>
      </c>
      <c r="N45" s="593">
        <v>2</v>
      </c>
      <c r="O45" s="595">
        <v>62728.279792871348</v>
      </c>
      <c r="P45" s="621">
        <v>1568206.9948217839</v>
      </c>
      <c r="Q45" s="600">
        <f>(P45/AVERAGE($P$54:$P$55)*100)</f>
        <v>21.125442546935158</v>
      </c>
      <c r="R45" s="600">
        <f t="shared" si="3"/>
        <v>78.874557453064838</v>
      </c>
      <c r="S45" s="596" t="s">
        <v>532</v>
      </c>
      <c r="T45" t="s">
        <v>399</v>
      </c>
      <c r="U45">
        <v>209460</v>
      </c>
      <c r="V45">
        <v>939210</v>
      </c>
      <c r="W45" s="767">
        <v>22.301721659692721</v>
      </c>
    </row>
    <row r="46" spans="1:23" x14ac:dyDescent="0.3">
      <c r="A46" s="670">
        <v>45324</v>
      </c>
      <c r="B46" s="617">
        <v>403</v>
      </c>
      <c r="C46" s="618" t="s">
        <v>552</v>
      </c>
      <c r="D46" s="589" t="s">
        <v>560</v>
      </c>
      <c r="E46" s="619" t="s">
        <v>400</v>
      </c>
      <c r="F46" s="648" t="s">
        <v>550</v>
      </c>
      <c r="G46" s="589" t="s">
        <v>532</v>
      </c>
      <c r="H46" s="589" t="s">
        <v>608</v>
      </c>
      <c r="I46" s="589" t="s">
        <v>531</v>
      </c>
      <c r="J46" s="589" t="s">
        <v>574</v>
      </c>
      <c r="K46" s="599">
        <v>200000</v>
      </c>
      <c r="L46" s="595">
        <v>60253.951236554843</v>
      </c>
      <c r="M46" s="593">
        <v>50</v>
      </c>
      <c r="N46" s="593">
        <v>2</v>
      </c>
      <c r="O46" s="595">
        <v>56398.989063789784</v>
      </c>
      <c r="P46" s="621">
        <v>1409974.7265947445</v>
      </c>
      <c r="Q46" s="600">
        <f>(P46/AVERAGE($P$54:$P$55)*100)</f>
        <v>18.993882936157224</v>
      </c>
      <c r="R46" s="600">
        <f t="shared" si="3"/>
        <v>81.00611706384278</v>
      </c>
      <c r="S46" s="596" t="s">
        <v>532</v>
      </c>
      <c r="T46" t="s">
        <v>400</v>
      </c>
      <c r="U46">
        <v>166490</v>
      </c>
      <c r="V46">
        <v>939210</v>
      </c>
      <c r="W46" s="767">
        <v>17.726600014906143</v>
      </c>
    </row>
    <row r="47" spans="1:23" x14ac:dyDescent="0.3">
      <c r="A47" s="670">
        <v>45324</v>
      </c>
      <c r="B47" s="617">
        <v>404</v>
      </c>
      <c r="C47" s="618" t="s">
        <v>552</v>
      </c>
      <c r="D47" s="589" t="s">
        <v>560</v>
      </c>
      <c r="E47" s="619" t="s">
        <v>401</v>
      </c>
      <c r="F47" s="648" t="s">
        <v>550</v>
      </c>
      <c r="G47" s="589" t="s">
        <v>532</v>
      </c>
      <c r="H47" s="589" t="s">
        <v>608</v>
      </c>
      <c r="I47" s="589" t="s">
        <v>531</v>
      </c>
      <c r="J47" s="589" t="s">
        <v>503</v>
      </c>
      <c r="K47" s="599">
        <v>200000</v>
      </c>
      <c r="L47" s="595">
        <v>54353.674759104135</v>
      </c>
      <c r="M47" s="593">
        <v>50</v>
      </c>
      <c r="N47" s="593">
        <v>2</v>
      </c>
      <c r="O47" s="595">
        <v>50876.203890438461</v>
      </c>
      <c r="P47" s="621">
        <v>1271905.0972609615</v>
      </c>
      <c r="Q47" s="600">
        <f>(P47/AVERAGE($P$54:$P$55)*100)</f>
        <v>17.133935855447426</v>
      </c>
      <c r="R47" s="600">
        <f t="shared" si="3"/>
        <v>82.866064144552581</v>
      </c>
      <c r="S47" s="596" t="s">
        <v>532</v>
      </c>
      <c r="T47" t="s">
        <v>401</v>
      </c>
      <c r="U47">
        <v>154140</v>
      </c>
      <c r="V47">
        <v>939210</v>
      </c>
      <c r="W47" s="767">
        <v>16.411665122815982</v>
      </c>
    </row>
    <row r="48" spans="1:23" x14ac:dyDescent="0.3">
      <c r="A48" s="670">
        <v>45324</v>
      </c>
      <c r="B48" s="617">
        <v>405</v>
      </c>
      <c r="C48" s="618" t="s">
        <v>552</v>
      </c>
      <c r="D48" s="589" t="s">
        <v>560</v>
      </c>
      <c r="E48" s="619" t="s">
        <v>402</v>
      </c>
      <c r="F48" s="648" t="s">
        <v>550</v>
      </c>
      <c r="G48" s="589" t="s">
        <v>532</v>
      </c>
      <c r="H48" s="589" t="s">
        <v>608</v>
      </c>
      <c r="I48" s="589" t="s">
        <v>531</v>
      </c>
      <c r="J48" s="589" t="s">
        <v>575</v>
      </c>
      <c r="K48" s="599">
        <v>200000</v>
      </c>
      <c r="L48" s="595">
        <v>22371.192209996167</v>
      </c>
      <c r="M48" s="593">
        <v>50</v>
      </c>
      <c r="N48" s="593">
        <v>2</v>
      </c>
      <c r="O48" s="595">
        <v>20939.915124272506</v>
      </c>
      <c r="P48" s="621">
        <v>523497.87810681277</v>
      </c>
      <c r="Q48" s="600">
        <f>(P48/AVERAGE($P$54:$P$55)*100)</f>
        <v>7.0520820171732055</v>
      </c>
      <c r="R48" s="600">
        <f t="shared" si="3"/>
        <v>92.947917982826795</v>
      </c>
      <c r="S48" s="596" t="s">
        <v>532</v>
      </c>
      <c r="T48" t="s">
        <v>402</v>
      </c>
      <c r="U48">
        <v>87170</v>
      </c>
      <c r="V48">
        <v>939210</v>
      </c>
      <c r="W48" s="767">
        <v>9.2812044164776779</v>
      </c>
    </row>
    <row r="49" spans="1:23" x14ac:dyDescent="0.3">
      <c r="A49" s="670">
        <v>45324</v>
      </c>
      <c r="B49" s="617">
        <v>406</v>
      </c>
      <c r="C49" s="618" t="s">
        <v>552</v>
      </c>
      <c r="D49" s="589" t="s">
        <v>560</v>
      </c>
      <c r="E49" s="619" t="s">
        <v>403</v>
      </c>
      <c r="F49" s="660" t="s">
        <v>551</v>
      </c>
      <c r="G49" s="589" t="s">
        <v>531</v>
      </c>
      <c r="H49" s="589" t="s">
        <v>535</v>
      </c>
      <c r="I49" s="589" t="s">
        <v>531</v>
      </c>
      <c r="J49" s="589" t="s">
        <v>573</v>
      </c>
      <c r="K49" s="671">
        <v>0</v>
      </c>
      <c r="L49" s="595">
        <v>5.0091828285767663</v>
      </c>
      <c r="M49" s="593">
        <v>50</v>
      </c>
      <c r="N49" s="593">
        <v>2</v>
      </c>
      <c r="O49" s="595">
        <v>4.688702429792353</v>
      </c>
      <c r="P49" s="621">
        <v>117.21756074480882</v>
      </c>
      <c r="Q49" s="582" t="s">
        <v>0</v>
      </c>
      <c r="R49" s="669" t="s">
        <v>0</v>
      </c>
      <c r="S49" s="596" t="s">
        <v>532</v>
      </c>
      <c r="T49" t="e">
        <v>#N/A</v>
      </c>
      <c r="U49" t="e">
        <v>#N/A</v>
      </c>
      <c r="V49" t="e">
        <v>#N/A</v>
      </c>
      <c r="W49" s="749" t="e">
        <v>#N/A</v>
      </c>
    </row>
    <row r="50" spans="1:23" x14ac:dyDescent="0.3">
      <c r="A50" s="670">
        <v>45324</v>
      </c>
      <c r="B50" s="617">
        <v>407</v>
      </c>
      <c r="C50" s="618" t="s">
        <v>552</v>
      </c>
      <c r="D50" s="589" t="s">
        <v>560</v>
      </c>
      <c r="E50" s="619" t="s">
        <v>404</v>
      </c>
      <c r="F50" s="660" t="s">
        <v>551</v>
      </c>
      <c r="G50" s="589" t="s">
        <v>532</v>
      </c>
      <c r="H50" s="589" t="s">
        <v>608</v>
      </c>
      <c r="I50" s="589" t="s">
        <v>531</v>
      </c>
      <c r="J50" s="589" t="s">
        <v>573</v>
      </c>
      <c r="K50" s="599">
        <v>200000</v>
      </c>
      <c r="L50" s="595">
        <v>34436.009426531498</v>
      </c>
      <c r="M50" s="593">
        <v>50</v>
      </c>
      <c r="N50" s="593">
        <v>2</v>
      </c>
      <c r="O50" s="595">
        <v>32232.842480697691</v>
      </c>
      <c r="P50" s="621">
        <v>805821.06201744231</v>
      </c>
      <c r="Q50" s="600">
        <f>(P50/AVERAGE($P$54:$P$55)*100)</f>
        <v>10.855280332871068</v>
      </c>
      <c r="R50" s="600">
        <f t="shared" si="3"/>
        <v>89.144719667128925</v>
      </c>
      <c r="S50" s="596" t="s">
        <v>532</v>
      </c>
      <c r="T50" t="s">
        <v>404</v>
      </c>
      <c r="U50">
        <v>196390</v>
      </c>
      <c r="V50">
        <v>939210</v>
      </c>
      <c r="W50" s="767">
        <v>20.910126595756008</v>
      </c>
    </row>
    <row r="51" spans="1:23" x14ac:dyDescent="0.3">
      <c r="A51" s="670">
        <v>45324</v>
      </c>
      <c r="B51" s="617">
        <v>408</v>
      </c>
      <c r="C51" s="618" t="s">
        <v>552</v>
      </c>
      <c r="D51" s="589" t="s">
        <v>560</v>
      </c>
      <c r="E51" s="619" t="s">
        <v>405</v>
      </c>
      <c r="F51" s="660" t="s">
        <v>551</v>
      </c>
      <c r="G51" s="589" t="s">
        <v>532</v>
      </c>
      <c r="H51" s="589" t="s">
        <v>608</v>
      </c>
      <c r="I51" s="589" t="s">
        <v>531</v>
      </c>
      <c r="J51" s="589" t="s">
        <v>574</v>
      </c>
      <c r="K51" s="599">
        <v>200000</v>
      </c>
      <c r="L51" s="595">
        <v>98715.880542528525</v>
      </c>
      <c r="M51" s="593">
        <v>50</v>
      </c>
      <c r="N51" s="593">
        <v>2</v>
      </c>
      <c r="O51" s="595">
        <v>92400.178791308397</v>
      </c>
      <c r="P51" s="621">
        <v>2310004.4697827101</v>
      </c>
      <c r="Q51" s="600">
        <f>(P51/AVERAGE($P$54:$P$55)*100)</f>
        <v>31.118255989607945</v>
      </c>
      <c r="R51" s="600">
        <f t="shared" si="3"/>
        <v>68.881744010392055</v>
      </c>
      <c r="S51" s="596" t="s">
        <v>532</v>
      </c>
      <c r="T51" t="s">
        <v>405</v>
      </c>
      <c r="U51">
        <v>447300</v>
      </c>
      <c r="V51">
        <v>939210</v>
      </c>
      <c r="W51" s="767">
        <v>47.625131759670367</v>
      </c>
    </row>
    <row r="52" spans="1:23" x14ac:dyDescent="0.3">
      <c r="A52" s="670">
        <v>45324</v>
      </c>
      <c r="B52" s="617">
        <v>409</v>
      </c>
      <c r="C52" s="618" t="s">
        <v>552</v>
      </c>
      <c r="D52" s="589" t="s">
        <v>560</v>
      </c>
      <c r="E52" s="619" t="s">
        <v>406</v>
      </c>
      <c r="F52" s="660" t="s">
        <v>551</v>
      </c>
      <c r="G52" s="589" t="s">
        <v>532</v>
      </c>
      <c r="H52" s="589" t="s">
        <v>608</v>
      </c>
      <c r="I52" s="589" t="s">
        <v>531</v>
      </c>
      <c r="J52" s="589" t="s">
        <v>503</v>
      </c>
      <c r="K52" s="599">
        <v>200000</v>
      </c>
      <c r="L52" s="595">
        <v>94306.411773759392</v>
      </c>
      <c r="M52" s="593">
        <v>50</v>
      </c>
      <c r="N52" s="593">
        <v>2</v>
      </c>
      <c r="O52" s="595">
        <v>88272.821568035419</v>
      </c>
      <c r="P52" s="621">
        <v>2206820.5392008852</v>
      </c>
      <c r="Q52" s="600">
        <f>(P52/AVERAGE($P$54:$P$55)*100)</f>
        <v>29.728256962393424</v>
      </c>
      <c r="R52" s="600">
        <f t="shared" si="3"/>
        <v>70.271743037606569</v>
      </c>
      <c r="S52" s="596" t="s">
        <v>532</v>
      </c>
      <c r="T52" t="s">
        <v>406</v>
      </c>
      <c r="U52">
        <v>901429.99999999988</v>
      </c>
      <c r="V52">
        <v>939210</v>
      </c>
      <c r="W52" s="767">
        <v>95.977470427273971</v>
      </c>
    </row>
    <row r="53" spans="1:23" x14ac:dyDescent="0.3">
      <c r="A53" s="670">
        <v>45324</v>
      </c>
      <c r="B53" s="617">
        <v>410</v>
      </c>
      <c r="C53" s="618" t="s">
        <v>552</v>
      </c>
      <c r="D53" s="589" t="s">
        <v>560</v>
      </c>
      <c r="E53" s="619" t="s">
        <v>407</v>
      </c>
      <c r="F53" s="660" t="s">
        <v>551</v>
      </c>
      <c r="G53" s="589" t="s">
        <v>532</v>
      </c>
      <c r="H53" s="589" t="s">
        <v>608</v>
      </c>
      <c r="I53" s="589" t="s">
        <v>531</v>
      </c>
      <c r="J53" s="589" t="s">
        <v>575</v>
      </c>
      <c r="K53" s="599">
        <v>200000</v>
      </c>
      <c r="L53" s="595">
        <v>204662.69365289668</v>
      </c>
      <c r="M53" s="593">
        <v>50</v>
      </c>
      <c r="N53" s="593">
        <v>2</v>
      </c>
      <c r="O53" s="595">
        <v>191568.66536069944</v>
      </c>
      <c r="P53" s="621">
        <v>4789216.6340174861</v>
      </c>
      <c r="Q53" s="600">
        <f>(P53/AVERAGE($P$54:$P$55)*100)</f>
        <v>64.515922439346312</v>
      </c>
      <c r="R53" s="600">
        <f t="shared" si="3"/>
        <v>35.484077560653688</v>
      </c>
      <c r="S53" s="596" t="s">
        <v>532</v>
      </c>
      <c r="T53" t="s">
        <v>407</v>
      </c>
      <c r="U53">
        <v>801080</v>
      </c>
      <c r="V53">
        <v>939210</v>
      </c>
      <c r="W53" s="767">
        <v>85.292958976160818</v>
      </c>
    </row>
    <row r="54" spans="1:23" x14ac:dyDescent="0.3">
      <c r="A54" s="670">
        <v>45324</v>
      </c>
      <c r="B54" s="617">
        <v>411</v>
      </c>
      <c r="C54" s="618" t="s">
        <v>552</v>
      </c>
      <c r="D54" s="589" t="s">
        <v>560</v>
      </c>
      <c r="E54" s="619" t="s">
        <v>408</v>
      </c>
      <c r="F54" s="620" t="s">
        <v>0</v>
      </c>
      <c r="G54" s="589" t="s">
        <v>531</v>
      </c>
      <c r="H54" s="733" t="s">
        <v>593</v>
      </c>
      <c r="I54" s="658" t="s">
        <v>531</v>
      </c>
      <c r="J54" s="589" t="s">
        <v>573</v>
      </c>
      <c r="K54" s="599">
        <v>200000</v>
      </c>
      <c r="L54" s="595">
        <v>412029.71329372068</v>
      </c>
      <c r="M54" s="593">
        <v>50</v>
      </c>
      <c r="N54" s="593">
        <v>2</v>
      </c>
      <c r="O54" s="595">
        <v>385668.637775757</v>
      </c>
      <c r="P54" s="621">
        <v>9641715.9443939254</v>
      </c>
      <c r="Q54" s="582" t="s">
        <v>0</v>
      </c>
      <c r="R54" s="669" t="s">
        <v>0</v>
      </c>
      <c r="S54" s="596" t="s">
        <v>532</v>
      </c>
      <c r="T54" t="s">
        <v>408</v>
      </c>
      <c r="U54">
        <v>1075200</v>
      </c>
      <c r="V54">
        <v>939210</v>
      </c>
      <c r="W54" s="767">
        <v>114.47918995751749</v>
      </c>
    </row>
    <row r="55" spans="1:23" x14ac:dyDescent="0.3">
      <c r="A55" s="670">
        <v>45324</v>
      </c>
      <c r="B55" s="617">
        <v>412</v>
      </c>
      <c r="C55" s="618" t="s">
        <v>552</v>
      </c>
      <c r="D55" s="589" t="s">
        <v>560</v>
      </c>
      <c r="E55" s="619" t="s">
        <v>409</v>
      </c>
      <c r="F55" s="620" t="s">
        <v>0</v>
      </c>
      <c r="G55" s="589" t="s">
        <v>531</v>
      </c>
      <c r="H55" s="733" t="s">
        <v>593</v>
      </c>
      <c r="I55" s="662" t="s">
        <v>532</v>
      </c>
      <c r="J55" s="650" t="s">
        <v>573</v>
      </c>
      <c r="K55" s="591">
        <v>200000</v>
      </c>
      <c r="L55" s="592">
        <v>222426.66868022445</v>
      </c>
      <c r="M55" s="593">
        <v>50</v>
      </c>
      <c r="N55" s="593">
        <v>2</v>
      </c>
      <c r="O55" s="595">
        <v>208196.12651029925</v>
      </c>
      <c r="P55" s="621">
        <v>5204903.1627574805</v>
      </c>
      <c r="Q55" s="582" t="s">
        <v>0</v>
      </c>
      <c r="R55" s="669" t="s">
        <v>0</v>
      </c>
      <c r="S55" s="596" t="s">
        <v>532</v>
      </c>
      <c r="T55" t="s">
        <v>409</v>
      </c>
      <c r="U55">
        <v>803220</v>
      </c>
      <c r="V55">
        <v>939210</v>
      </c>
      <c r="W55" s="767">
        <v>85.520810042482509</v>
      </c>
    </row>
    <row r="56" spans="1:23" x14ac:dyDescent="0.3">
      <c r="A56" s="670">
        <v>45324</v>
      </c>
      <c r="B56" s="617">
        <v>413</v>
      </c>
      <c r="C56" s="663" t="s">
        <v>596</v>
      </c>
      <c r="D56" s="589" t="s">
        <v>560</v>
      </c>
      <c r="E56" s="619" t="s">
        <v>410</v>
      </c>
      <c r="F56" s="648" t="s">
        <v>550</v>
      </c>
      <c r="G56" s="589" t="s">
        <v>531</v>
      </c>
      <c r="H56" s="589" t="s">
        <v>535</v>
      </c>
      <c r="I56" s="589" t="s">
        <v>531</v>
      </c>
      <c r="J56" s="589" t="s">
        <v>573</v>
      </c>
      <c r="K56" s="671">
        <v>0</v>
      </c>
      <c r="L56" s="672" t="s">
        <v>0</v>
      </c>
      <c r="M56" s="593">
        <v>50</v>
      </c>
      <c r="N56" s="593">
        <v>2</v>
      </c>
      <c r="O56" s="673" t="s">
        <v>0</v>
      </c>
      <c r="P56" s="674" t="s">
        <v>0</v>
      </c>
      <c r="Q56" s="582" t="s">
        <v>0</v>
      </c>
      <c r="R56" s="669" t="s">
        <v>0</v>
      </c>
      <c r="S56" s="596" t="s">
        <v>532</v>
      </c>
      <c r="T56" t="e">
        <v>#N/A</v>
      </c>
      <c r="U56" t="e">
        <v>#N/A</v>
      </c>
      <c r="V56" t="e">
        <v>#N/A</v>
      </c>
      <c r="W56" s="749" t="e">
        <v>#N/A</v>
      </c>
    </row>
    <row r="57" spans="1:23" x14ac:dyDescent="0.3">
      <c r="A57" s="670">
        <v>45324</v>
      </c>
      <c r="B57" s="617">
        <v>414</v>
      </c>
      <c r="C57" s="663" t="s">
        <v>596</v>
      </c>
      <c r="D57" s="589" t="s">
        <v>560</v>
      </c>
      <c r="E57" s="619" t="s">
        <v>411</v>
      </c>
      <c r="F57" s="648" t="s">
        <v>550</v>
      </c>
      <c r="G57" s="589" t="s">
        <v>532</v>
      </c>
      <c r="H57" s="589" t="s">
        <v>608</v>
      </c>
      <c r="I57" s="589" t="s">
        <v>531</v>
      </c>
      <c r="J57" s="589" t="s">
        <v>573</v>
      </c>
      <c r="K57" s="599">
        <v>200000</v>
      </c>
      <c r="L57" s="595">
        <v>75102.234789407899</v>
      </c>
      <c r="M57" s="593">
        <v>50</v>
      </c>
      <c r="N57" s="593">
        <v>2</v>
      </c>
      <c r="O57" s="595">
        <v>70297.300535940303</v>
      </c>
      <c r="P57" s="621">
        <v>1757432.5133985078</v>
      </c>
      <c r="Q57" s="600">
        <f>(P57/AVERAGE($P$66:$P$67)*100)</f>
        <v>15.314946586493361</v>
      </c>
      <c r="R57" s="600">
        <f t="shared" si="3"/>
        <v>84.685053413506637</v>
      </c>
      <c r="S57" s="596" t="s">
        <v>532</v>
      </c>
      <c r="T57" t="s">
        <v>411</v>
      </c>
      <c r="U57">
        <v>779550</v>
      </c>
      <c r="V57">
        <v>4250700</v>
      </c>
      <c r="W57" s="767">
        <v>18.339332345260782</v>
      </c>
    </row>
    <row r="58" spans="1:23" x14ac:dyDescent="0.3">
      <c r="A58" s="670">
        <v>45324</v>
      </c>
      <c r="B58" s="617">
        <v>415</v>
      </c>
      <c r="C58" s="663" t="s">
        <v>596</v>
      </c>
      <c r="D58" s="589" t="s">
        <v>560</v>
      </c>
      <c r="E58" s="619" t="s">
        <v>412</v>
      </c>
      <c r="F58" s="648" t="s">
        <v>550</v>
      </c>
      <c r="G58" s="589" t="s">
        <v>532</v>
      </c>
      <c r="H58" s="589" t="s">
        <v>608</v>
      </c>
      <c r="I58" s="589" t="s">
        <v>531</v>
      </c>
      <c r="J58" s="589" t="s">
        <v>574</v>
      </c>
      <c r="K58" s="599">
        <v>200000</v>
      </c>
      <c r="L58" s="595">
        <v>63401.395045216734</v>
      </c>
      <c r="M58" s="593">
        <v>50</v>
      </c>
      <c r="N58" s="593">
        <v>2</v>
      </c>
      <c r="O58" s="595">
        <v>59345.063890429905</v>
      </c>
      <c r="P58" s="621">
        <v>1483626.5972607476</v>
      </c>
      <c r="Q58" s="600">
        <f>(P58/AVERAGE($P$66:$P$67)*100)</f>
        <v>12.928895942302951</v>
      </c>
      <c r="R58" s="600">
        <f t="shared" si="3"/>
        <v>87.071104057697056</v>
      </c>
      <c r="S58" s="596" t="s">
        <v>532</v>
      </c>
      <c r="T58" t="s">
        <v>412</v>
      </c>
      <c r="U58">
        <v>195710</v>
      </c>
      <c r="V58">
        <v>4250700</v>
      </c>
      <c r="W58" s="767">
        <v>4.6041828404733334</v>
      </c>
    </row>
    <row r="59" spans="1:23" x14ac:dyDescent="0.3">
      <c r="A59" s="670">
        <v>45324</v>
      </c>
      <c r="B59" s="617">
        <v>416</v>
      </c>
      <c r="C59" s="663" t="s">
        <v>596</v>
      </c>
      <c r="D59" s="589" t="s">
        <v>560</v>
      </c>
      <c r="E59" s="619" t="s">
        <v>413</v>
      </c>
      <c r="F59" s="648" t="s">
        <v>550</v>
      </c>
      <c r="G59" s="589" t="s">
        <v>532</v>
      </c>
      <c r="H59" s="589" t="s">
        <v>608</v>
      </c>
      <c r="I59" s="589" t="s">
        <v>531</v>
      </c>
      <c r="J59" s="589" t="s">
        <v>503</v>
      </c>
      <c r="K59" s="599">
        <v>200000</v>
      </c>
      <c r="L59" s="595">
        <v>90393.682725096005</v>
      </c>
      <c r="M59" s="593">
        <v>50</v>
      </c>
      <c r="N59" s="593">
        <v>2</v>
      </c>
      <c r="O59" s="595">
        <v>84610.423363496404</v>
      </c>
      <c r="P59" s="621">
        <v>2115260.58408741</v>
      </c>
      <c r="Q59" s="600">
        <f>(P59/AVERAGE($P$66:$P$67)*100)</f>
        <v>18.433198779945219</v>
      </c>
      <c r="R59" s="600">
        <f t="shared" si="3"/>
        <v>81.566801220054785</v>
      </c>
      <c r="S59" s="596" t="s">
        <v>532</v>
      </c>
      <c r="T59" t="s">
        <v>413</v>
      </c>
      <c r="U59">
        <v>930790</v>
      </c>
      <c r="V59">
        <v>4250700</v>
      </c>
      <c r="W59" s="767">
        <v>21.897334556661256</v>
      </c>
    </row>
    <row r="60" spans="1:23" x14ac:dyDescent="0.3">
      <c r="A60" s="670">
        <v>45324</v>
      </c>
      <c r="B60" s="617">
        <v>417</v>
      </c>
      <c r="C60" s="663" t="s">
        <v>596</v>
      </c>
      <c r="D60" s="589" t="s">
        <v>560</v>
      </c>
      <c r="E60" s="619" t="s">
        <v>414</v>
      </c>
      <c r="F60" s="648" t="s">
        <v>550</v>
      </c>
      <c r="G60" s="589" t="s">
        <v>532</v>
      </c>
      <c r="H60" s="589" t="s">
        <v>608</v>
      </c>
      <c r="I60" s="589" t="s">
        <v>531</v>
      </c>
      <c r="J60" s="589" t="s">
        <v>575</v>
      </c>
      <c r="K60" s="599">
        <v>200000</v>
      </c>
      <c r="L60" s="595">
        <v>72159.866508228748</v>
      </c>
      <c r="M60" s="593">
        <v>50</v>
      </c>
      <c r="N60" s="593">
        <v>2</v>
      </c>
      <c r="O60" s="595">
        <v>67543.18079596899</v>
      </c>
      <c r="P60" s="621">
        <v>1688579.5198992249</v>
      </c>
      <c r="Q60" s="600">
        <f>(P60/AVERAGE($P$66:$P$67)*100)</f>
        <v>14.71493497311849</v>
      </c>
      <c r="R60" s="600">
        <f t="shared" si="3"/>
        <v>85.285065026881512</v>
      </c>
      <c r="S60" s="596" t="s">
        <v>532</v>
      </c>
      <c r="T60" t="s">
        <v>414</v>
      </c>
      <c r="U60">
        <v>648680</v>
      </c>
      <c r="V60">
        <v>4250700</v>
      </c>
      <c r="W60" s="767">
        <v>15.260545321946973</v>
      </c>
    </row>
    <row r="61" spans="1:23" x14ac:dyDescent="0.3">
      <c r="A61" s="670">
        <v>45324</v>
      </c>
      <c r="B61" s="617">
        <v>418</v>
      </c>
      <c r="C61" s="663" t="s">
        <v>596</v>
      </c>
      <c r="D61" s="589" t="s">
        <v>560</v>
      </c>
      <c r="E61" s="619" t="s">
        <v>415</v>
      </c>
      <c r="F61" s="660" t="s">
        <v>551</v>
      </c>
      <c r="G61" s="589" t="s">
        <v>531</v>
      </c>
      <c r="H61" s="589" t="s">
        <v>535</v>
      </c>
      <c r="I61" s="589" t="s">
        <v>531</v>
      </c>
      <c r="J61" s="589" t="s">
        <v>573</v>
      </c>
      <c r="K61" s="671">
        <v>0</v>
      </c>
      <c r="L61" s="595">
        <v>10.520848698090663</v>
      </c>
      <c r="M61" s="593">
        <v>50</v>
      </c>
      <c r="N61" s="593">
        <v>2</v>
      </c>
      <c r="O61" s="595">
        <v>9.8477397496451626</v>
      </c>
      <c r="P61" s="621">
        <v>246.193493741129</v>
      </c>
      <c r="Q61" s="582" t="s">
        <v>0</v>
      </c>
      <c r="R61" s="669" t="s">
        <v>0</v>
      </c>
      <c r="S61" s="596" t="s">
        <v>532</v>
      </c>
      <c r="T61" t="e">
        <v>#N/A</v>
      </c>
      <c r="U61" t="e">
        <v>#N/A</v>
      </c>
      <c r="V61" t="e">
        <v>#N/A</v>
      </c>
      <c r="W61" s="749" t="e">
        <v>#N/A</v>
      </c>
    </row>
    <row r="62" spans="1:23" x14ac:dyDescent="0.3">
      <c r="A62" s="670">
        <v>45324</v>
      </c>
      <c r="B62" s="617">
        <v>419</v>
      </c>
      <c r="C62" s="663" t="s">
        <v>596</v>
      </c>
      <c r="D62" s="589" t="s">
        <v>560</v>
      </c>
      <c r="E62" s="619" t="s">
        <v>416</v>
      </c>
      <c r="F62" s="660" t="s">
        <v>551</v>
      </c>
      <c r="G62" s="589" t="s">
        <v>532</v>
      </c>
      <c r="H62" s="589" t="s">
        <v>608</v>
      </c>
      <c r="I62" s="589" t="s">
        <v>531</v>
      </c>
      <c r="J62" s="589" t="s">
        <v>573</v>
      </c>
      <c r="K62" s="599">
        <v>200000</v>
      </c>
      <c r="L62" s="595">
        <v>236870.47043471484</v>
      </c>
      <c r="M62" s="593">
        <v>50</v>
      </c>
      <c r="N62" s="593">
        <v>2</v>
      </c>
      <c r="O62" s="595">
        <v>221715.83435473416</v>
      </c>
      <c r="P62" s="621">
        <v>5542895.858868354</v>
      </c>
      <c r="Q62" s="600">
        <f>(P62/AVERAGE($P$66:$P$67)*100)</f>
        <v>48.302938158863448</v>
      </c>
      <c r="R62" s="600">
        <f t="shared" si="3"/>
        <v>51.697061841136552</v>
      </c>
      <c r="S62" s="596" t="s">
        <v>532</v>
      </c>
      <c r="T62" t="s">
        <v>416</v>
      </c>
      <c r="U62">
        <v>3468000</v>
      </c>
      <c r="V62">
        <v>4250700</v>
      </c>
      <c r="W62" s="767">
        <v>81.586562213282519</v>
      </c>
    </row>
    <row r="63" spans="1:23" x14ac:dyDescent="0.3">
      <c r="A63" s="670">
        <v>45324</v>
      </c>
      <c r="B63" s="617">
        <v>420</v>
      </c>
      <c r="C63" s="663" t="s">
        <v>596</v>
      </c>
      <c r="D63" s="589" t="s">
        <v>560</v>
      </c>
      <c r="E63" s="619" t="s">
        <v>417</v>
      </c>
      <c r="F63" s="660" t="s">
        <v>551</v>
      </c>
      <c r="G63" s="589" t="s">
        <v>532</v>
      </c>
      <c r="H63" s="589" t="s">
        <v>608</v>
      </c>
      <c r="I63" s="589" t="s">
        <v>531</v>
      </c>
      <c r="J63" s="589" t="s">
        <v>574</v>
      </c>
      <c r="K63" s="599">
        <v>200000</v>
      </c>
      <c r="L63" s="595">
        <v>191142.82323683467</v>
      </c>
      <c r="M63" s="593">
        <v>50</v>
      </c>
      <c r="N63" s="593">
        <v>2</v>
      </c>
      <c r="O63" s="595">
        <v>178913.77704066609</v>
      </c>
      <c r="P63" s="621">
        <v>4472844.426016653</v>
      </c>
      <c r="Q63" s="600">
        <f>(P63/AVERAGE($P$66:$P$67)*100)</f>
        <v>38.978096144171268</v>
      </c>
      <c r="R63" s="600">
        <f t="shared" si="3"/>
        <v>61.021903855828732</v>
      </c>
      <c r="S63" s="596" t="s">
        <v>532</v>
      </c>
      <c r="T63" t="s">
        <v>417</v>
      </c>
      <c r="U63">
        <v>1115700</v>
      </c>
      <c r="V63">
        <v>4250700</v>
      </c>
      <c r="W63" s="767">
        <v>26.247441597854472</v>
      </c>
    </row>
    <row r="64" spans="1:23" x14ac:dyDescent="0.3">
      <c r="A64" s="670">
        <v>45324</v>
      </c>
      <c r="B64" s="617">
        <v>421</v>
      </c>
      <c r="C64" s="663" t="s">
        <v>596</v>
      </c>
      <c r="D64" s="589" t="s">
        <v>560</v>
      </c>
      <c r="E64" s="619" t="s">
        <v>418</v>
      </c>
      <c r="F64" s="660" t="s">
        <v>551</v>
      </c>
      <c r="G64" s="589" t="s">
        <v>532</v>
      </c>
      <c r="H64" s="589" t="s">
        <v>608</v>
      </c>
      <c r="I64" s="589" t="s">
        <v>531</v>
      </c>
      <c r="J64" s="589" t="s">
        <v>503</v>
      </c>
      <c r="K64" s="599">
        <v>200000</v>
      </c>
      <c r="L64" s="595">
        <v>308082.98435002379</v>
      </c>
      <c r="M64" s="593">
        <v>50</v>
      </c>
      <c r="N64" s="593">
        <v>2</v>
      </c>
      <c r="O64" s="595">
        <v>288372.27283038839</v>
      </c>
      <c r="P64" s="621">
        <v>7209306.8207597099</v>
      </c>
      <c r="Q64" s="600">
        <f>(P64/AVERAGE($P$66:$P$67)*100)</f>
        <v>62.824687744092678</v>
      </c>
      <c r="R64" s="600">
        <f t="shared" si="3"/>
        <v>37.175312255907322</v>
      </c>
      <c r="S64" s="596" t="s">
        <v>532</v>
      </c>
      <c r="T64" t="s">
        <v>418</v>
      </c>
      <c r="U64">
        <v>3127200</v>
      </c>
      <c r="V64">
        <v>4250700</v>
      </c>
      <c r="W64" s="767">
        <v>73.569059213776555</v>
      </c>
    </row>
    <row r="65" spans="1:23" x14ac:dyDescent="0.3">
      <c r="A65" s="670">
        <v>45324</v>
      </c>
      <c r="B65" s="617">
        <v>422</v>
      </c>
      <c r="C65" s="663" t="s">
        <v>596</v>
      </c>
      <c r="D65" s="589" t="s">
        <v>560</v>
      </c>
      <c r="E65" s="619" t="s">
        <v>419</v>
      </c>
      <c r="F65" s="660" t="s">
        <v>551</v>
      </c>
      <c r="G65" s="589" t="s">
        <v>532</v>
      </c>
      <c r="H65" s="589" t="s">
        <v>608</v>
      </c>
      <c r="I65" s="589" t="s">
        <v>531</v>
      </c>
      <c r="J65" s="589" t="s">
        <v>575</v>
      </c>
      <c r="K65" s="599">
        <v>200000</v>
      </c>
      <c r="L65" s="595">
        <v>165853.11829489961</v>
      </c>
      <c r="M65" s="593">
        <v>50</v>
      </c>
      <c r="N65" s="593">
        <v>2</v>
      </c>
      <c r="O65" s="595">
        <v>155242.07148152351</v>
      </c>
      <c r="P65" s="621">
        <v>3881051.7870380874</v>
      </c>
      <c r="Q65" s="600">
        <f>(P65/AVERAGE($P$66:$P$67)*100)</f>
        <v>33.820986219813371</v>
      </c>
      <c r="R65" s="600">
        <f t="shared" si="3"/>
        <v>66.179013780186636</v>
      </c>
      <c r="S65" s="596" t="s">
        <v>532</v>
      </c>
      <c r="T65" t="s">
        <v>419</v>
      </c>
      <c r="U65">
        <v>760730</v>
      </c>
      <c r="V65">
        <v>4250700</v>
      </c>
      <c r="W65" s="767">
        <v>17.896581739478204</v>
      </c>
    </row>
    <row r="66" spans="1:23" x14ac:dyDescent="0.3">
      <c r="A66" s="670">
        <v>45324</v>
      </c>
      <c r="B66" s="617">
        <v>423</v>
      </c>
      <c r="C66" s="663" t="s">
        <v>596</v>
      </c>
      <c r="D66" s="589" t="s">
        <v>560</v>
      </c>
      <c r="E66" s="619" t="s">
        <v>420</v>
      </c>
      <c r="F66" s="620" t="s">
        <v>0</v>
      </c>
      <c r="G66" s="589" t="s">
        <v>531</v>
      </c>
      <c r="H66" s="733" t="s">
        <v>593</v>
      </c>
      <c r="I66" s="658" t="s">
        <v>531</v>
      </c>
      <c r="J66" s="589" t="s">
        <v>573</v>
      </c>
      <c r="K66" s="599">
        <v>200000</v>
      </c>
      <c r="L66" s="595">
        <v>591237.6853993577</v>
      </c>
      <c r="M66" s="593">
        <v>50</v>
      </c>
      <c r="N66" s="593">
        <v>2</v>
      </c>
      <c r="O66" s="595">
        <v>553411.1384998915</v>
      </c>
      <c r="P66" s="621">
        <v>13835278.462497286</v>
      </c>
      <c r="Q66" s="582" t="s">
        <v>0</v>
      </c>
      <c r="R66" s="669" t="s">
        <v>0</v>
      </c>
      <c r="S66" s="596" t="s">
        <v>532</v>
      </c>
      <c r="T66" t="s">
        <v>420</v>
      </c>
      <c r="U66">
        <v>4107300</v>
      </c>
      <c r="V66">
        <v>4250700</v>
      </c>
      <c r="W66" s="749">
        <v>96.626437998447315</v>
      </c>
    </row>
    <row r="67" spans="1:23" ht="16.2" thickBot="1" x14ac:dyDescent="0.35">
      <c r="A67" s="675">
        <v>45324</v>
      </c>
      <c r="B67" s="623">
        <v>424</v>
      </c>
      <c r="C67" s="664" t="s">
        <v>596</v>
      </c>
      <c r="D67" s="625" t="s">
        <v>560</v>
      </c>
      <c r="E67" s="626" t="s">
        <v>421</v>
      </c>
      <c r="F67" s="627" t="s">
        <v>0</v>
      </c>
      <c r="G67" s="625" t="s">
        <v>531</v>
      </c>
      <c r="H67" s="734" t="s">
        <v>593</v>
      </c>
      <c r="I67" s="666" t="s">
        <v>532</v>
      </c>
      <c r="J67" s="628" t="s">
        <v>573</v>
      </c>
      <c r="K67" s="629">
        <v>200000</v>
      </c>
      <c r="L67" s="630">
        <v>389532.75823565258</v>
      </c>
      <c r="M67" s="631">
        <v>50</v>
      </c>
      <c r="N67" s="631">
        <v>2</v>
      </c>
      <c r="O67" s="632">
        <v>364611.0059317096</v>
      </c>
      <c r="P67" s="633">
        <v>9115275.1482927389</v>
      </c>
      <c r="Q67" s="634" t="s">
        <v>0</v>
      </c>
      <c r="R67" s="634" t="s">
        <v>0</v>
      </c>
      <c r="S67" s="676" t="s">
        <v>532</v>
      </c>
      <c r="T67" t="s">
        <v>421</v>
      </c>
      <c r="U67">
        <v>4394100</v>
      </c>
      <c r="V67">
        <v>4250700</v>
      </c>
      <c r="W67" s="749">
        <v>103.37356200155267</v>
      </c>
    </row>
    <row r="69" spans="1:23" x14ac:dyDescent="0.3">
      <c r="H69" s="678"/>
      <c r="O69" s="681"/>
      <c r="P69" s="580"/>
    </row>
    <row r="70" spans="1:23" ht="16.05" customHeight="1" x14ac:dyDescent="0.3">
      <c r="H70" s="678"/>
      <c r="O70" s="681"/>
    </row>
    <row r="71" spans="1:23" x14ac:dyDescent="0.3">
      <c r="H71" s="678"/>
      <c r="O71" s="681"/>
      <c r="R71" s="682"/>
    </row>
    <row r="72" spans="1:23" x14ac:dyDescent="0.3">
      <c r="H72" s="678"/>
      <c r="O72" s="681"/>
    </row>
    <row r="73" spans="1:23" ht="16.2" thickBot="1" x14ac:dyDescent="0.35">
      <c r="C73" s="684"/>
      <c r="D73" s="684"/>
      <c r="E73" s="684" t="s">
        <v>764</v>
      </c>
      <c r="F73" s="684" t="s">
        <v>765</v>
      </c>
      <c r="O73" s="679"/>
    </row>
    <row r="74" spans="1:23" ht="16.05" customHeight="1" x14ac:dyDescent="0.3">
      <c r="C74" s="808" t="s">
        <v>766</v>
      </c>
      <c r="D74" s="685" t="s">
        <v>767</v>
      </c>
      <c r="E74" s="686">
        <v>19.5083480204819</v>
      </c>
      <c r="F74" s="687">
        <v>80.491651979518053</v>
      </c>
      <c r="O74" s="679"/>
    </row>
    <row r="75" spans="1:23" ht="16.2" thickBot="1" x14ac:dyDescent="0.35">
      <c r="C75" s="809"/>
      <c r="D75" s="688" t="s">
        <v>768</v>
      </c>
      <c r="E75" s="689">
        <v>29.45585406489128</v>
      </c>
      <c r="F75" s="690">
        <v>70.544145935108716</v>
      </c>
      <c r="O75" s="679"/>
    </row>
    <row r="76" spans="1:23" x14ac:dyDescent="0.3">
      <c r="C76" s="810" t="s">
        <v>769</v>
      </c>
      <c r="D76" s="691" t="s">
        <v>767</v>
      </c>
      <c r="E76" s="692">
        <v>18.228239112784415</v>
      </c>
      <c r="F76" s="693">
        <v>81.771760887215592</v>
      </c>
      <c r="H76" s="580" t="s">
        <v>770</v>
      </c>
      <c r="O76" s="681"/>
    </row>
    <row r="77" spans="1:23" ht="16.2" thickBot="1" x14ac:dyDescent="0.35">
      <c r="C77" s="811"/>
      <c r="D77" s="694" t="s">
        <v>768</v>
      </c>
      <c r="E77" s="695">
        <v>34.177517779703827</v>
      </c>
      <c r="F77" s="696">
        <v>65.82248222029618</v>
      </c>
      <c r="H77" s="580" t="s">
        <v>771</v>
      </c>
      <c r="O77" s="681"/>
    </row>
    <row r="78" spans="1:23" s="679" customFormat="1" x14ac:dyDescent="0.3">
      <c r="A78" s="580"/>
      <c r="B78" s="677"/>
      <c r="C78" s="580"/>
      <c r="D78" s="580"/>
      <c r="E78" s="580"/>
      <c r="F78" s="580"/>
      <c r="G78" s="580"/>
      <c r="H78" s="580"/>
      <c r="I78" s="580"/>
      <c r="J78" s="580"/>
      <c r="M78" s="680"/>
      <c r="N78" s="680"/>
      <c r="O78" s="681"/>
      <c r="Q78" s="682"/>
      <c r="R78" s="683"/>
      <c r="S78" s="683"/>
      <c r="T78" s="580"/>
    </row>
    <row r="79" spans="1:23" s="679" customFormat="1" x14ac:dyDescent="0.3">
      <c r="A79" s="580"/>
      <c r="B79" s="677"/>
      <c r="C79" s="580"/>
      <c r="D79" s="580"/>
      <c r="E79" s="580"/>
      <c r="F79" s="580"/>
      <c r="G79" s="580"/>
      <c r="H79" s="580"/>
      <c r="I79" s="580"/>
      <c r="J79" s="580"/>
      <c r="M79" s="680"/>
      <c r="N79" s="680"/>
      <c r="O79" s="681"/>
      <c r="Q79" s="682"/>
      <c r="R79" s="683"/>
      <c r="S79" s="683"/>
      <c r="T79" s="580"/>
    </row>
    <row r="80" spans="1:23" s="679" customFormat="1" x14ac:dyDescent="0.3">
      <c r="A80" s="580"/>
      <c r="B80" s="677"/>
      <c r="C80" s="580"/>
      <c r="D80" s="580"/>
      <c r="E80" s="580"/>
      <c r="F80" s="580"/>
      <c r="G80" s="580"/>
      <c r="H80" s="580"/>
      <c r="I80" s="580"/>
      <c r="J80" s="580"/>
      <c r="M80" s="680"/>
      <c r="N80" s="680"/>
      <c r="O80" s="681"/>
      <c r="Q80" s="682"/>
      <c r="R80" s="683"/>
      <c r="S80" s="683"/>
      <c r="T80" s="580"/>
    </row>
    <row r="81" spans="1:20" s="679" customFormat="1" x14ac:dyDescent="0.3">
      <c r="A81" s="580"/>
      <c r="B81" s="677"/>
      <c r="C81" s="580"/>
      <c r="D81" s="580"/>
      <c r="E81" s="580"/>
      <c r="F81" s="580"/>
      <c r="G81" s="580"/>
      <c r="H81" s="580"/>
      <c r="I81" s="580"/>
      <c r="J81" s="580"/>
      <c r="M81" s="680"/>
      <c r="N81" s="680"/>
      <c r="O81" s="681"/>
      <c r="Q81" s="682"/>
      <c r="R81" s="683"/>
      <c r="S81" s="683"/>
      <c r="T81" s="580"/>
    </row>
    <row r="82" spans="1:20" s="679" customFormat="1" ht="16.05" customHeight="1" x14ac:dyDescent="0.3">
      <c r="A82" s="580"/>
      <c r="B82" s="677"/>
      <c r="C82" s="580"/>
      <c r="D82" s="580"/>
      <c r="E82" s="580"/>
      <c r="F82" s="580"/>
      <c r="G82" s="580"/>
      <c r="H82" s="580"/>
      <c r="I82" s="580"/>
      <c r="J82" s="580"/>
      <c r="M82" s="680"/>
      <c r="N82" s="680"/>
      <c r="O82" s="681"/>
      <c r="Q82" s="682"/>
      <c r="R82" s="683"/>
      <c r="S82" s="683"/>
      <c r="T82" s="580"/>
    </row>
    <row r="83" spans="1:20" s="679" customFormat="1" x14ac:dyDescent="0.3">
      <c r="A83" s="580"/>
      <c r="B83" s="677"/>
      <c r="C83" s="580"/>
      <c r="D83" s="580"/>
      <c r="E83" s="580"/>
      <c r="F83" s="580"/>
      <c r="G83" s="580"/>
      <c r="H83" s="580"/>
      <c r="I83" s="580"/>
      <c r="J83" s="580"/>
      <c r="M83" s="680"/>
      <c r="N83" s="680"/>
      <c r="O83" s="681"/>
      <c r="Q83" s="682"/>
      <c r="R83" s="683"/>
      <c r="S83" s="683"/>
      <c r="T83" s="580"/>
    </row>
    <row r="84" spans="1:20" s="679" customFormat="1" x14ac:dyDescent="0.3">
      <c r="A84" s="580"/>
      <c r="B84" s="677"/>
      <c r="C84" s="580"/>
      <c r="D84" s="580"/>
      <c r="E84" s="580"/>
      <c r="F84" s="580"/>
      <c r="G84" s="580"/>
      <c r="H84" s="580"/>
      <c r="I84" s="580"/>
      <c r="J84" s="580"/>
      <c r="M84" s="680"/>
      <c r="N84" s="680"/>
      <c r="O84" s="681"/>
      <c r="Q84" s="682"/>
      <c r="R84" s="683"/>
      <c r="S84" s="683"/>
      <c r="T84" s="580"/>
    </row>
    <row r="85" spans="1:20" s="679" customFormat="1" x14ac:dyDescent="0.3">
      <c r="A85" s="580"/>
      <c r="B85" s="677"/>
      <c r="C85" s="580"/>
      <c r="D85" s="580"/>
      <c r="E85" s="580"/>
      <c r="F85" s="580"/>
      <c r="G85" s="580"/>
      <c r="H85" s="580"/>
      <c r="I85" s="580"/>
      <c r="J85" s="580"/>
      <c r="M85" s="680"/>
      <c r="N85" s="680"/>
      <c r="O85" s="681"/>
      <c r="Q85" s="682"/>
      <c r="R85" s="683"/>
      <c r="S85" s="683"/>
      <c r="T85" s="580"/>
    </row>
    <row r="86" spans="1:20" s="679" customFormat="1" x14ac:dyDescent="0.3">
      <c r="A86" s="580"/>
      <c r="B86" s="677"/>
      <c r="C86" s="580"/>
      <c r="D86" s="580"/>
      <c r="E86" s="580"/>
      <c r="F86" s="580"/>
      <c r="G86" s="580"/>
      <c r="H86" s="580"/>
      <c r="I86" s="580"/>
      <c r="J86" s="580"/>
      <c r="M86" s="680"/>
      <c r="N86" s="680"/>
      <c r="O86" s="681"/>
      <c r="Q86" s="682"/>
      <c r="R86" s="683"/>
      <c r="S86" s="683"/>
      <c r="T86" s="580"/>
    </row>
    <row r="87" spans="1:20" s="679" customFormat="1" ht="16.05" customHeight="1" x14ac:dyDescent="0.3">
      <c r="A87" s="580"/>
      <c r="B87" s="677"/>
      <c r="C87" s="580"/>
      <c r="D87" s="580"/>
      <c r="E87" s="580"/>
      <c r="F87" s="580"/>
      <c r="G87" s="580"/>
      <c r="H87" s="580"/>
      <c r="I87" s="580"/>
      <c r="J87" s="580"/>
      <c r="M87" s="680"/>
      <c r="N87" s="680"/>
      <c r="O87" s="681"/>
      <c r="Q87" s="682"/>
      <c r="R87" s="683"/>
      <c r="S87" s="683"/>
      <c r="T87" s="580"/>
    </row>
    <row r="88" spans="1:20" s="679" customFormat="1" x14ac:dyDescent="0.3">
      <c r="A88" s="580"/>
      <c r="B88" s="677"/>
      <c r="C88" s="580"/>
      <c r="D88" s="580"/>
      <c r="E88" s="580"/>
      <c r="F88" s="580"/>
      <c r="G88" s="580"/>
      <c r="H88" s="580"/>
      <c r="I88" s="580"/>
      <c r="J88" s="580"/>
      <c r="M88" s="680"/>
      <c r="N88" s="680"/>
      <c r="O88" s="681"/>
      <c r="Q88" s="682"/>
      <c r="R88" s="683"/>
      <c r="S88" s="683"/>
      <c r="T88" s="580"/>
    </row>
    <row r="89" spans="1:20" s="679" customFormat="1" x14ac:dyDescent="0.3">
      <c r="A89" s="580"/>
      <c r="B89" s="677"/>
      <c r="C89" s="580"/>
      <c r="D89" s="580"/>
      <c r="E89" s="580"/>
      <c r="F89" s="580"/>
      <c r="G89" s="580"/>
      <c r="H89" s="580"/>
      <c r="I89" s="580"/>
      <c r="J89" s="580"/>
      <c r="M89" s="680"/>
      <c r="N89" s="680"/>
      <c r="O89" s="681"/>
      <c r="Q89" s="682"/>
      <c r="R89" s="683"/>
      <c r="S89" s="683"/>
      <c r="T89" s="580"/>
    </row>
    <row r="90" spans="1:20" s="679" customFormat="1" x14ac:dyDescent="0.3">
      <c r="A90" s="580"/>
      <c r="B90" s="677"/>
      <c r="C90" s="580"/>
      <c r="D90" s="580"/>
      <c r="E90" s="580"/>
      <c r="F90" s="580"/>
      <c r="G90" s="580"/>
      <c r="H90" s="580"/>
      <c r="I90" s="580"/>
      <c r="J90" s="580"/>
      <c r="M90" s="680"/>
      <c r="N90" s="680"/>
      <c r="O90" s="681"/>
      <c r="Q90" s="682"/>
      <c r="R90" s="683"/>
      <c r="S90" s="683"/>
      <c r="T90" s="580"/>
    </row>
    <row r="91" spans="1:20" s="679" customFormat="1" ht="16.05" customHeight="1" x14ac:dyDescent="0.3">
      <c r="A91" s="580"/>
      <c r="B91" s="677"/>
      <c r="C91" s="580"/>
      <c r="D91" s="580"/>
      <c r="E91" s="580"/>
      <c r="F91" s="580"/>
      <c r="G91" s="580"/>
      <c r="H91" s="580"/>
      <c r="I91" s="580"/>
      <c r="J91" s="580"/>
      <c r="M91" s="680"/>
      <c r="N91" s="680"/>
      <c r="O91" s="681"/>
      <c r="Q91" s="682"/>
      <c r="R91" s="683"/>
      <c r="S91" s="683"/>
      <c r="T91" s="580"/>
    </row>
    <row r="92" spans="1:20" s="679" customFormat="1" x14ac:dyDescent="0.3">
      <c r="A92" s="580"/>
      <c r="B92" s="677"/>
      <c r="C92" s="580"/>
      <c r="D92" s="580"/>
      <c r="E92" s="580"/>
      <c r="F92" s="580"/>
      <c r="G92" s="580"/>
      <c r="H92" s="580"/>
      <c r="I92" s="580"/>
      <c r="J92" s="580"/>
      <c r="M92" s="680"/>
      <c r="N92" s="680"/>
      <c r="O92" s="681"/>
      <c r="Q92" s="682"/>
      <c r="R92" s="683"/>
      <c r="S92" s="683"/>
      <c r="T92" s="580"/>
    </row>
    <row r="93" spans="1:20" s="679" customFormat="1" x14ac:dyDescent="0.3">
      <c r="A93" s="580"/>
      <c r="B93" s="677"/>
      <c r="C93" s="580"/>
      <c r="D93" s="580"/>
      <c r="E93" s="580"/>
      <c r="F93" s="580"/>
      <c r="G93" s="580"/>
      <c r="H93" s="580"/>
      <c r="I93" s="580"/>
      <c r="J93" s="580"/>
      <c r="M93" s="680"/>
      <c r="N93" s="680"/>
      <c r="O93" s="681"/>
      <c r="Q93" s="682"/>
      <c r="R93" s="683"/>
      <c r="S93" s="683"/>
      <c r="T93" s="580"/>
    </row>
    <row r="94" spans="1:20" s="679" customFormat="1" x14ac:dyDescent="0.3">
      <c r="A94" s="580"/>
      <c r="B94" s="677"/>
      <c r="C94" s="580"/>
      <c r="D94" s="580"/>
      <c r="E94" s="580"/>
      <c r="F94" s="580"/>
      <c r="G94" s="580"/>
      <c r="H94" s="580"/>
      <c r="I94" s="580"/>
      <c r="J94" s="580"/>
      <c r="M94" s="680"/>
      <c r="N94" s="680"/>
      <c r="O94" s="681"/>
      <c r="Q94" s="682"/>
      <c r="R94" s="683"/>
      <c r="S94" s="683"/>
      <c r="T94" s="580"/>
    </row>
    <row r="95" spans="1:20" s="679" customFormat="1" x14ac:dyDescent="0.3">
      <c r="A95" s="580"/>
      <c r="B95" s="677"/>
      <c r="C95" s="580"/>
      <c r="D95" s="580"/>
      <c r="E95" s="580"/>
      <c r="F95" s="580"/>
      <c r="G95" s="580"/>
      <c r="H95" s="580"/>
      <c r="I95" s="580"/>
      <c r="J95" s="580"/>
      <c r="M95" s="680"/>
      <c r="N95" s="680"/>
      <c r="O95" s="681"/>
      <c r="Q95" s="682"/>
      <c r="R95" s="683"/>
      <c r="S95" s="683"/>
      <c r="T95" s="580"/>
    </row>
    <row r="96" spans="1:20" s="679" customFormat="1" x14ac:dyDescent="0.3">
      <c r="A96" s="580"/>
      <c r="B96" s="677"/>
      <c r="C96" s="580"/>
      <c r="D96" s="580"/>
      <c r="E96" s="580"/>
      <c r="F96" s="580"/>
      <c r="G96" s="580"/>
      <c r="H96" s="580"/>
      <c r="I96" s="580"/>
      <c r="J96" s="580"/>
      <c r="M96" s="680"/>
      <c r="N96" s="680"/>
      <c r="O96" s="681"/>
      <c r="Q96" s="682"/>
      <c r="R96" s="683"/>
      <c r="S96" s="683"/>
      <c r="T96" s="580"/>
    </row>
    <row r="97" spans="1:20" s="679" customFormat="1" x14ac:dyDescent="0.3">
      <c r="A97" s="580"/>
      <c r="B97" s="677"/>
      <c r="C97" s="580"/>
      <c r="D97" s="580"/>
      <c r="E97" s="580"/>
      <c r="F97" s="580"/>
      <c r="G97" s="580"/>
      <c r="H97" s="580"/>
      <c r="I97" s="580"/>
      <c r="J97" s="580"/>
      <c r="M97" s="680"/>
      <c r="N97" s="680"/>
      <c r="O97" s="681"/>
      <c r="Q97" s="682"/>
      <c r="R97" s="683"/>
      <c r="S97" s="683"/>
      <c r="T97" s="580"/>
    </row>
    <row r="98" spans="1:20" s="679" customFormat="1" x14ac:dyDescent="0.3">
      <c r="A98" s="580"/>
      <c r="B98" s="677"/>
      <c r="C98" s="580"/>
      <c r="D98" s="580"/>
      <c r="E98" s="580"/>
      <c r="F98" s="580"/>
      <c r="G98" s="580"/>
      <c r="H98" s="580"/>
      <c r="I98" s="580"/>
      <c r="J98" s="580"/>
      <c r="M98" s="680"/>
      <c r="N98" s="680"/>
      <c r="O98" s="681"/>
      <c r="Q98" s="682"/>
      <c r="R98" s="683"/>
      <c r="S98" s="683"/>
      <c r="T98" s="580"/>
    </row>
    <row r="99" spans="1:20" s="679" customFormat="1" x14ac:dyDescent="0.3">
      <c r="A99" s="580"/>
      <c r="B99" s="677"/>
      <c r="C99" s="580"/>
      <c r="D99" s="580"/>
      <c r="E99" s="580"/>
      <c r="F99" s="580"/>
      <c r="G99" s="580"/>
      <c r="H99" s="580"/>
      <c r="I99" s="580"/>
      <c r="J99" s="580"/>
      <c r="M99" s="680"/>
      <c r="N99" s="680"/>
      <c r="O99" s="681"/>
      <c r="Q99" s="682"/>
      <c r="R99" s="683"/>
      <c r="S99" s="683"/>
      <c r="T99" s="580"/>
    </row>
    <row r="100" spans="1:20" s="679" customFormat="1" x14ac:dyDescent="0.3">
      <c r="A100" s="580"/>
      <c r="B100" s="677"/>
      <c r="C100" s="580"/>
      <c r="D100" s="580"/>
      <c r="E100" s="580"/>
      <c r="F100" s="580"/>
      <c r="G100" s="580"/>
      <c r="H100" s="580"/>
      <c r="I100" s="580"/>
      <c r="J100" s="580"/>
      <c r="M100" s="680"/>
      <c r="N100" s="680"/>
      <c r="O100" s="681"/>
      <c r="Q100" s="682"/>
      <c r="R100" s="683"/>
      <c r="S100" s="683"/>
      <c r="T100" s="580"/>
    </row>
    <row r="101" spans="1:20" s="679" customFormat="1" x14ac:dyDescent="0.3">
      <c r="A101" s="580"/>
      <c r="B101" s="677"/>
      <c r="C101" s="580"/>
      <c r="D101" s="580"/>
      <c r="E101" s="580"/>
      <c r="F101" s="580"/>
      <c r="G101" s="580"/>
      <c r="H101" s="580"/>
      <c r="I101" s="580"/>
      <c r="J101" s="580"/>
      <c r="M101" s="680"/>
      <c r="N101" s="680"/>
      <c r="O101" s="681"/>
      <c r="Q101" s="682"/>
      <c r="R101" s="683"/>
      <c r="S101" s="683"/>
      <c r="T101" s="580"/>
    </row>
    <row r="102" spans="1:20" s="679" customFormat="1" x14ac:dyDescent="0.3">
      <c r="A102" s="580"/>
      <c r="B102" s="677"/>
      <c r="C102" s="580"/>
      <c r="D102" s="580"/>
      <c r="E102" s="580"/>
      <c r="F102" s="580"/>
      <c r="G102" s="580"/>
      <c r="H102" s="580"/>
      <c r="I102" s="580"/>
      <c r="J102" s="580"/>
      <c r="M102" s="680"/>
      <c r="N102" s="680"/>
      <c r="O102" s="681"/>
      <c r="Q102" s="682"/>
      <c r="R102" s="683"/>
      <c r="S102" s="683"/>
      <c r="T102" s="580"/>
    </row>
    <row r="103" spans="1:20" s="679" customFormat="1" x14ac:dyDescent="0.3">
      <c r="A103" s="580"/>
      <c r="B103" s="677"/>
      <c r="C103" s="580"/>
      <c r="D103" s="580"/>
      <c r="E103" s="580"/>
      <c r="F103" s="580"/>
      <c r="G103" s="580"/>
      <c r="H103" s="580"/>
      <c r="I103" s="580"/>
      <c r="J103" s="580"/>
      <c r="M103" s="680"/>
      <c r="N103" s="680"/>
      <c r="O103" s="681"/>
      <c r="Q103" s="682"/>
      <c r="R103" s="683"/>
      <c r="S103" s="683"/>
      <c r="T103" s="580"/>
    </row>
    <row r="104" spans="1:20" s="679" customFormat="1" x14ac:dyDescent="0.3">
      <c r="A104" s="580"/>
      <c r="B104" s="677"/>
      <c r="C104" s="580"/>
      <c r="D104" s="580"/>
      <c r="E104" s="580"/>
      <c r="F104" s="580"/>
      <c r="G104" s="580"/>
      <c r="H104" s="580"/>
      <c r="I104" s="580"/>
      <c r="J104" s="580"/>
      <c r="M104" s="680"/>
      <c r="N104" s="680"/>
      <c r="O104" s="681"/>
      <c r="Q104" s="682"/>
      <c r="R104" s="683"/>
      <c r="S104" s="683"/>
      <c r="T104" s="580"/>
    </row>
    <row r="105" spans="1:20" s="679" customFormat="1" x14ac:dyDescent="0.3">
      <c r="A105" s="580"/>
      <c r="B105" s="677"/>
      <c r="C105" s="580"/>
      <c r="D105" s="580"/>
      <c r="E105" s="580"/>
      <c r="F105" s="580"/>
      <c r="G105" s="580"/>
      <c r="H105" s="580"/>
      <c r="I105" s="580"/>
      <c r="J105" s="580"/>
      <c r="M105" s="680"/>
      <c r="N105" s="680"/>
      <c r="O105" s="681"/>
      <c r="Q105" s="682"/>
      <c r="R105" s="683"/>
      <c r="S105" s="683"/>
      <c r="T105" s="580"/>
    </row>
    <row r="106" spans="1:20" s="679" customFormat="1" x14ac:dyDescent="0.3">
      <c r="A106" s="580"/>
      <c r="B106" s="677"/>
      <c r="C106" s="580"/>
      <c r="D106" s="580"/>
      <c r="E106" s="580"/>
      <c r="F106" s="580"/>
      <c r="G106" s="580"/>
      <c r="H106" s="580"/>
      <c r="I106" s="580"/>
      <c r="J106" s="580"/>
      <c r="M106" s="680"/>
      <c r="N106" s="680"/>
      <c r="O106" s="681"/>
      <c r="Q106" s="682"/>
      <c r="R106" s="683"/>
      <c r="S106" s="683"/>
      <c r="T106" s="580"/>
    </row>
    <row r="107" spans="1:20" s="679" customFormat="1" x14ac:dyDescent="0.3">
      <c r="A107" s="580"/>
      <c r="B107" s="677"/>
      <c r="C107" s="580"/>
      <c r="D107" s="580"/>
      <c r="E107" s="580"/>
      <c r="F107" s="580"/>
      <c r="G107" s="580"/>
      <c r="H107" s="580"/>
      <c r="I107" s="580"/>
      <c r="J107" s="580"/>
      <c r="M107" s="680"/>
      <c r="N107" s="680"/>
      <c r="O107" s="681"/>
      <c r="Q107" s="682"/>
      <c r="R107" s="683"/>
      <c r="S107" s="683"/>
      <c r="T107" s="580"/>
    </row>
    <row r="108" spans="1:20" s="679" customFormat="1" x14ac:dyDescent="0.3">
      <c r="A108" s="580"/>
      <c r="B108" s="677"/>
      <c r="C108" s="580"/>
      <c r="D108" s="580"/>
      <c r="E108" s="580"/>
      <c r="F108" s="580"/>
      <c r="G108" s="580"/>
      <c r="H108" s="580"/>
      <c r="I108" s="580"/>
      <c r="J108" s="580"/>
      <c r="M108" s="680"/>
      <c r="N108" s="680"/>
      <c r="O108" s="681"/>
      <c r="Q108" s="682"/>
      <c r="R108" s="683"/>
      <c r="S108" s="683"/>
      <c r="T108" s="580"/>
    </row>
    <row r="109" spans="1:20" s="679" customFormat="1" x14ac:dyDescent="0.3">
      <c r="A109" s="580"/>
      <c r="B109" s="677"/>
      <c r="C109" s="580"/>
      <c r="D109" s="580"/>
      <c r="E109" s="580"/>
      <c r="F109" s="580"/>
      <c r="G109" s="580"/>
      <c r="H109" s="580"/>
      <c r="I109" s="580"/>
      <c r="J109" s="580"/>
      <c r="M109" s="680"/>
      <c r="N109" s="680"/>
      <c r="O109" s="681"/>
      <c r="Q109" s="682"/>
      <c r="R109" s="683"/>
      <c r="S109" s="683"/>
      <c r="T109" s="580"/>
    </row>
    <row r="110" spans="1:20" s="679" customFormat="1" x14ac:dyDescent="0.3">
      <c r="A110" s="580"/>
      <c r="B110" s="677"/>
      <c r="C110" s="580"/>
      <c r="D110" s="580"/>
      <c r="E110" s="580"/>
      <c r="F110" s="580"/>
      <c r="G110" s="580"/>
      <c r="H110" s="580"/>
      <c r="I110" s="580"/>
      <c r="J110" s="580"/>
      <c r="M110" s="680"/>
      <c r="N110" s="680"/>
      <c r="O110" s="681"/>
      <c r="Q110" s="682"/>
      <c r="R110" s="683"/>
      <c r="S110" s="683"/>
      <c r="T110" s="580"/>
    </row>
    <row r="111" spans="1:20" s="679" customFormat="1" x14ac:dyDescent="0.3">
      <c r="A111" s="580"/>
      <c r="B111" s="677"/>
      <c r="C111" s="580"/>
      <c r="D111" s="580"/>
      <c r="E111" s="580"/>
      <c r="F111" s="580"/>
      <c r="G111" s="580"/>
      <c r="H111" s="580"/>
      <c r="I111" s="580"/>
      <c r="J111" s="580"/>
      <c r="M111" s="680"/>
      <c r="N111" s="680"/>
      <c r="O111" s="681"/>
      <c r="Q111" s="682"/>
      <c r="R111" s="683"/>
      <c r="S111" s="683"/>
      <c r="T111" s="580"/>
    </row>
    <row r="112" spans="1:20" s="679" customFormat="1" x14ac:dyDescent="0.3">
      <c r="A112" s="580"/>
      <c r="B112" s="677"/>
      <c r="C112" s="580"/>
      <c r="D112" s="580"/>
      <c r="E112" s="580"/>
      <c r="F112" s="580"/>
      <c r="G112" s="580"/>
      <c r="H112" s="580"/>
      <c r="I112" s="580"/>
      <c r="J112" s="580"/>
      <c r="M112" s="680"/>
      <c r="N112" s="680"/>
      <c r="O112" s="681"/>
      <c r="Q112" s="682"/>
      <c r="R112" s="683"/>
      <c r="S112" s="683"/>
      <c r="T112" s="580"/>
    </row>
    <row r="113" spans="1:20" s="679" customFormat="1" x14ac:dyDescent="0.3">
      <c r="A113" s="580"/>
      <c r="B113" s="677"/>
      <c r="C113" s="580"/>
      <c r="D113" s="580"/>
      <c r="E113" s="580"/>
      <c r="F113" s="580"/>
      <c r="G113" s="580"/>
      <c r="H113" s="580"/>
      <c r="I113" s="580"/>
      <c r="J113" s="580"/>
      <c r="M113" s="680"/>
      <c r="N113" s="680"/>
      <c r="O113" s="681"/>
      <c r="Q113" s="682"/>
      <c r="R113" s="683"/>
      <c r="S113" s="683"/>
      <c r="T113" s="580"/>
    </row>
    <row r="114" spans="1:20" s="679" customFormat="1" x14ac:dyDescent="0.3">
      <c r="A114" s="580"/>
      <c r="B114" s="677"/>
      <c r="C114" s="580"/>
      <c r="D114" s="580"/>
      <c r="E114" s="580"/>
      <c r="F114" s="580"/>
      <c r="G114" s="580"/>
      <c r="H114" s="580"/>
      <c r="I114" s="580"/>
      <c r="J114" s="580"/>
      <c r="M114" s="680"/>
      <c r="N114" s="680"/>
      <c r="O114" s="681"/>
      <c r="Q114" s="682"/>
      <c r="R114" s="683"/>
      <c r="S114" s="683"/>
      <c r="T114" s="580"/>
    </row>
    <row r="115" spans="1:20" s="679" customFormat="1" x14ac:dyDescent="0.3">
      <c r="A115" s="580"/>
      <c r="B115" s="677"/>
      <c r="C115" s="580"/>
      <c r="D115" s="580"/>
      <c r="E115" s="580"/>
      <c r="F115" s="580"/>
      <c r="G115" s="580"/>
      <c r="H115" s="580"/>
      <c r="I115" s="580"/>
      <c r="J115" s="580"/>
      <c r="M115" s="680"/>
      <c r="N115" s="680"/>
      <c r="O115" s="681"/>
      <c r="Q115" s="682"/>
      <c r="R115" s="683"/>
      <c r="S115" s="683"/>
      <c r="T115" s="580"/>
    </row>
    <row r="116" spans="1:20" s="679" customFormat="1" x14ac:dyDescent="0.3">
      <c r="A116" s="580"/>
      <c r="B116" s="677"/>
      <c r="C116" s="580"/>
      <c r="D116" s="580"/>
      <c r="E116" s="580"/>
      <c r="F116" s="580"/>
      <c r="G116" s="580"/>
      <c r="H116" s="580"/>
      <c r="I116" s="580"/>
      <c r="J116" s="580"/>
      <c r="M116" s="680"/>
      <c r="N116" s="680"/>
      <c r="O116" s="681"/>
      <c r="Q116" s="682"/>
      <c r="R116" s="683"/>
      <c r="S116" s="683"/>
      <c r="T116" s="580"/>
    </row>
    <row r="117" spans="1:20" s="679" customFormat="1" x14ac:dyDescent="0.3">
      <c r="A117" s="580"/>
      <c r="B117" s="677"/>
      <c r="C117" s="580"/>
      <c r="D117" s="580"/>
      <c r="E117" s="580"/>
      <c r="F117" s="580"/>
      <c r="G117" s="580"/>
      <c r="H117" s="580"/>
      <c r="I117" s="580"/>
      <c r="J117" s="580"/>
      <c r="M117" s="680"/>
      <c r="N117" s="680"/>
      <c r="O117" s="681"/>
      <c r="Q117" s="682"/>
      <c r="R117" s="683"/>
      <c r="S117" s="683"/>
      <c r="T117" s="580"/>
    </row>
    <row r="118" spans="1:20" s="679" customFormat="1" x14ac:dyDescent="0.3">
      <c r="A118" s="580"/>
      <c r="B118" s="677"/>
      <c r="C118" s="580"/>
      <c r="D118" s="580"/>
      <c r="E118" s="580"/>
      <c r="F118" s="580"/>
      <c r="G118" s="580"/>
      <c r="H118" s="580"/>
      <c r="I118" s="580"/>
      <c r="J118" s="580"/>
      <c r="M118" s="680"/>
      <c r="N118" s="680"/>
      <c r="O118" s="681"/>
      <c r="Q118" s="682"/>
      <c r="R118" s="683"/>
      <c r="S118" s="683"/>
      <c r="T118" s="580"/>
    </row>
    <row r="119" spans="1:20" s="679" customFormat="1" x14ac:dyDescent="0.3">
      <c r="A119" s="580"/>
      <c r="B119" s="677"/>
      <c r="C119" s="580"/>
      <c r="D119" s="580"/>
      <c r="E119" s="580"/>
      <c r="F119" s="580"/>
      <c r="G119" s="580"/>
      <c r="H119" s="580"/>
      <c r="I119" s="580"/>
      <c r="J119" s="580"/>
      <c r="M119" s="680"/>
      <c r="N119" s="680"/>
      <c r="O119" s="681"/>
      <c r="Q119" s="682"/>
      <c r="R119" s="683"/>
      <c r="S119" s="683"/>
      <c r="T119" s="580"/>
    </row>
    <row r="120" spans="1:20" s="679" customFormat="1" x14ac:dyDescent="0.3">
      <c r="A120" s="580"/>
      <c r="B120" s="677"/>
      <c r="C120" s="580"/>
      <c r="D120" s="580"/>
      <c r="E120" s="580"/>
      <c r="F120" s="580"/>
      <c r="G120" s="580"/>
      <c r="H120" s="580"/>
      <c r="I120" s="580"/>
      <c r="J120" s="580"/>
      <c r="M120" s="680"/>
      <c r="N120" s="680"/>
      <c r="O120" s="681"/>
      <c r="Q120" s="682"/>
      <c r="R120" s="683"/>
      <c r="S120" s="683"/>
      <c r="T120" s="580"/>
    </row>
    <row r="121" spans="1:20" s="679" customFormat="1" x14ac:dyDescent="0.3">
      <c r="A121" s="580"/>
      <c r="B121" s="677"/>
      <c r="C121" s="580"/>
      <c r="D121" s="580"/>
      <c r="E121" s="580"/>
      <c r="F121" s="580"/>
      <c r="G121" s="580"/>
      <c r="H121" s="580"/>
      <c r="I121" s="580"/>
      <c r="J121" s="580"/>
      <c r="M121" s="680"/>
      <c r="N121" s="680"/>
      <c r="O121" s="681"/>
      <c r="Q121" s="682"/>
      <c r="R121" s="683"/>
      <c r="S121" s="683"/>
      <c r="T121" s="580"/>
    </row>
    <row r="122" spans="1:20" s="679" customFormat="1" x14ac:dyDescent="0.3">
      <c r="A122" s="580"/>
      <c r="B122" s="677"/>
      <c r="C122" s="580"/>
      <c r="D122" s="580"/>
      <c r="E122" s="580"/>
      <c r="F122" s="580"/>
      <c r="G122" s="580"/>
      <c r="H122" s="580"/>
      <c r="I122" s="580"/>
      <c r="J122" s="580"/>
      <c r="M122" s="680"/>
      <c r="N122" s="680"/>
      <c r="O122" s="681"/>
      <c r="Q122" s="682"/>
      <c r="R122" s="683"/>
      <c r="S122" s="683"/>
      <c r="T122" s="580"/>
    </row>
    <row r="123" spans="1:20" s="679" customFormat="1" x14ac:dyDescent="0.3">
      <c r="A123" s="580"/>
      <c r="B123" s="677"/>
      <c r="C123" s="580"/>
      <c r="D123" s="580"/>
      <c r="E123" s="580"/>
      <c r="F123" s="580"/>
      <c r="G123" s="580"/>
      <c r="H123" s="580"/>
      <c r="I123" s="580"/>
      <c r="J123" s="580"/>
      <c r="M123" s="680"/>
      <c r="N123" s="680"/>
      <c r="O123" s="681"/>
      <c r="Q123" s="682"/>
      <c r="R123" s="683"/>
      <c r="S123" s="683"/>
      <c r="T123" s="580"/>
    </row>
    <row r="124" spans="1:20" s="679" customFormat="1" x14ac:dyDescent="0.3">
      <c r="A124" s="580"/>
      <c r="B124" s="677"/>
      <c r="C124" s="580"/>
      <c r="D124" s="580"/>
      <c r="E124" s="580"/>
      <c r="F124" s="580"/>
      <c r="G124" s="580"/>
      <c r="H124" s="580"/>
      <c r="I124" s="580"/>
      <c r="J124" s="580"/>
      <c r="M124" s="680"/>
      <c r="N124" s="680"/>
      <c r="O124" s="681"/>
      <c r="Q124" s="682"/>
      <c r="R124" s="683"/>
      <c r="S124" s="683"/>
      <c r="T124" s="580"/>
    </row>
    <row r="125" spans="1:20" s="679" customFormat="1" x14ac:dyDescent="0.3">
      <c r="A125" s="580"/>
      <c r="B125" s="677"/>
      <c r="C125" s="580"/>
      <c r="D125" s="580"/>
      <c r="E125" s="580"/>
      <c r="F125" s="580"/>
      <c r="G125" s="580"/>
      <c r="H125" s="580"/>
      <c r="I125" s="580"/>
      <c r="J125" s="580"/>
      <c r="M125" s="680"/>
      <c r="N125" s="680"/>
      <c r="O125" s="681"/>
      <c r="Q125" s="682"/>
      <c r="R125" s="683"/>
      <c r="S125" s="683"/>
      <c r="T125" s="580"/>
    </row>
    <row r="126" spans="1:20" s="679" customFormat="1" x14ac:dyDescent="0.3">
      <c r="A126" s="580"/>
      <c r="B126" s="677"/>
      <c r="C126" s="580"/>
      <c r="D126" s="580"/>
      <c r="E126" s="580"/>
      <c r="F126" s="580"/>
      <c r="G126" s="580"/>
      <c r="H126" s="580"/>
      <c r="I126" s="580"/>
      <c r="J126" s="580"/>
      <c r="M126" s="680"/>
      <c r="N126" s="680"/>
      <c r="O126" s="681"/>
      <c r="Q126" s="682"/>
      <c r="R126" s="683"/>
      <c r="S126" s="683"/>
      <c r="T126" s="580"/>
    </row>
    <row r="127" spans="1:20" s="679" customFormat="1" x14ac:dyDescent="0.3">
      <c r="A127" s="580"/>
      <c r="B127" s="677"/>
      <c r="C127" s="580"/>
      <c r="D127" s="580"/>
      <c r="E127" s="580"/>
      <c r="F127" s="580"/>
      <c r="G127" s="580"/>
      <c r="H127" s="580"/>
      <c r="I127" s="580"/>
      <c r="J127" s="580"/>
      <c r="M127" s="680"/>
      <c r="N127" s="680"/>
      <c r="O127" s="681"/>
      <c r="Q127" s="682"/>
      <c r="R127" s="683"/>
      <c r="S127" s="683"/>
      <c r="T127" s="580"/>
    </row>
    <row r="128" spans="1:20" s="679" customFormat="1" x14ac:dyDescent="0.3">
      <c r="A128" s="580"/>
      <c r="B128" s="677"/>
      <c r="C128" s="580"/>
      <c r="D128" s="580"/>
      <c r="E128" s="580"/>
      <c r="F128" s="580"/>
      <c r="G128" s="580"/>
      <c r="H128" s="580"/>
      <c r="I128" s="580"/>
      <c r="J128" s="580"/>
      <c r="M128" s="680"/>
      <c r="N128" s="680"/>
      <c r="O128" s="681"/>
      <c r="Q128" s="682"/>
      <c r="R128" s="683"/>
      <c r="S128" s="683"/>
      <c r="T128" s="580"/>
    </row>
    <row r="129" spans="1:20" s="679" customFormat="1" x14ac:dyDescent="0.3">
      <c r="A129" s="580"/>
      <c r="B129" s="677"/>
      <c r="C129" s="580"/>
      <c r="D129" s="580"/>
      <c r="E129" s="580"/>
      <c r="F129" s="580"/>
      <c r="G129" s="580"/>
      <c r="H129" s="580"/>
      <c r="I129" s="580"/>
      <c r="J129" s="580"/>
      <c r="M129" s="680"/>
      <c r="N129" s="680"/>
      <c r="O129" s="681"/>
      <c r="Q129" s="682"/>
      <c r="R129" s="683"/>
      <c r="S129" s="683"/>
      <c r="T129" s="580"/>
    </row>
    <row r="130" spans="1:20" s="679" customFormat="1" x14ac:dyDescent="0.3">
      <c r="A130" s="580"/>
      <c r="B130" s="677"/>
      <c r="C130" s="580"/>
      <c r="D130" s="580"/>
      <c r="E130" s="580"/>
      <c r="F130" s="580"/>
      <c r="G130" s="580"/>
      <c r="H130" s="580"/>
      <c r="I130" s="580"/>
      <c r="J130" s="580"/>
      <c r="M130" s="680"/>
      <c r="N130" s="680"/>
      <c r="O130" s="681"/>
      <c r="Q130" s="682"/>
      <c r="R130" s="683"/>
      <c r="S130" s="683"/>
      <c r="T130" s="580"/>
    </row>
    <row r="131" spans="1:20" s="679" customFormat="1" x14ac:dyDescent="0.3">
      <c r="A131" s="580"/>
      <c r="B131" s="677"/>
      <c r="C131" s="580"/>
      <c r="D131" s="580"/>
      <c r="E131" s="580"/>
      <c r="F131" s="580"/>
      <c r="G131" s="580"/>
      <c r="H131" s="580"/>
      <c r="I131" s="580"/>
      <c r="J131" s="580"/>
      <c r="M131" s="680"/>
      <c r="N131" s="680"/>
      <c r="O131" s="681"/>
      <c r="Q131" s="682"/>
      <c r="R131" s="683"/>
      <c r="S131" s="683"/>
      <c r="T131" s="580"/>
    </row>
    <row r="132" spans="1:20" s="679" customFormat="1" x14ac:dyDescent="0.3">
      <c r="A132" s="580"/>
      <c r="B132" s="677"/>
      <c r="C132" s="580"/>
      <c r="D132" s="580"/>
      <c r="E132" s="580"/>
      <c r="F132" s="580"/>
      <c r="G132" s="580"/>
      <c r="H132" s="580"/>
      <c r="I132" s="580"/>
      <c r="J132" s="580"/>
      <c r="M132" s="680"/>
      <c r="N132" s="680"/>
      <c r="O132" s="681"/>
      <c r="Q132" s="682"/>
      <c r="R132" s="683"/>
      <c r="S132" s="683"/>
      <c r="T132" s="580"/>
    </row>
    <row r="133" spans="1:20" s="679" customFormat="1" x14ac:dyDescent="0.3">
      <c r="A133" s="580"/>
      <c r="B133" s="677"/>
      <c r="C133" s="580"/>
      <c r="D133" s="580"/>
      <c r="E133" s="580"/>
      <c r="F133" s="580"/>
      <c r="G133" s="580"/>
      <c r="H133" s="580"/>
      <c r="I133" s="580"/>
      <c r="J133" s="580"/>
      <c r="M133" s="680"/>
      <c r="N133" s="680"/>
      <c r="O133" s="681"/>
      <c r="Q133" s="682"/>
      <c r="R133" s="683"/>
      <c r="S133" s="683"/>
      <c r="T133" s="580"/>
    </row>
    <row r="134" spans="1:20" s="679" customFormat="1" x14ac:dyDescent="0.3">
      <c r="A134" s="580"/>
      <c r="B134" s="677"/>
      <c r="C134" s="580"/>
      <c r="D134" s="580"/>
      <c r="E134" s="580"/>
      <c r="F134" s="580"/>
      <c r="G134" s="580"/>
      <c r="H134" s="580"/>
      <c r="I134" s="580"/>
      <c r="J134" s="580"/>
      <c r="M134" s="680"/>
      <c r="N134" s="680"/>
      <c r="O134" s="681"/>
      <c r="Q134" s="682"/>
      <c r="R134" s="683"/>
      <c r="S134" s="683"/>
      <c r="T134" s="580"/>
    </row>
    <row r="135" spans="1:20" s="679" customFormat="1" x14ac:dyDescent="0.3">
      <c r="A135" s="580"/>
      <c r="B135" s="677"/>
      <c r="C135" s="580"/>
      <c r="D135" s="580"/>
      <c r="E135" s="580"/>
      <c r="F135" s="580"/>
      <c r="G135" s="580"/>
      <c r="H135" s="580"/>
      <c r="I135" s="580"/>
      <c r="J135" s="580"/>
      <c r="M135" s="680"/>
      <c r="N135" s="680"/>
      <c r="O135" s="681"/>
      <c r="Q135" s="682"/>
      <c r="R135" s="683"/>
      <c r="S135" s="683"/>
      <c r="T135" s="580"/>
    </row>
    <row r="136" spans="1:20" s="679" customFormat="1" x14ac:dyDescent="0.3">
      <c r="A136" s="580"/>
      <c r="B136" s="677"/>
      <c r="C136" s="580"/>
      <c r="D136" s="580"/>
      <c r="E136" s="580"/>
      <c r="F136" s="580"/>
      <c r="G136" s="580"/>
      <c r="H136" s="580"/>
      <c r="I136" s="580"/>
      <c r="J136" s="580"/>
      <c r="M136" s="680"/>
      <c r="N136" s="680"/>
      <c r="O136" s="681"/>
      <c r="Q136" s="682"/>
      <c r="R136" s="683"/>
      <c r="S136" s="683"/>
      <c r="T136" s="580"/>
    </row>
    <row r="137" spans="1:20" s="679" customFormat="1" x14ac:dyDescent="0.3">
      <c r="A137" s="580"/>
      <c r="B137" s="677"/>
      <c r="C137" s="580"/>
      <c r="D137" s="580"/>
      <c r="E137" s="580"/>
      <c r="F137" s="580"/>
      <c r="G137" s="580"/>
      <c r="H137" s="580"/>
      <c r="I137" s="580"/>
      <c r="J137" s="580"/>
      <c r="M137" s="680"/>
      <c r="N137" s="680"/>
      <c r="O137" s="681"/>
      <c r="Q137" s="682"/>
      <c r="R137" s="683"/>
      <c r="S137" s="683"/>
      <c r="T137" s="580"/>
    </row>
    <row r="138" spans="1:20" s="679" customFormat="1" x14ac:dyDescent="0.3">
      <c r="A138" s="580"/>
      <c r="B138" s="677"/>
      <c r="C138" s="580"/>
      <c r="D138" s="580"/>
      <c r="E138" s="580"/>
      <c r="F138" s="580"/>
      <c r="G138" s="580"/>
      <c r="H138" s="580"/>
      <c r="I138" s="580"/>
      <c r="J138" s="580"/>
      <c r="M138" s="680"/>
      <c r="N138" s="680"/>
      <c r="O138" s="681"/>
      <c r="Q138" s="682"/>
      <c r="R138" s="683"/>
      <c r="S138" s="683"/>
      <c r="T138" s="580"/>
    </row>
    <row r="139" spans="1:20" s="679" customFormat="1" x14ac:dyDescent="0.3">
      <c r="A139" s="580"/>
      <c r="B139" s="677"/>
      <c r="C139" s="580"/>
      <c r="D139" s="580"/>
      <c r="E139" s="580"/>
      <c r="F139" s="580"/>
      <c r="G139" s="580"/>
      <c r="H139" s="580"/>
      <c r="I139" s="580"/>
      <c r="J139" s="580"/>
      <c r="M139" s="680"/>
      <c r="N139" s="680"/>
      <c r="O139" s="681"/>
      <c r="Q139" s="682"/>
      <c r="R139" s="683"/>
      <c r="S139" s="683"/>
      <c r="T139" s="580"/>
    </row>
    <row r="140" spans="1:20" s="679" customFormat="1" x14ac:dyDescent="0.3">
      <c r="A140" s="580"/>
      <c r="B140" s="677"/>
      <c r="C140" s="580"/>
      <c r="D140" s="580"/>
      <c r="E140" s="580"/>
      <c r="F140" s="580"/>
      <c r="G140" s="580"/>
      <c r="H140" s="580"/>
      <c r="I140" s="580"/>
      <c r="J140" s="580"/>
      <c r="M140" s="680"/>
      <c r="N140" s="680"/>
      <c r="O140" s="681"/>
      <c r="Q140" s="682"/>
      <c r="R140" s="683"/>
      <c r="S140" s="683"/>
      <c r="T140" s="580"/>
    </row>
    <row r="141" spans="1:20" s="679" customFormat="1" x14ac:dyDescent="0.3">
      <c r="A141" s="580"/>
      <c r="B141" s="677"/>
      <c r="C141" s="580"/>
      <c r="D141" s="580"/>
      <c r="E141" s="580"/>
      <c r="F141" s="580"/>
      <c r="G141" s="580"/>
      <c r="H141" s="580"/>
      <c r="I141" s="580"/>
      <c r="J141" s="580"/>
      <c r="M141" s="680"/>
      <c r="N141" s="680"/>
      <c r="O141" s="681"/>
      <c r="Q141" s="682"/>
      <c r="R141" s="683"/>
      <c r="S141" s="683"/>
      <c r="T141" s="580"/>
    </row>
    <row r="142" spans="1:20" s="679" customFormat="1" x14ac:dyDescent="0.3">
      <c r="A142" s="580"/>
      <c r="B142" s="677"/>
      <c r="C142" s="580"/>
      <c r="D142" s="580"/>
      <c r="E142" s="580"/>
      <c r="F142" s="580"/>
      <c r="G142" s="580"/>
      <c r="H142" s="580"/>
      <c r="I142" s="580"/>
      <c r="J142" s="580"/>
      <c r="M142" s="680"/>
      <c r="N142" s="680"/>
      <c r="O142" s="681"/>
      <c r="Q142" s="682"/>
      <c r="R142" s="683"/>
      <c r="S142" s="683"/>
      <c r="T142" s="580"/>
    </row>
    <row r="143" spans="1:20" s="679" customFormat="1" x14ac:dyDescent="0.3">
      <c r="A143" s="580"/>
      <c r="B143" s="677"/>
      <c r="C143" s="580"/>
      <c r="D143" s="580"/>
      <c r="E143" s="580"/>
      <c r="F143" s="580"/>
      <c r="G143" s="580"/>
      <c r="H143" s="580"/>
      <c r="I143" s="580"/>
      <c r="J143" s="580"/>
      <c r="M143" s="680"/>
      <c r="N143" s="680"/>
      <c r="O143" s="681"/>
      <c r="Q143" s="682"/>
      <c r="R143" s="683"/>
      <c r="S143" s="683"/>
      <c r="T143" s="580"/>
    </row>
    <row r="144" spans="1:20" s="679" customFormat="1" x14ac:dyDescent="0.3">
      <c r="A144" s="580"/>
      <c r="B144" s="677"/>
      <c r="C144" s="580"/>
      <c r="D144" s="580"/>
      <c r="E144" s="580"/>
      <c r="F144" s="580"/>
      <c r="G144" s="580"/>
      <c r="H144" s="580"/>
      <c r="I144" s="580"/>
      <c r="J144" s="580"/>
      <c r="M144" s="680"/>
      <c r="N144" s="680"/>
      <c r="O144" s="681"/>
      <c r="Q144" s="682"/>
      <c r="R144" s="683"/>
      <c r="S144" s="683"/>
      <c r="T144" s="580"/>
    </row>
    <row r="145" spans="1:20" s="679" customFormat="1" x14ac:dyDescent="0.3">
      <c r="A145" s="580"/>
      <c r="B145" s="677"/>
      <c r="C145" s="580"/>
      <c r="D145" s="580"/>
      <c r="E145" s="580"/>
      <c r="F145" s="580"/>
      <c r="G145" s="580"/>
      <c r="H145" s="580"/>
      <c r="I145" s="580"/>
      <c r="J145" s="580"/>
      <c r="M145" s="680"/>
      <c r="N145" s="680"/>
      <c r="O145" s="681"/>
      <c r="Q145" s="682"/>
      <c r="R145" s="683"/>
      <c r="S145" s="683"/>
      <c r="T145" s="580"/>
    </row>
    <row r="146" spans="1:20" s="679" customFormat="1" x14ac:dyDescent="0.3">
      <c r="A146" s="580"/>
      <c r="B146" s="677"/>
      <c r="C146" s="580"/>
      <c r="D146" s="580"/>
      <c r="E146" s="580"/>
      <c r="F146" s="580"/>
      <c r="G146" s="580"/>
      <c r="H146" s="580"/>
      <c r="I146" s="580"/>
      <c r="J146" s="580"/>
      <c r="M146" s="680"/>
      <c r="N146" s="680"/>
      <c r="O146" s="681"/>
      <c r="Q146" s="682"/>
      <c r="R146" s="683"/>
      <c r="S146" s="683"/>
      <c r="T146" s="580"/>
    </row>
    <row r="147" spans="1:20" s="679" customFormat="1" x14ac:dyDescent="0.3">
      <c r="A147" s="580"/>
      <c r="B147" s="677"/>
      <c r="C147" s="580"/>
      <c r="D147" s="580"/>
      <c r="E147" s="580"/>
      <c r="F147" s="580"/>
      <c r="G147" s="580"/>
      <c r="H147" s="580"/>
      <c r="I147" s="580"/>
      <c r="J147" s="580"/>
      <c r="M147" s="680"/>
      <c r="N147" s="680"/>
      <c r="O147" s="681"/>
      <c r="Q147" s="682"/>
      <c r="R147" s="683"/>
      <c r="S147" s="683"/>
      <c r="T147" s="580"/>
    </row>
    <row r="148" spans="1:20" s="679" customFormat="1" x14ac:dyDescent="0.3">
      <c r="A148" s="580"/>
      <c r="B148" s="677"/>
      <c r="C148" s="580"/>
      <c r="D148" s="580"/>
      <c r="E148" s="580"/>
      <c r="F148" s="580"/>
      <c r="G148" s="580"/>
      <c r="H148" s="580"/>
      <c r="I148" s="580"/>
      <c r="J148" s="580"/>
      <c r="M148" s="680"/>
      <c r="N148" s="680"/>
      <c r="O148" s="681"/>
      <c r="Q148" s="682"/>
      <c r="R148" s="683"/>
      <c r="S148" s="683"/>
      <c r="T148" s="580"/>
    </row>
    <row r="149" spans="1:20" s="679" customFormat="1" x14ac:dyDescent="0.3">
      <c r="A149" s="580"/>
      <c r="B149" s="677"/>
      <c r="C149" s="580"/>
      <c r="D149" s="580"/>
      <c r="E149" s="580"/>
      <c r="F149" s="580"/>
      <c r="G149" s="580"/>
      <c r="H149" s="580"/>
      <c r="I149" s="580"/>
      <c r="J149" s="580"/>
      <c r="M149" s="680"/>
      <c r="N149" s="680"/>
      <c r="O149" s="681"/>
      <c r="Q149" s="682"/>
      <c r="R149" s="683"/>
      <c r="S149" s="683"/>
      <c r="T149" s="580"/>
    </row>
    <row r="150" spans="1:20" s="679" customFormat="1" x14ac:dyDescent="0.3">
      <c r="A150" s="580"/>
      <c r="B150" s="677"/>
      <c r="C150" s="580"/>
      <c r="D150" s="580"/>
      <c r="E150" s="580"/>
      <c r="F150" s="580"/>
      <c r="G150" s="580"/>
      <c r="H150" s="580"/>
      <c r="I150" s="580"/>
      <c r="J150" s="580"/>
      <c r="M150" s="680"/>
      <c r="N150" s="680"/>
      <c r="O150" s="681"/>
      <c r="Q150" s="682"/>
      <c r="R150" s="683"/>
      <c r="S150" s="683"/>
      <c r="T150" s="580"/>
    </row>
    <row r="151" spans="1:20" s="679" customFormat="1" x14ac:dyDescent="0.3">
      <c r="A151" s="580"/>
      <c r="B151" s="677"/>
      <c r="C151" s="580"/>
      <c r="D151" s="580"/>
      <c r="E151" s="580"/>
      <c r="F151" s="580"/>
      <c r="G151" s="580"/>
      <c r="H151" s="580"/>
      <c r="I151" s="580"/>
      <c r="J151" s="580"/>
      <c r="M151" s="680"/>
      <c r="N151" s="680"/>
      <c r="O151" s="681"/>
      <c r="Q151" s="682"/>
      <c r="R151" s="683"/>
      <c r="S151" s="683"/>
      <c r="T151" s="580"/>
    </row>
    <row r="152" spans="1:20" s="679" customFormat="1" x14ac:dyDescent="0.3">
      <c r="A152" s="580"/>
      <c r="B152" s="677"/>
      <c r="C152" s="580"/>
      <c r="D152" s="580"/>
      <c r="E152" s="580"/>
      <c r="F152" s="580"/>
      <c r="G152" s="580"/>
      <c r="H152" s="580"/>
      <c r="I152" s="580"/>
      <c r="J152" s="580"/>
      <c r="M152" s="680"/>
      <c r="N152" s="680"/>
      <c r="O152" s="681"/>
      <c r="Q152" s="682"/>
      <c r="R152" s="683"/>
      <c r="S152" s="683"/>
      <c r="T152" s="580"/>
    </row>
    <row r="153" spans="1:20" s="679" customFormat="1" x14ac:dyDescent="0.3">
      <c r="A153" s="580"/>
      <c r="B153" s="677"/>
      <c r="C153" s="580"/>
      <c r="D153" s="580"/>
      <c r="E153" s="580"/>
      <c r="F153" s="580"/>
      <c r="G153" s="580"/>
      <c r="H153" s="580"/>
      <c r="I153" s="580"/>
      <c r="J153" s="580"/>
      <c r="M153" s="680"/>
      <c r="N153" s="680"/>
      <c r="O153" s="681"/>
      <c r="Q153" s="682"/>
      <c r="R153" s="683"/>
      <c r="S153" s="683"/>
      <c r="T153" s="580"/>
    </row>
    <row r="154" spans="1:20" s="679" customFormat="1" x14ac:dyDescent="0.3">
      <c r="A154" s="580"/>
      <c r="B154" s="677"/>
      <c r="C154" s="580"/>
      <c r="D154" s="580"/>
      <c r="E154" s="580"/>
      <c r="F154" s="580"/>
      <c r="G154" s="580"/>
      <c r="H154" s="580"/>
      <c r="I154" s="580"/>
      <c r="J154" s="580"/>
      <c r="M154" s="680"/>
      <c r="N154" s="680"/>
      <c r="O154" s="681"/>
      <c r="Q154" s="682"/>
      <c r="R154" s="683"/>
      <c r="S154" s="683"/>
      <c r="T154" s="580"/>
    </row>
    <row r="155" spans="1:20" s="679" customFormat="1" x14ac:dyDescent="0.3">
      <c r="A155" s="580"/>
      <c r="B155" s="677"/>
      <c r="C155" s="580"/>
      <c r="D155" s="580"/>
      <c r="E155" s="580"/>
      <c r="F155" s="580"/>
      <c r="G155" s="580"/>
      <c r="H155" s="580"/>
      <c r="I155" s="580"/>
      <c r="J155" s="580"/>
      <c r="M155" s="680"/>
      <c r="N155" s="680"/>
      <c r="O155" s="681"/>
      <c r="Q155" s="682"/>
      <c r="R155" s="683"/>
      <c r="S155" s="683"/>
      <c r="T155" s="580"/>
    </row>
    <row r="156" spans="1:20" s="679" customFormat="1" x14ac:dyDescent="0.3">
      <c r="A156" s="580"/>
      <c r="B156" s="677"/>
      <c r="C156" s="580"/>
      <c r="D156" s="580"/>
      <c r="E156" s="580"/>
      <c r="F156" s="580"/>
      <c r="G156" s="580"/>
      <c r="H156" s="580"/>
      <c r="I156" s="580"/>
      <c r="J156" s="580"/>
      <c r="M156" s="680"/>
      <c r="N156" s="680"/>
      <c r="O156" s="681"/>
      <c r="Q156" s="682"/>
      <c r="R156" s="683"/>
      <c r="S156" s="683"/>
      <c r="T156" s="580"/>
    </row>
    <row r="157" spans="1:20" s="679" customFormat="1" x14ac:dyDescent="0.3">
      <c r="A157" s="580"/>
      <c r="B157" s="677"/>
      <c r="C157" s="580"/>
      <c r="D157" s="580"/>
      <c r="E157" s="580"/>
      <c r="F157" s="580"/>
      <c r="G157" s="580"/>
      <c r="H157" s="580"/>
      <c r="I157" s="580"/>
      <c r="J157" s="580"/>
      <c r="M157" s="680"/>
      <c r="N157" s="680"/>
      <c r="O157" s="681"/>
      <c r="Q157" s="682"/>
      <c r="R157" s="683"/>
      <c r="S157" s="683"/>
      <c r="T157" s="580"/>
    </row>
    <row r="158" spans="1:20" s="679" customFormat="1" x14ac:dyDescent="0.3">
      <c r="A158" s="580"/>
      <c r="B158" s="677"/>
      <c r="C158" s="580"/>
      <c r="D158" s="580"/>
      <c r="E158" s="580"/>
      <c r="F158" s="580"/>
      <c r="G158" s="580"/>
      <c r="H158" s="580"/>
      <c r="I158" s="580"/>
      <c r="J158" s="580"/>
      <c r="M158" s="680"/>
      <c r="N158" s="680"/>
      <c r="O158" s="681"/>
      <c r="Q158" s="682"/>
      <c r="R158" s="683"/>
      <c r="S158" s="683"/>
      <c r="T158" s="580"/>
    </row>
    <row r="159" spans="1:20" s="679" customFormat="1" x14ac:dyDescent="0.3">
      <c r="A159" s="580"/>
      <c r="B159" s="677"/>
      <c r="C159" s="580"/>
      <c r="D159" s="580"/>
      <c r="E159" s="580"/>
      <c r="F159" s="580"/>
      <c r="G159" s="580"/>
      <c r="H159" s="580"/>
      <c r="I159" s="580"/>
      <c r="J159" s="580"/>
      <c r="M159" s="680"/>
      <c r="N159" s="680"/>
      <c r="O159" s="681"/>
      <c r="Q159" s="682"/>
      <c r="R159" s="683"/>
      <c r="S159" s="683"/>
      <c r="T159" s="580"/>
    </row>
    <row r="160" spans="1:20" s="679" customFormat="1" x14ac:dyDescent="0.3">
      <c r="A160" s="580"/>
      <c r="B160" s="677"/>
      <c r="C160" s="580"/>
      <c r="D160" s="580"/>
      <c r="E160" s="580"/>
      <c r="F160" s="580"/>
      <c r="G160" s="580"/>
      <c r="H160" s="580"/>
      <c r="I160" s="580"/>
      <c r="J160" s="580"/>
      <c r="M160" s="680"/>
      <c r="N160" s="680"/>
      <c r="O160" s="681"/>
      <c r="Q160" s="682"/>
      <c r="R160" s="683"/>
      <c r="S160" s="683"/>
      <c r="T160" s="580"/>
    </row>
    <row r="161" spans="1:20" s="679" customFormat="1" x14ac:dyDescent="0.3">
      <c r="A161" s="580"/>
      <c r="B161" s="677"/>
      <c r="C161" s="580"/>
      <c r="D161" s="580"/>
      <c r="E161" s="580"/>
      <c r="F161" s="580"/>
      <c r="G161" s="580"/>
      <c r="H161" s="580"/>
      <c r="I161" s="580"/>
      <c r="J161" s="580"/>
      <c r="M161" s="680"/>
      <c r="N161" s="680"/>
      <c r="O161" s="681"/>
      <c r="Q161" s="682"/>
      <c r="R161" s="683"/>
      <c r="S161" s="683"/>
      <c r="T161" s="580"/>
    </row>
    <row r="162" spans="1:20" s="679" customFormat="1" x14ac:dyDescent="0.3">
      <c r="A162" s="580"/>
      <c r="B162" s="677"/>
      <c r="C162" s="580"/>
      <c r="D162" s="580"/>
      <c r="E162" s="580"/>
      <c r="F162" s="580"/>
      <c r="G162" s="580"/>
      <c r="H162" s="580"/>
      <c r="I162" s="580"/>
      <c r="J162" s="580"/>
      <c r="M162" s="680"/>
      <c r="N162" s="680"/>
      <c r="O162" s="681"/>
      <c r="Q162" s="682"/>
      <c r="R162" s="683"/>
      <c r="S162" s="683"/>
      <c r="T162" s="580"/>
    </row>
    <row r="163" spans="1:20" s="679" customFormat="1" x14ac:dyDescent="0.3">
      <c r="A163" s="580"/>
      <c r="B163" s="677"/>
      <c r="C163" s="580"/>
      <c r="D163" s="580"/>
      <c r="E163" s="580"/>
      <c r="F163" s="580"/>
      <c r="G163" s="580"/>
      <c r="H163" s="580"/>
      <c r="I163" s="580"/>
      <c r="J163" s="580"/>
      <c r="M163" s="680"/>
      <c r="N163" s="680"/>
      <c r="O163" s="681"/>
      <c r="Q163" s="682"/>
      <c r="R163" s="683"/>
      <c r="S163" s="683"/>
      <c r="T163" s="580"/>
    </row>
    <row r="164" spans="1:20" s="679" customFormat="1" x14ac:dyDescent="0.3">
      <c r="A164" s="580"/>
      <c r="B164" s="677"/>
      <c r="C164" s="580"/>
      <c r="D164" s="580"/>
      <c r="E164" s="580"/>
      <c r="F164" s="580"/>
      <c r="G164" s="580"/>
      <c r="H164" s="580"/>
      <c r="I164" s="580"/>
      <c r="J164" s="580"/>
      <c r="M164" s="680"/>
      <c r="N164" s="680"/>
      <c r="O164" s="681"/>
      <c r="Q164" s="682"/>
      <c r="R164" s="683"/>
      <c r="S164" s="683"/>
      <c r="T164" s="580"/>
    </row>
    <row r="165" spans="1:20" s="679" customFormat="1" x14ac:dyDescent="0.3">
      <c r="A165" s="580"/>
      <c r="B165" s="677"/>
      <c r="C165" s="580"/>
      <c r="D165" s="580"/>
      <c r="E165" s="580"/>
      <c r="F165" s="580"/>
      <c r="G165" s="580"/>
      <c r="H165" s="580"/>
      <c r="I165" s="580"/>
      <c r="J165" s="580"/>
      <c r="M165" s="680"/>
      <c r="N165" s="680"/>
      <c r="O165" s="681"/>
      <c r="Q165" s="682"/>
      <c r="R165" s="683"/>
      <c r="S165" s="683"/>
      <c r="T165" s="580"/>
    </row>
    <row r="166" spans="1:20" s="679" customFormat="1" x14ac:dyDescent="0.3">
      <c r="A166" s="580"/>
      <c r="B166" s="677"/>
      <c r="C166" s="580"/>
      <c r="D166" s="580"/>
      <c r="E166" s="580"/>
      <c r="F166" s="580"/>
      <c r="G166" s="580"/>
      <c r="H166" s="580"/>
      <c r="I166" s="580"/>
      <c r="J166" s="580"/>
      <c r="M166" s="680"/>
      <c r="N166" s="680"/>
      <c r="O166" s="681"/>
      <c r="Q166" s="682"/>
      <c r="R166" s="683"/>
      <c r="S166" s="683"/>
      <c r="T166" s="580"/>
    </row>
    <row r="167" spans="1:20" s="679" customFormat="1" x14ac:dyDescent="0.3">
      <c r="A167" s="580"/>
      <c r="B167" s="677"/>
      <c r="C167" s="580"/>
      <c r="D167" s="580"/>
      <c r="E167" s="580"/>
      <c r="F167" s="580"/>
      <c r="G167" s="580"/>
      <c r="H167" s="580"/>
      <c r="I167" s="580"/>
      <c r="J167" s="580"/>
      <c r="M167" s="680"/>
      <c r="N167" s="680"/>
      <c r="O167" s="681"/>
      <c r="Q167" s="682"/>
      <c r="R167" s="683"/>
      <c r="S167" s="683"/>
      <c r="T167" s="580"/>
    </row>
    <row r="168" spans="1:20" s="679" customFormat="1" x14ac:dyDescent="0.3">
      <c r="A168" s="580"/>
      <c r="B168" s="677"/>
      <c r="C168" s="580"/>
      <c r="D168" s="580"/>
      <c r="E168" s="580"/>
      <c r="F168" s="580"/>
      <c r="G168" s="580"/>
      <c r="H168" s="580"/>
      <c r="I168" s="580"/>
      <c r="J168" s="580"/>
      <c r="M168" s="680"/>
      <c r="N168" s="680"/>
      <c r="O168" s="681"/>
      <c r="Q168" s="682"/>
      <c r="R168" s="683"/>
      <c r="S168" s="683"/>
      <c r="T168" s="580"/>
    </row>
    <row r="169" spans="1:20" s="679" customFormat="1" x14ac:dyDescent="0.3">
      <c r="A169" s="580"/>
      <c r="B169" s="677"/>
      <c r="C169" s="580"/>
      <c r="D169" s="580"/>
      <c r="E169" s="580"/>
      <c r="F169" s="580"/>
      <c r="G169" s="580"/>
      <c r="H169" s="580"/>
      <c r="I169" s="580"/>
      <c r="J169" s="580"/>
      <c r="M169" s="680"/>
      <c r="N169" s="680"/>
      <c r="O169" s="681"/>
      <c r="Q169" s="682"/>
      <c r="R169" s="683"/>
      <c r="S169" s="683"/>
      <c r="T169" s="580"/>
    </row>
    <row r="170" spans="1:20" s="679" customFormat="1" x14ac:dyDescent="0.3">
      <c r="A170" s="580"/>
      <c r="B170" s="677"/>
      <c r="C170" s="580"/>
      <c r="D170" s="580"/>
      <c r="E170" s="580"/>
      <c r="F170" s="580"/>
      <c r="G170" s="580"/>
      <c r="H170" s="580"/>
      <c r="I170" s="580"/>
      <c r="J170" s="580"/>
      <c r="M170" s="680"/>
      <c r="N170" s="680"/>
      <c r="O170" s="681"/>
      <c r="Q170" s="682"/>
      <c r="R170" s="683"/>
      <c r="S170" s="683"/>
      <c r="T170" s="580"/>
    </row>
    <row r="171" spans="1:20" s="679" customFormat="1" x14ac:dyDescent="0.3">
      <c r="A171" s="580"/>
      <c r="B171" s="677"/>
      <c r="C171" s="580"/>
      <c r="D171" s="580"/>
      <c r="E171" s="580"/>
      <c r="F171" s="580"/>
      <c r="G171" s="580"/>
      <c r="H171" s="580"/>
      <c r="I171" s="580"/>
      <c r="J171" s="580"/>
      <c r="M171" s="680"/>
      <c r="N171" s="680"/>
      <c r="O171" s="681"/>
      <c r="Q171" s="682"/>
      <c r="R171" s="683"/>
      <c r="S171" s="683"/>
      <c r="T171" s="580"/>
    </row>
    <row r="172" spans="1:20" s="679" customFormat="1" x14ac:dyDescent="0.3">
      <c r="A172" s="580"/>
      <c r="B172" s="677"/>
      <c r="C172" s="580"/>
      <c r="D172" s="580"/>
      <c r="E172" s="580"/>
      <c r="F172" s="580"/>
      <c r="G172" s="580"/>
      <c r="H172" s="580"/>
      <c r="I172" s="580"/>
      <c r="J172" s="580"/>
      <c r="M172" s="680"/>
      <c r="N172" s="680"/>
      <c r="O172" s="681"/>
      <c r="Q172" s="682"/>
      <c r="R172" s="683"/>
      <c r="S172" s="683"/>
      <c r="T172" s="580"/>
    </row>
    <row r="173" spans="1:20" s="679" customFormat="1" x14ac:dyDescent="0.3">
      <c r="A173" s="580"/>
      <c r="B173" s="677"/>
      <c r="C173" s="580"/>
      <c r="D173" s="580"/>
      <c r="E173" s="580"/>
      <c r="F173" s="580"/>
      <c r="G173" s="580"/>
      <c r="H173" s="580"/>
      <c r="I173" s="580"/>
      <c r="J173" s="580"/>
      <c r="M173" s="680"/>
      <c r="N173" s="680"/>
      <c r="O173" s="681"/>
      <c r="Q173" s="682"/>
      <c r="R173" s="683"/>
      <c r="S173" s="683"/>
      <c r="T173" s="580"/>
    </row>
    <row r="174" spans="1:20" s="679" customFormat="1" x14ac:dyDescent="0.3">
      <c r="A174" s="580"/>
      <c r="B174" s="677"/>
      <c r="C174" s="580"/>
      <c r="D174" s="580"/>
      <c r="E174" s="580"/>
      <c r="F174" s="580"/>
      <c r="G174" s="580"/>
      <c r="H174" s="580"/>
      <c r="I174" s="580"/>
      <c r="J174" s="580"/>
      <c r="M174" s="680"/>
      <c r="N174" s="680"/>
      <c r="O174" s="681"/>
      <c r="Q174" s="682"/>
      <c r="R174" s="683"/>
      <c r="S174" s="683"/>
      <c r="T174" s="580"/>
    </row>
    <row r="175" spans="1:20" s="679" customFormat="1" x14ac:dyDescent="0.3">
      <c r="A175" s="580"/>
      <c r="B175" s="677"/>
      <c r="C175" s="580"/>
      <c r="D175" s="580"/>
      <c r="E175" s="580"/>
      <c r="F175" s="580"/>
      <c r="G175" s="580"/>
      <c r="H175" s="580"/>
      <c r="I175" s="580"/>
      <c r="J175" s="580"/>
      <c r="M175" s="680"/>
      <c r="N175" s="680"/>
      <c r="O175" s="681"/>
      <c r="Q175" s="682"/>
      <c r="R175" s="683"/>
      <c r="S175" s="683"/>
      <c r="T175" s="580"/>
    </row>
    <row r="176" spans="1:20" s="679" customFormat="1" x14ac:dyDescent="0.3">
      <c r="A176" s="580"/>
      <c r="B176" s="677"/>
      <c r="C176" s="580"/>
      <c r="D176" s="580"/>
      <c r="E176" s="580"/>
      <c r="F176" s="580"/>
      <c r="G176" s="580"/>
      <c r="H176" s="580"/>
      <c r="I176" s="580"/>
      <c r="J176" s="580"/>
      <c r="M176" s="680"/>
      <c r="N176" s="680"/>
      <c r="O176" s="681"/>
      <c r="Q176" s="682"/>
      <c r="R176" s="683"/>
      <c r="S176" s="683"/>
      <c r="T176" s="580"/>
    </row>
    <row r="177" spans="1:20" s="679" customFormat="1" x14ac:dyDescent="0.3">
      <c r="A177" s="580"/>
      <c r="B177" s="677"/>
      <c r="C177" s="580"/>
      <c r="D177" s="580"/>
      <c r="E177" s="580"/>
      <c r="F177" s="580"/>
      <c r="G177" s="580"/>
      <c r="H177" s="580"/>
      <c r="I177" s="580"/>
      <c r="J177" s="580"/>
      <c r="M177" s="680"/>
      <c r="N177" s="680"/>
      <c r="O177" s="681"/>
      <c r="Q177" s="682"/>
      <c r="R177" s="683"/>
      <c r="S177" s="683"/>
      <c r="T177" s="580"/>
    </row>
    <row r="178" spans="1:20" s="679" customFormat="1" x14ac:dyDescent="0.3">
      <c r="A178" s="580"/>
      <c r="B178" s="677"/>
      <c r="C178" s="580"/>
      <c r="D178" s="580"/>
      <c r="E178" s="580"/>
      <c r="F178" s="580"/>
      <c r="G178" s="580"/>
      <c r="H178" s="580"/>
      <c r="I178" s="580"/>
      <c r="J178" s="580"/>
      <c r="M178" s="680"/>
      <c r="N178" s="680"/>
      <c r="O178" s="681"/>
      <c r="Q178" s="682"/>
      <c r="R178" s="683"/>
      <c r="S178" s="683"/>
      <c r="T178" s="580"/>
    </row>
    <row r="179" spans="1:20" s="679" customFormat="1" x14ac:dyDescent="0.3">
      <c r="A179" s="580"/>
      <c r="B179" s="677"/>
      <c r="C179" s="580"/>
      <c r="D179" s="580"/>
      <c r="E179" s="580"/>
      <c r="F179" s="580"/>
      <c r="G179" s="580"/>
      <c r="H179" s="580"/>
      <c r="I179" s="580"/>
      <c r="J179" s="580"/>
      <c r="M179" s="680"/>
      <c r="N179" s="680"/>
      <c r="O179" s="681"/>
      <c r="Q179" s="682"/>
      <c r="R179" s="683"/>
      <c r="S179" s="683"/>
      <c r="T179" s="580"/>
    </row>
    <row r="180" spans="1:20" s="679" customFormat="1" x14ac:dyDescent="0.3">
      <c r="A180" s="580"/>
      <c r="B180" s="677"/>
      <c r="C180" s="580"/>
      <c r="D180" s="580"/>
      <c r="E180" s="580"/>
      <c r="F180" s="580"/>
      <c r="G180" s="580"/>
      <c r="H180" s="580"/>
      <c r="I180" s="580"/>
      <c r="J180" s="580"/>
      <c r="M180" s="680"/>
      <c r="N180" s="680"/>
      <c r="O180" s="681"/>
      <c r="Q180" s="682"/>
      <c r="R180" s="683"/>
      <c r="S180" s="683"/>
      <c r="T180" s="580"/>
    </row>
    <row r="181" spans="1:20" s="679" customFormat="1" x14ac:dyDescent="0.3">
      <c r="A181" s="580"/>
      <c r="B181" s="677"/>
      <c r="C181" s="580"/>
      <c r="D181" s="580"/>
      <c r="E181" s="580"/>
      <c r="F181" s="580"/>
      <c r="G181" s="580"/>
      <c r="H181" s="580"/>
      <c r="I181" s="580"/>
      <c r="J181" s="580"/>
      <c r="M181" s="680"/>
      <c r="N181" s="680"/>
      <c r="O181" s="681"/>
      <c r="Q181" s="682"/>
      <c r="R181" s="683"/>
      <c r="S181" s="683"/>
      <c r="T181" s="580"/>
    </row>
    <row r="182" spans="1:20" s="679" customFormat="1" x14ac:dyDescent="0.3">
      <c r="A182" s="580"/>
      <c r="B182" s="677"/>
      <c r="C182" s="580"/>
      <c r="D182" s="580"/>
      <c r="E182" s="580"/>
      <c r="F182" s="580"/>
      <c r="G182" s="580"/>
      <c r="H182" s="580"/>
      <c r="I182" s="580"/>
      <c r="J182" s="580"/>
      <c r="M182" s="680"/>
      <c r="N182" s="680"/>
      <c r="O182" s="681"/>
      <c r="Q182" s="682"/>
      <c r="R182" s="683"/>
      <c r="S182" s="683"/>
      <c r="T182" s="580"/>
    </row>
    <row r="183" spans="1:20" s="679" customFormat="1" x14ac:dyDescent="0.3">
      <c r="A183" s="580"/>
      <c r="B183" s="677"/>
      <c r="C183" s="580"/>
      <c r="D183" s="580"/>
      <c r="E183" s="580"/>
      <c r="F183" s="580"/>
      <c r="G183" s="580"/>
      <c r="H183" s="580"/>
      <c r="I183" s="580"/>
      <c r="J183" s="580"/>
      <c r="M183" s="680"/>
      <c r="N183" s="680"/>
      <c r="O183" s="681"/>
      <c r="Q183" s="682"/>
      <c r="R183" s="683"/>
      <c r="S183" s="683"/>
      <c r="T183" s="580"/>
    </row>
    <row r="184" spans="1:20" s="679" customFormat="1" x14ac:dyDescent="0.3">
      <c r="A184" s="580"/>
      <c r="B184" s="677"/>
      <c r="C184" s="580"/>
      <c r="D184" s="580"/>
      <c r="E184" s="580"/>
      <c r="F184" s="580"/>
      <c r="G184" s="580"/>
      <c r="H184" s="580"/>
      <c r="I184" s="580"/>
      <c r="J184" s="580"/>
      <c r="M184" s="680"/>
      <c r="N184" s="680"/>
      <c r="O184" s="681"/>
      <c r="Q184" s="682"/>
      <c r="R184" s="683"/>
      <c r="S184" s="683"/>
      <c r="T184" s="580"/>
    </row>
    <row r="185" spans="1:20" s="679" customFormat="1" x14ac:dyDescent="0.3">
      <c r="A185" s="580"/>
      <c r="B185" s="677"/>
      <c r="C185" s="580"/>
      <c r="D185" s="580"/>
      <c r="E185" s="580"/>
      <c r="F185" s="580"/>
      <c r="G185" s="580"/>
      <c r="H185" s="580"/>
      <c r="I185" s="580"/>
      <c r="J185" s="580"/>
      <c r="M185" s="680"/>
      <c r="N185" s="680"/>
      <c r="O185" s="681"/>
      <c r="Q185" s="682"/>
      <c r="R185" s="683"/>
      <c r="S185" s="683"/>
      <c r="T185" s="580"/>
    </row>
    <row r="186" spans="1:20" s="679" customFormat="1" x14ac:dyDescent="0.3">
      <c r="A186" s="580"/>
      <c r="B186" s="677"/>
      <c r="C186" s="580"/>
      <c r="D186" s="580"/>
      <c r="E186" s="580"/>
      <c r="F186" s="580"/>
      <c r="G186" s="580"/>
      <c r="H186" s="580"/>
      <c r="I186" s="580"/>
      <c r="J186" s="580"/>
      <c r="M186" s="680"/>
      <c r="N186" s="680"/>
      <c r="O186" s="681"/>
      <c r="Q186" s="682"/>
      <c r="R186" s="683"/>
      <c r="S186" s="683"/>
      <c r="T186" s="580"/>
    </row>
    <row r="187" spans="1:20" s="679" customFormat="1" x14ac:dyDescent="0.3">
      <c r="A187" s="580"/>
      <c r="B187" s="677"/>
      <c r="C187" s="580"/>
      <c r="D187" s="580"/>
      <c r="E187" s="580"/>
      <c r="F187" s="580"/>
      <c r="G187" s="580"/>
      <c r="H187" s="580"/>
      <c r="I187" s="580"/>
      <c r="J187" s="580"/>
      <c r="M187" s="680"/>
      <c r="N187" s="680"/>
      <c r="O187" s="681"/>
      <c r="Q187" s="682"/>
      <c r="R187" s="683"/>
      <c r="S187" s="683"/>
      <c r="T187" s="580"/>
    </row>
    <row r="188" spans="1:20" s="679" customFormat="1" x14ac:dyDescent="0.3">
      <c r="A188" s="580"/>
      <c r="B188" s="677"/>
      <c r="C188" s="580"/>
      <c r="D188" s="580"/>
      <c r="E188" s="580"/>
      <c r="F188" s="580"/>
      <c r="G188" s="580"/>
      <c r="H188" s="580"/>
      <c r="I188" s="580"/>
      <c r="J188" s="580"/>
      <c r="M188" s="680"/>
      <c r="N188" s="680"/>
      <c r="O188" s="681"/>
      <c r="Q188" s="682"/>
      <c r="R188" s="683"/>
      <c r="S188" s="683"/>
      <c r="T188" s="580"/>
    </row>
    <row r="189" spans="1:20" s="679" customFormat="1" x14ac:dyDescent="0.3">
      <c r="A189" s="580"/>
      <c r="B189" s="677"/>
      <c r="C189" s="580"/>
      <c r="D189" s="580"/>
      <c r="E189" s="580"/>
      <c r="F189" s="580"/>
      <c r="G189" s="580"/>
      <c r="H189" s="580"/>
      <c r="I189" s="580"/>
      <c r="J189" s="580"/>
      <c r="M189" s="680"/>
      <c r="N189" s="680"/>
      <c r="O189" s="681"/>
      <c r="Q189" s="682"/>
      <c r="R189" s="683"/>
      <c r="S189" s="683"/>
      <c r="T189" s="580"/>
    </row>
    <row r="190" spans="1:20" s="679" customFormat="1" x14ac:dyDescent="0.3">
      <c r="A190" s="580"/>
      <c r="B190" s="677"/>
      <c r="C190" s="580"/>
      <c r="D190" s="580"/>
      <c r="E190" s="580"/>
      <c r="F190" s="580"/>
      <c r="G190" s="580"/>
      <c r="H190" s="580"/>
      <c r="I190" s="580"/>
      <c r="J190" s="580"/>
      <c r="M190" s="680"/>
      <c r="N190" s="680"/>
      <c r="O190" s="681"/>
      <c r="Q190" s="682"/>
      <c r="R190" s="683"/>
      <c r="S190" s="683"/>
      <c r="T190" s="580"/>
    </row>
    <row r="191" spans="1:20" s="679" customFormat="1" x14ac:dyDescent="0.3">
      <c r="A191" s="580"/>
      <c r="B191" s="677"/>
      <c r="C191" s="580"/>
      <c r="D191" s="580"/>
      <c r="E191" s="580"/>
      <c r="F191" s="580"/>
      <c r="G191" s="580"/>
      <c r="H191" s="580"/>
      <c r="I191" s="580"/>
      <c r="J191" s="580"/>
      <c r="M191" s="680"/>
      <c r="N191" s="680"/>
      <c r="O191" s="681"/>
      <c r="Q191" s="682"/>
      <c r="R191" s="683"/>
      <c r="S191" s="683"/>
      <c r="T191" s="580"/>
    </row>
    <row r="192" spans="1:20" s="679" customFormat="1" x14ac:dyDescent="0.3">
      <c r="A192" s="580"/>
      <c r="B192" s="677"/>
      <c r="C192" s="580"/>
      <c r="D192" s="580"/>
      <c r="E192" s="580"/>
      <c r="F192" s="580"/>
      <c r="G192" s="580"/>
      <c r="H192" s="580"/>
      <c r="I192" s="580"/>
      <c r="J192" s="580"/>
      <c r="M192" s="680"/>
      <c r="N192" s="680"/>
      <c r="O192" s="681"/>
      <c r="Q192" s="682"/>
      <c r="R192" s="683"/>
      <c r="S192" s="683"/>
      <c r="T192" s="580"/>
    </row>
    <row r="193" spans="1:20" s="679" customFormat="1" x14ac:dyDescent="0.3">
      <c r="A193" s="580"/>
      <c r="B193" s="677"/>
      <c r="C193" s="580"/>
      <c r="D193" s="580"/>
      <c r="E193" s="580"/>
      <c r="F193" s="580"/>
      <c r="G193" s="580"/>
      <c r="H193" s="580"/>
      <c r="I193" s="580"/>
      <c r="J193" s="580"/>
      <c r="M193" s="680"/>
      <c r="N193" s="680"/>
      <c r="O193" s="681"/>
      <c r="Q193" s="682"/>
      <c r="R193" s="683"/>
      <c r="S193" s="683"/>
      <c r="T193" s="580"/>
    </row>
    <row r="194" spans="1:20" s="679" customFormat="1" x14ac:dyDescent="0.3">
      <c r="A194" s="580"/>
      <c r="B194" s="677"/>
      <c r="C194" s="580"/>
      <c r="D194" s="580"/>
      <c r="E194" s="580"/>
      <c r="F194" s="580"/>
      <c r="G194" s="580"/>
      <c r="H194" s="580"/>
      <c r="I194" s="580"/>
      <c r="J194" s="580"/>
      <c r="M194" s="680"/>
      <c r="N194" s="680"/>
      <c r="O194" s="681"/>
      <c r="Q194" s="682"/>
      <c r="R194" s="683"/>
      <c r="S194" s="683"/>
      <c r="T194" s="580"/>
    </row>
    <row r="195" spans="1:20" s="679" customFormat="1" x14ac:dyDescent="0.3">
      <c r="A195" s="580"/>
      <c r="B195" s="677"/>
      <c r="C195" s="580"/>
      <c r="D195" s="580"/>
      <c r="E195" s="580"/>
      <c r="F195" s="580"/>
      <c r="G195" s="580"/>
      <c r="H195" s="580"/>
      <c r="I195" s="580"/>
      <c r="J195" s="580"/>
      <c r="M195" s="680"/>
      <c r="N195" s="680"/>
      <c r="O195" s="681"/>
      <c r="Q195" s="682"/>
      <c r="R195" s="683"/>
      <c r="S195" s="683"/>
      <c r="T195" s="580"/>
    </row>
    <row r="196" spans="1:20" s="679" customFormat="1" x14ac:dyDescent="0.3">
      <c r="A196" s="580"/>
      <c r="B196" s="677"/>
      <c r="C196" s="580"/>
      <c r="D196" s="580"/>
      <c r="E196" s="580"/>
      <c r="F196" s="580"/>
      <c r="G196" s="580"/>
      <c r="H196" s="580"/>
      <c r="I196" s="580"/>
      <c r="J196" s="580"/>
      <c r="M196" s="680"/>
      <c r="N196" s="680"/>
      <c r="O196" s="681"/>
      <c r="Q196" s="682"/>
      <c r="R196" s="683"/>
      <c r="S196" s="683"/>
      <c r="T196" s="580"/>
    </row>
    <row r="197" spans="1:20" s="679" customFormat="1" x14ac:dyDescent="0.3">
      <c r="A197" s="580"/>
      <c r="B197" s="677"/>
      <c r="C197" s="580"/>
      <c r="D197" s="580"/>
      <c r="E197" s="580"/>
      <c r="F197" s="580"/>
      <c r="G197" s="580"/>
      <c r="H197" s="580"/>
      <c r="I197" s="580"/>
      <c r="J197" s="580"/>
      <c r="M197" s="680"/>
      <c r="N197" s="680"/>
      <c r="O197" s="681"/>
      <c r="Q197" s="682"/>
      <c r="R197" s="683"/>
      <c r="S197" s="683"/>
      <c r="T197" s="580"/>
    </row>
    <row r="198" spans="1:20" s="679" customFormat="1" x14ac:dyDescent="0.3">
      <c r="A198" s="580"/>
      <c r="B198" s="677"/>
      <c r="C198" s="580"/>
      <c r="D198" s="580"/>
      <c r="E198" s="580"/>
      <c r="F198" s="580"/>
      <c r="G198" s="580"/>
      <c r="H198" s="580"/>
      <c r="I198" s="580"/>
      <c r="J198" s="580"/>
      <c r="M198" s="680"/>
      <c r="N198" s="680"/>
      <c r="O198" s="681"/>
      <c r="Q198" s="682"/>
      <c r="R198" s="683"/>
      <c r="S198" s="683"/>
      <c r="T198" s="580"/>
    </row>
    <row r="199" spans="1:20" s="679" customFormat="1" x14ac:dyDescent="0.3">
      <c r="A199" s="580"/>
      <c r="B199" s="677"/>
      <c r="C199" s="580"/>
      <c r="D199" s="580"/>
      <c r="E199" s="580"/>
      <c r="F199" s="580"/>
      <c r="G199" s="580"/>
      <c r="H199" s="580"/>
      <c r="I199" s="580"/>
      <c r="J199" s="580"/>
      <c r="M199" s="680"/>
      <c r="N199" s="680"/>
      <c r="O199" s="681"/>
      <c r="Q199" s="682"/>
      <c r="R199" s="683"/>
      <c r="S199" s="683"/>
      <c r="T199" s="580"/>
    </row>
    <row r="200" spans="1:20" s="679" customFormat="1" x14ac:dyDescent="0.3">
      <c r="A200" s="580"/>
      <c r="B200" s="677"/>
      <c r="C200" s="580"/>
      <c r="D200" s="580"/>
      <c r="E200" s="580"/>
      <c r="F200" s="580"/>
      <c r="G200" s="580"/>
      <c r="H200" s="580"/>
      <c r="I200" s="580"/>
      <c r="J200" s="580"/>
      <c r="M200" s="680"/>
      <c r="N200" s="680"/>
      <c r="O200" s="681"/>
      <c r="Q200" s="682"/>
      <c r="R200" s="683"/>
      <c r="S200" s="683"/>
      <c r="T200" s="580"/>
    </row>
    <row r="201" spans="1:20" s="679" customFormat="1" x14ac:dyDescent="0.3">
      <c r="A201" s="580"/>
      <c r="B201" s="677"/>
      <c r="C201" s="580"/>
      <c r="D201" s="580"/>
      <c r="E201" s="580"/>
      <c r="F201" s="580"/>
      <c r="G201" s="580"/>
      <c r="H201" s="580"/>
      <c r="I201" s="580"/>
      <c r="J201" s="580"/>
      <c r="M201" s="680"/>
      <c r="N201" s="680"/>
      <c r="O201" s="681"/>
      <c r="Q201" s="682"/>
      <c r="R201" s="683"/>
      <c r="S201" s="683"/>
      <c r="T201" s="580"/>
    </row>
    <row r="202" spans="1:20" s="679" customFormat="1" x14ac:dyDescent="0.3">
      <c r="A202" s="580"/>
      <c r="B202" s="677"/>
      <c r="C202" s="580"/>
      <c r="D202" s="580"/>
      <c r="E202" s="580"/>
      <c r="F202" s="580"/>
      <c r="G202" s="580"/>
      <c r="H202" s="580"/>
      <c r="I202" s="580"/>
      <c r="J202" s="580"/>
      <c r="M202" s="680"/>
      <c r="N202" s="680"/>
      <c r="O202" s="681"/>
      <c r="Q202" s="682"/>
      <c r="R202" s="683"/>
      <c r="S202" s="683"/>
      <c r="T202" s="580"/>
    </row>
    <row r="203" spans="1:20" s="679" customFormat="1" x14ac:dyDescent="0.3">
      <c r="A203" s="580"/>
      <c r="B203" s="677"/>
      <c r="C203" s="580"/>
      <c r="D203" s="580"/>
      <c r="E203" s="580"/>
      <c r="F203" s="580"/>
      <c r="G203" s="580"/>
      <c r="H203" s="580"/>
      <c r="I203" s="580"/>
      <c r="J203" s="580"/>
      <c r="M203" s="680"/>
      <c r="N203" s="680"/>
      <c r="O203" s="681"/>
      <c r="Q203" s="682"/>
      <c r="R203" s="683"/>
      <c r="S203" s="683"/>
      <c r="T203" s="580"/>
    </row>
    <row r="204" spans="1:20" s="679" customFormat="1" x14ac:dyDescent="0.3">
      <c r="A204" s="580"/>
      <c r="B204" s="677"/>
      <c r="C204" s="580"/>
      <c r="D204" s="580"/>
      <c r="E204" s="580"/>
      <c r="F204" s="580"/>
      <c r="G204" s="580"/>
      <c r="H204" s="580"/>
      <c r="I204" s="580"/>
      <c r="J204" s="580"/>
      <c r="M204" s="680"/>
      <c r="N204" s="680"/>
      <c r="O204" s="681"/>
      <c r="Q204" s="682"/>
      <c r="R204" s="683"/>
      <c r="S204" s="683"/>
      <c r="T204" s="580"/>
    </row>
    <row r="205" spans="1:20" s="679" customFormat="1" x14ac:dyDescent="0.3">
      <c r="A205" s="580"/>
      <c r="B205" s="677"/>
      <c r="C205" s="580"/>
      <c r="D205" s="580"/>
      <c r="E205" s="580"/>
      <c r="F205" s="580"/>
      <c r="G205" s="580"/>
      <c r="H205" s="580"/>
      <c r="I205" s="580"/>
      <c r="J205" s="580"/>
      <c r="M205" s="680"/>
      <c r="N205" s="680"/>
      <c r="O205" s="681"/>
      <c r="Q205" s="682"/>
      <c r="R205" s="683"/>
      <c r="S205" s="683"/>
      <c r="T205" s="580"/>
    </row>
    <row r="206" spans="1:20" s="679" customFormat="1" x14ac:dyDescent="0.3">
      <c r="A206" s="580"/>
      <c r="B206" s="677"/>
      <c r="C206" s="580"/>
      <c r="D206" s="580"/>
      <c r="E206" s="580"/>
      <c r="F206" s="580"/>
      <c r="G206" s="580"/>
      <c r="H206" s="580"/>
      <c r="I206" s="580"/>
      <c r="J206" s="580"/>
      <c r="M206" s="680"/>
      <c r="N206" s="680"/>
      <c r="O206" s="681"/>
      <c r="Q206" s="682"/>
      <c r="R206" s="683"/>
      <c r="S206" s="683"/>
      <c r="T206" s="580"/>
    </row>
    <row r="207" spans="1:20" s="679" customFormat="1" x14ac:dyDescent="0.3">
      <c r="A207" s="580"/>
      <c r="B207" s="677"/>
      <c r="C207" s="580"/>
      <c r="D207" s="580"/>
      <c r="E207" s="580"/>
      <c r="F207" s="580"/>
      <c r="G207" s="580"/>
      <c r="H207" s="580"/>
      <c r="I207" s="580"/>
      <c r="J207" s="580"/>
      <c r="M207" s="680"/>
      <c r="N207" s="680"/>
      <c r="O207" s="681"/>
      <c r="Q207" s="682"/>
      <c r="R207" s="683"/>
      <c r="S207" s="683"/>
      <c r="T207" s="580"/>
    </row>
    <row r="208" spans="1:20" s="679" customFormat="1" x14ac:dyDescent="0.3">
      <c r="A208" s="580"/>
      <c r="B208" s="677"/>
      <c r="C208" s="580"/>
      <c r="D208" s="580"/>
      <c r="E208" s="580"/>
      <c r="F208" s="580"/>
      <c r="G208" s="580"/>
      <c r="H208" s="580"/>
      <c r="I208" s="580"/>
      <c r="J208" s="580"/>
      <c r="M208" s="680"/>
      <c r="N208" s="680"/>
      <c r="O208" s="681"/>
      <c r="Q208" s="682"/>
      <c r="R208" s="683"/>
      <c r="S208" s="683"/>
      <c r="T208" s="580"/>
    </row>
    <row r="209" spans="1:20" s="679" customFormat="1" x14ac:dyDescent="0.3">
      <c r="A209" s="580"/>
      <c r="B209" s="677"/>
      <c r="C209" s="580"/>
      <c r="D209" s="580"/>
      <c r="E209" s="580"/>
      <c r="F209" s="580"/>
      <c r="G209" s="580"/>
      <c r="H209" s="580"/>
      <c r="I209" s="580"/>
      <c r="J209" s="580"/>
      <c r="M209" s="680"/>
      <c r="N209" s="680"/>
      <c r="O209" s="681"/>
      <c r="Q209" s="682"/>
      <c r="R209" s="683"/>
      <c r="S209" s="683"/>
      <c r="T209" s="580"/>
    </row>
    <row r="210" spans="1:20" s="679" customFormat="1" x14ac:dyDescent="0.3">
      <c r="A210" s="580"/>
      <c r="B210" s="677"/>
      <c r="C210" s="580"/>
      <c r="D210" s="580"/>
      <c r="E210" s="580"/>
      <c r="F210" s="580"/>
      <c r="G210" s="580"/>
      <c r="H210" s="580"/>
      <c r="I210" s="580"/>
      <c r="J210" s="580"/>
      <c r="M210" s="680"/>
      <c r="N210" s="680"/>
      <c r="O210" s="681"/>
      <c r="Q210" s="682"/>
      <c r="R210" s="683"/>
      <c r="S210" s="683"/>
      <c r="T210" s="580"/>
    </row>
    <row r="211" spans="1:20" s="679" customFormat="1" x14ac:dyDescent="0.3">
      <c r="A211" s="580"/>
      <c r="B211" s="677"/>
      <c r="C211" s="580"/>
      <c r="D211" s="580"/>
      <c r="E211" s="580"/>
      <c r="F211" s="580"/>
      <c r="G211" s="580"/>
      <c r="H211" s="580"/>
      <c r="I211" s="580"/>
      <c r="J211" s="580"/>
      <c r="M211" s="680"/>
      <c r="N211" s="680"/>
      <c r="O211" s="681"/>
      <c r="Q211" s="682"/>
      <c r="R211" s="683"/>
      <c r="S211" s="683"/>
      <c r="T211" s="580"/>
    </row>
    <row r="212" spans="1:20" s="679" customFormat="1" x14ac:dyDescent="0.3">
      <c r="A212" s="580"/>
      <c r="B212" s="677"/>
      <c r="C212" s="580"/>
      <c r="D212" s="580"/>
      <c r="E212" s="580"/>
      <c r="F212" s="580"/>
      <c r="G212" s="580"/>
      <c r="H212" s="580"/>
      <c r="I212" s="580"/>
      <c r="J212" s="580"/>
      <c r="M212" s="680"/>
      <c r="N212" s="680"/>
      <c r="O212" s="681"/>
      <c r="Q212" s="682"/>
      <c r="R212" s="683"/>
      <c r="S212" s="683"/>
      <c r="T212" s="580"/>
    </row>
    <row r="213" spans="1:20" s="679" customFormat="1" x14ac:dyDescent="0.3">
      <c r="A213" s="580"/>
      <c r="B213" s="677"/>
      <c r="C213" s="580"/>
      <c r="D213" s="580"/>
      <c r="E213" s="580"/>
      <c r="F213" s="580"/>
      <c r="G213" s="580"/>
      <c r="H213" s="580"/>
      <c r="I213" s="580"/>
      <c r="J213" s="580"/>
      <c r="M213" s="680"/>
      <c r="N213" s="680"/>
      <c r="O213" s="681"/>
      <c r="Q213" s="682"/>
      <c r="R213" s="683"/>
      <c r="S213" s="683"/>
      <c r="T213" s="580"/>
    </row>
    <row r="214" spans="1:20" s="679" customFormat="1" x14ac:dyDescent="0.3">
      <c r="A214" s="580"/>
      <c r="B214" s="677"/>
      <c r="C214" s="580"/>
      <c r="D214" s="580"/>
      <c r="E214" s="580"/>
      <c r="F214" s="580"/>
      <c r="G214" s="580"/>
      <c r="H214" s="580"/>
      <c r="I214" s="580"/>
      <c r="J214" s="580"/>
      <c r="M214" s="680"/>
      <c r="N214" s="680"/>
      <c r="O214" s="681"/>
      <c r="Q214" s="682"/>
      <c r="R214" s="683"/>
      <c r="S214" s="683"/>
      <c r="T214" s="580"/>
    </row>
    <row r="215" spans="1:20" s="679" customFormat="1" x14ac:dyDescent="0.3">
      <c r="A215" s="580"/>
      <c r="B215" s="677"/>
      <c r="C215" s="580"/>
      <c r="D215" s="580"/>
      <c r="E215" s="580"/>
      <c r="F215" s="580"/>
      <c r="G215" s="580"/>
      <c r="H215" s="580"/>
      <c r="I215" s="580"/>
      <c r="J215" s="580"/>
      <c r="M215" s="680"/>
      <c r="N215" s="680"/>
      <c r="O215" s="681"/>
      <c r="Q215" s="682"/>
      <c r="R215" s="683"/>
      <c r="S215" s="683"/>
      <c r="T215" s="580"/>
    </row>
    <row r="216" spans="1:20" s="679" customFormat="1" x14ac:dyDescent="0.3">
      <c r="A216" s="580"/>
      <c r="B216" s="677"/>
      <c r="C216" s="580"/>
      <c r="D216" s="580"/>
      <c r="E216" s="580"/>
      <c r="F216" s="580"/>
      <c r="G216" s="580"/>
      <c r="H216" s="580"/>
      <c r="I216" s="580"/>
      <c r="J216" s="580"/>
      <c r="M216" s="680"/>
      <c r="N216" s="680"/>
      <c r="O216" s="681"/>
      <c r="Q216" s="682"/>
      <c r="R216" s="683"/>
      <c r="S216" s="683"/>
      <c r="T216" s="580"/>
    </row>
    <row r="217" spans="1:20" s="679" customFormat="1" x14ac:dyDescent="0.3">
      <c r="A217" s="580"/>
      <c r="B217" s="677"/>
      <c r="C217" s="580"/>
      <c r="D217" s="580"/>
      <c r="E217" s="580"/>
      <c r="F217" s="580"/>
      <c r="G217" s="580"/>
      <c r="H217" s="580"/>
      <c r="I217" s="580"/>
      <c r="J217" s="580"/>
      <c r="M217" s="680"/>
      <c r="N217" s="680"/>
      <c r="O217" s="681"/>
      <c r="Q217" s="682"/>
      <c r="R217" s="683"/>
      <c r="S217" s="683"/>
      <c r="T217" s="580"/>
    </row>
    <row r="218" spans="1:20" s="679" customFormat="1" x14ac:dyDescent="0.3">
      <c r="A218" s="580"/>
      <c r="B218" s="677"/>
      <c r="C218" s="580"/>
      <c r="D218" s="580"/>
      <c r="E218" s="580"/>
      <c r="F218" s="580"/>
      <c r="G218" s="580"/>
      <c r="H218" s="580"/>
      <c r="I218" s="580"/>
      <c r="J218" s="580"/>
      <c r="M218" s="680"/>
      <c r="N218" s="680"/>
      <c r="O218" s="681"/>
      <c r="Q218" s="682"/>
      <c r="R218" s="683"/>
      <c r="S218" s="683"/>
      <c r="T218" s="580"/>
    </row>
    <row r="219" spans="1:20" s="679" customFormat="1" x14ac:dyDescent="0.3">
      <c r="A219" s="580"/>
      <c r="B219" s="677"/>
      <c r="C219" s="580"/>
      <c r="D219" s="580"/>
      <c r="E219" s="580"/>
      <c r="F219" s="580"/>
      <c r="G219" s="580"/>
      <c r="H219" s="580"/>
      <c r="I219" s="580"/>
      <c r="J219" s="580"/>
      <c r="M219" s="680"/>
      <c r="N219" s="680"/>
      <c r="O219" s="681"/>
      <c r="Q219" s="682"/>
      <c r="R219" s="683"/>
      <c r="S219" s="683"/>
      <c r="T219" s="580"/>
    </row>
    <row r="220" spans="1:20" s="679" customFormat="1" x14ac:dyDescent="0.3">
      <c r="A220" s="580"/>
      <c r="B220" s="677"/>
      <c r="C220" s="580"/>
      <c r="D220" s="580"/>
      <c r="E220" s="580"/>
      <c r="F220" s="580"/>
      <c r="G220" s="580"/>
      <c r="H220" s="580"/>
      <c r="I220" s="580"/>
      <c r="J220" s="580"/>
      <c r="M220" s="680"/>
      <c r="N220" s="680"/>
      <c r="O220" s="681"/>
      <c r="Q220" s="682"/>
      <c r="R220" s="683"/>
      <c r="S220" s="683"/>
      <c r="T220" s="580"/>
    </row>
    <row r="221" spans="1:20" s="679" customFormat="1" x14ac:dyDescent="0.3">
      <c r="A221" s="580"/>
      <c r="B221" s="677"/>
      <c r="C221" s="580"/>
      <c r="D221" s="580"/>
      <c r="E221" s="580"/>
      <c r="F221" s="580"/>
      <c r="G221" s="580"/>
      <c r="H221" s="580"/>
      <c r="I221" s="580"/>
      <c r="J221" s="580"/>
      <c r="M221" s="680"/>
      <c r="N221" s="680"/>
      <c r="O221" s="681"/>
      <c r="Q221" s="682"/>
      <c r="R221" s="683"/>
      <c r="S221" s="683"/>
      <c r="T221" s="580"/>
    </row>
    <row r="222" spans="1:20" s="679" customFormat="1" x14ac:dyDescent="0.3">
      <c r="A222" s="580"/>
      <c r="B222" s="677"/>
      <c r="C222" s="580"/>
      <c r="D222" s="580"/>
      <c r="E222" s="580"/>
      <c r="F222" s="580"/>
      <c r="G222" s="580"/>
      <c r="H222" s="580"/>
      <c r="I222" s="580"/>
      <c r="J222" s="580"/>
      <c r="M222" s="680"/>
      <c r="N222" s="680"/>
      <c r="O222" s="681"/>
      <c r="Q222" s="682"/>
      <c r="R222" s="683"/>
      <c r="S222" s="683"/>
      <c r="T222" s="580"/>
    </row>
    <row r="223" spans="1:20" s="679" customFormat="1" x14ac:dyDescent="0.3">
      <c r="A223" s="580"/>
      <c r="B223" s="677"/>
      <c r="C223" s="580"/>
      <c r="D223" s="580"/>
      <c r="E223" s="580"/>
      <c r="F223" s="580"/>
      <c r="G223" s="580"/>
      <c r="H223" s="580"/>
      <c r="I223" s="580"/>
      <c r="J223" s="580"/>
      <c r="M223" s="680"/>
      <c r="N223" s="680"/>
      <c r="O223" s="681"/>
      <c r="Q223" s="682"/>
      <c r="R223" s="683"/>
      <c r="S223" s="683"/>
      <c r="T223" s="580"/>
    </row>
    <row r="224" spans="1:20" s="679" customFormat="1" x14ac:dyDescent="0.3">
      <c r="A224" s="580"/>
      <c r="B224" s="677"/>
      <c r="C224" s="580"/>
      <c r="D224" s="580"/>
      <c r="E224" s="580"/>
      <c r="F224" s="580"/>
      <c r="G224" s="580"/>
      <c r="H224" s="580"/>
      <c r="I224" s="580"/>
      <c r="J224" s="580"/>
      <c r="M224" s="680"/>
      <c r="N224" s="680"/>
      <c r="O224" s="681"/>
      <c r="Q224" s="682"/>
      <c r="R224" s="683"/>
      <c r="S224" s="683"/>
      <c r="T224" s="580"/>
    </row>
    <row r="225" spans="1:20" s="679" customFormat="1" x14ac:dyDescent="0.3">
      <c r="A225" s="580"/>
      <c r="B225" s="677"/>
      <c r="C225" s="580"/>
      <c r="D225" s="580"/>
      <c r="E225" s="580"/>
      <c r="F225" s="580"/>
      <c r="G225" s="580"/>
      <c r="H225" s="580"/>
      <c r="I225" s="580"/>
      <c r="J225" s="580"/>
      <c r="M225" s="680"/>
      <c r="N225" s="680"/>
      <c r="O225" s="681"/>
      <c r="Q225" s="682"/>
      <c r="R225" s="683"/>
      <c r="S225" s="683"/>
      <c r="T225" s="580"/>
    </row>
    <row r="226" spans="1:20" s="679" customFormat="1" x14ac:dyDescent="0.3">
      <c r="A226" s="580"/>
      <c r="B226" s="677"/>
      <c r="C226" s="580"/>
      <c r="D226" s="580"/>
      <c r="E226" s="580"/>
      <c r="F226" s="580"/>
      <c r="G226" s="580"/>
      <c r="H226" s="580"/>
      <c r="I226" s="580"/>
      <c r="J226" s="580"/>
      <c r="M226" s="680"/>
      <c r="N226" s="680"/>
      <c r="O226" s="681"/>
      <c r="Q226" s="682"/>
      <c r="R226" s="683"/>
      <c r="S226" s="683"/>
      <c r="T226" s="580"/>
    </row>
    <row r="227" spans="1:20" s="679" customFormat="1" x14ac:dyDescent="0.3">
      <c r="A227" s="580"/>
      <c r="B227" s="677"/>
      <c r="C227" s="580"/>
      <c r="D227" s="580"/>
      <c r="E227" s="580"/>
      <c r="F227" s="580"/>
      <c r="G227" s="580"/>
      <c r="H227" s="580"/>
      <c r="I227" s="580"/>
      <c r="J227" s="580"/>
      <c r="M227" s="680"/>
      <c r="N227" s="680"/>
      <c r="O227" s="681"/>
      <c r="Q227" s="682"/>
      <c r="R227" s="683"/>
      <c r="S227" s="683"/>
      <c r="T227" s="580"/>
    </row>
    <row r="228" spans="1:20" s="679" customFormat="1" x14ac:dyDescent="0.3">
      <c r="A228" s="580"/>
      <c r="B228" s="677"/>
      <c r="C228" s="580"/>
      <c r="D228" s="580"/>
      <c r="E228" s="580"/>
      <c r="F228" s="580"/>
      <c r="G228" s="580"/>
      <c r="H228" s="580"/>
      <c r="I228" s="580"/>
      <c r="J228" s="580"/>
      <c r="M228" s="680"/>
      <c r="N228" s="680"/>
      <c r="O228" s="681"/>
      <c r="Q228" s="682"/>
      <c r="R228" s="683"/>
      <c r="S228" s="683"/>
      <c r="T228" s="580"/>
    </row>
    <row r="229" spans="1:20" s="679" customFormat="1" x14ac:dyDescent="0.3">
      <c r="A229" s="580"/>
      <c r="B229" s="677"/>
      <c r="C229" s="580"/>
      <c r="D229" s="580"/>
      <c r="E229" s="580"/>
      <c r="F229" s="580"/>
      <c r="G229" s="580"/>
      <c r="H229" s="580"/>
      <c r="I229" s="580"/>
      <c r="J229" s="580"/>
      <c r="M229" s="680"/>
      <c r="N229" s="680"/>
      <c r="O229" s="681"/>
      <c r="Q229" s="682"/>
      <c r="R229" s="683"/>
      <c r="S229" s="683"/>
      <c r="T229" s="580"/>
    </row>
    <row r="230" spans="1:20" s="679" customFormat="1" x14ac:dyDescent="0.3">
      <c r="A230" s="580"/>
      <c r="B230" s="677"/>
      <c r="C230" s="580"/>
      <c r="D230" s="580"/>
      <c r="E230" s="580"/>
      <c r="F230" s="580"/>
      <c r="G230" s="580"/>
      <c r="H230" s="580"/>
      <c r="I230" s="580"/>
      <c r="J230" s="580"/>
      <c r="M230" s="680"/>
      <c r="N230" s="680"/>
      <c r="O230" s="681"/>
      <c r="Q230" s="682"/>
      <c r="R230" s="683"/>
      <c r="S230" s="683"/>
      <c r="T230" s="580"/>
    </row>
    <row r="231" spans="1:20" s="679" customFormat="1" x14ac:dyDescent="0.3">
      <c r="A231" s="580"/>
      <c r="B231" s="677"/>
      <c r="C231" s="580"/>
      <c r="D231" s="580"/>
      <c r="E231" s="580"/>
      <c r="F231" s="580"/>
      <c r="G231" s="580"/>
      <c r="H231" s="580"/>
      <c r="I231" s="580"/>
      <c r="J231" s="580"/>
      <c r="M231" s="680"/>
      <c r="N231" s="680"/>
      <c r="O231" s="681"/>
      <c r="Q231" s="682"/>
      <c r="R231" s="683"/>
      <c r="S231" s="683"/>
      <c r="T231" s="580"/>
    </row>
    <row r="232" spans="1:20" s="679" customFormat="1" x14ac:dyDescent="0.3">
      <c r="A232" s="580"/>
      <c r="B232" s="677"/>
      <c r="C232" s="580"/>
      <c r="D232" s="580"/>
      <c r="E232" s="580"/>
      <c r="F232" s="580"/>
      <c r="G232" s="580"/>
      <c r="H232" s="580"/>
      <c r="I232" s="580"/>
      <c r="J232" s="580"/>
      <c r="M232" s="680"/>
      <c r="N232" s="680"/>
      <c r="O232" s="681"/>
      <c r="Q232" s="682"/>
      <c r="R232" s="683"/>
      <c r="S232" s="683"/>
      <c r="T232" s="580"/>
    </row>
    <row r="233" spans="1:20" s="679" customFormat="1" x14ac:dyDescent="0.3">
      <c r="A233" s="580"/>
      <c r="B233" s="677"/>
      <c r="C233" s="580"/>
      <c r="D233" s="580"/>
      <c r="E233" s="580"/>
      <c r="F233" s="580"/>
      <c r="G233" s="580"/>
      <c r="H233" s="580"/>
      <c r="I233" s="580"/>
      <c r="J233" s="580"/>
      <c r="M233" s="680"/>
      <c r="N233" s="680"/>
      <c r="O233" s="681"/>
      <c r="Q233" s="682"/>
      <c r="R233" s="683"/>
      <c r="S233" s="683"/>
      <c r="T233" s="580"/>
    </row>
    <row r="234" spans="1:20" s="679" customFormat="1" x14ac:dyDescent="0.3">
      <c r="A234" s="580"/>
      <c r="B234" s="677"/>
      <c r="C234" s="580"/>
      <c r="D234" s="580"/>
      <c r="E234" s="580"/>
      <c r="F234" s="580"/>
      <c r="G234" s="580"/>
      <c r="H234" s="580"/>
      <c r="I234" s="580"/>
      <c r="J234" s="580"/>
      <c r="M234" s="680"/>
      <c r="N234" s="680"/>
      <c r="O234" s="681"/>
      <c r="Q234" s="682"/>
      <c r="R234" s="683"/>
      <c r="S234" s="683"/>
      <c r="T234" s="580"/>
    </row>
    <row r="235" spans="1:20" s="679" customFormat="1" x14ac:dyDescent="0.3">
      <c r="A235" s="580"/>
      <c r="B235" s="677"/>
      <c r="C235" s="580"/>
      <c r="D235" s="580"/>
      <c r="E235" s="580"/>
      <c r="F235" s="580"/>
      <c r="G235" s="580"/>
      <c r="H235" s="580"/>
      <c r="I235" s="580"/>
      <c r="J235" s="580"/>
      <c r="M235" s="680"/>
      <c r="N235" s="680"/>
      <c r="O235" s="681"/>
      <c r="Q235" s="682"/>
      <c r="R235" s="683"/>
      <c r="S235" s="683"/>
      <c r="T235" s="580"/>
    </row>
    <row r="236" spans="1:20" s="679" customFormat="1" x14ac:dyDescent="0.3">
      <c r="A236" s="580"/>
      <c r="B236" s="677"/>
      <c r="C236" s="580"/>
      <c r="D236" s="580"/>
      <c r="E236" s="580"/>
      <c r="F236" s="580"/>
      <c r="G236" s="580"/>
      <c r="H236" s="580"/>
      <c r="I236" s="580"/>
      <c r="J236" s="580"/>
      <c r="M236" s="680"/>
      <c r="N236" s="680"/>
      <c r="O236" s="681"/>
      <c r="Q236" s="682"/>
      <c r="R236" s="683"/>
      <c r="S236" s="683"/>
      <c r="T236" s="580"/>
    </row>
    <row r="237" spans="1:20" s="679" customFormat="1" x14ac:dyDescent="0.3">
      <c r="A237" s="580"/>
      <c r="B237" s="677"/>
      <c r="C237" s="580"/>
      <c r="D237" s="580"/>
      <c r="E237" s="580"/>
      <c r="F237" s="580"/>
      <c r="G237" s="580"/>
      <c r="H237" s="580"/>
      <c r="I237" s="580"/>
      <c r="J237" s="580"/>
      <c r="M237" s="680"/>
      <c r="N237" s="680"/>
      <c r="O237" s="681"/>
      <c r="Q237" s="682"/>
      <c r="R237" s="683"/>
      <c r="S237" s="683"/>
      <c r="T237" s="580"/>
    </row>
    <row r="238" spans="1:20" s="679" customFormat="1" x14ac:dyDescent="0.3">
      <c r="A238" s="580"/>
      <c r="B238" s="677"/>
      <c r="C238" s="580"/>
      <c r="D238" s="580"/>
      <c r="E238" s="580"/>
      <c r="F238" s="580"/>
      <c r="G238" s="580"/>
      <c r="H238" s="580"/>
      <c r="I238" s="580"/>
      <c r="J238" s="580"/>
      <c r="M238" s="680"/>
      <c r="N238" s="680"/>
      <c r="O238" s="681"/>
      <c r="Q238" s="682"/>
      <c r="R238" s="683"/>
      <c r="S238" s="683"/>
      <c r="T238" s="580"/>
    </row>
    <row r="239" spans="1:20" s="679" customFormat="1" x14ac:dyDescent="0.3">
      <c r="A239" s="580"/>
      <c r="B239" s="677"/>
      <c r="C239" s="580"/>
      <c r="D239" s="580"/>
      <c r="E239" s="580"/>
      <c r="F239" s="580"/>
      <c r="G239" s="580"/>
      <c r="H239" s="580"/>
      <c r="I239" s="580"/>
      <c r="J239" s="580"/>
      <c r="M239" s="680"/>
      <c r="N239" s="680"/>
      <c r="O239" s="681"/>
      <c r="Q239" s="682"/>
      <c r="R239" s="683"/>
      <c r="S239" s="683"/>
      <c r="T239" s="580"/>
    </row>
    <row r="240" spans="1:20" s="679" customFormat="1" x14ac:dyDescent="0.3">
      <c r="A240" s="580"/>
      <c r="B240" s="677"/>
      <c r="C240" s="580"/>
      <c r="D240" s="580"/>
      <c r="E240" s="580"/>
      <c r="F240" s="580"/>
      <c r="G240" s="580"/>
      <c r="H240" s="580"/>
      <c r="I240" s="580"/>
      <c r="J240" s="580"/>
      <c r="M240" s="680"/>
      <c r="N240" s="680"/>
      <c r="O240" s="681"/>
      <c r="Q240" s="682"/>
      <c r="R240" s="683"/>
      <c r="S240" s="683"/>
      <c r="T240" s="580"/>
    </row>
    <row r="241" spans="1:20" s="679" customFormat="1" x14ac:dyDescent="0.3">
      <c r="A241" s="580"/>
      <c r="B241" s="677"/>
      <c r="C241" s="580"/>
      <c r="D241" s="580"/>
      <c r="E241" s="580"/>
      <c r="F241" s="580"/>
      <c r="G241" s="580"/>
      <c r="H241" s="580"/>
      <c r="I241" s="580"/>
      <c r="J241" s="580"/>
      <c r="M241" s="680"/>
      <c r="N241" s="680"/>
      <c r="O241" s="681"/>
      <c r="Q241" s="682"/>
      <c r="R241" s="683"/>
      <c r="S241" s="683"/>
      <c r="T241" s="580"/>
    </row>
    <row r="242" spans="1:20" s="679" customFormat="1" x14ac:dyDescent="0.3">
      <c r="A242" s="580"/>
      <c r="B242" s="677"/>
      <c r="C242" s="580"/>
      <c r="D242" s="580"/>
      <c r="E242" s="580"/>
      <c r="F242" s="580"/>
      <c r="G242" s="580"/>
      <c r="H242" s="580"/>
      <c r="I242" s="580"/>
      <c r="J242" s="580"/>
      <c r="M242" s="680"/>
      <c r="N242" s="680"/>
      <c r="O242" s="681"/>
      <c r="Q242" s="682"/>
      <c r="R242" s="683"/>
      <c r="S242" s="683"/>
      <c r="T242" s="580"/>
    </row>
    <row r="243" spans="1:20" s="679" customFormat="1" x14ac:dyDescent="0.3">
      <c r="A243" s="580"/>
      <c r="B243" s="677"/>
      <c r="C243" s="580"/>
      <c r="D243" s="580"/>
      <c r="E243" s="580"/>
      <c r="F243" s="580"/>
      <c r="G243" s="580"/>
      <c r="H243" s="580"/>
      <c r="I243" s="580"/>
      <c r="J243" s="580"/>
      <c r="M243" s="680"/>
      <c r="N243" s="680"/>
      <c r="O243" s="681"/>
      <c r="Q243" s="682"/>
      <c r="R243" s="683"/>
      <c r="S243" s="683"/>
      <c r="T243" s="580"/>
    </row>
    <row r="244" spans="1:20" s="679" customFormat="1" x14ac:dyDescent="0.3">
      <c r="A244" s="580"/>
      <c r="B244" s="677"/>
      <c r="C244" s="580"/>
      <c r="D244" s="580"/>
      <c r="E244" s="580"/>
      <c r="F244" s="580"/>
      <c r="G244" s="580"/>
      <c r="H244" s="580"/>
      <c r="I244" s="580"/>
      <c r="J244" s="580"/>
      <c r="M244" s="680"/>
      <c r="N244" s="680"/>
      <c r="O244" s="681"/>
      <c r="Q244" s="682"/>
      <c r="R244" s="683"/>
      <c r="S244" s="683"/>
      <c r="T244" s="580"/>
    </row>
    <row r="245" spans="1:20" s="679" customFormat="1" x14ac:dyDescent="0.3">
      <c r="A245" s="580"/>
      <c r="B245" s="677"/>
      <c r="C245" s="580"/>
      <c r="D245" s="580"/>
      <c r="E245" s="580"/>
      <c r="F245" s="580"/>
      <c r="G245" s="580"/>
      <c r="H245" s="580"/>
      <c r="I245" s="580"/>
      <c r="J245" s="580"/>
      <c r="M245" s="680"/>
      <c r="N245" s="680"/>
      <c r="O245" s="681"/>
      <c r="Q245" s="682"/>
      <c r="R245" s="683"/>
      <c r="S245" s="683"/>
      <c r="T245" s="580"/>
    </row>
    <row r="246" spans="1:20" s="679" customFormat="1" x14ac:dyDescent="0.3">
      <c r="A246" s="580"/>
      <c r="B246" s="677"/>
      <c r="C246" s="580"/>
      <c r="D246" s="580"/>
      <c r="E246" s="580"/>
      <c r="F246" s="580"/>
      <c r="G246" s="580"/>
      <c r="H246" s="580"/>
      <c r="I246" s="580"/>
      <c r="J246" s="580"/>
      <c r="M246" s="680"/>
      <c r="N246" s="680"/>
      <c r="O246" s="681"/>
      <c r="Q246" s="682"/>
      <c r="R246" s="683"/>
      <c r="S246" s="683"/>
      <c r="T246" s="580"/>
    </row>
    <row r="247" spans="1:20" s="679" customFormat="1" x14ac:dyDescent="0.3">
      <c r="A247" s="580"/>
      <c r="B247" s="677"/>
      <c r="C247" s="580"/>
      <c r="D247" s="580"/>
      <c r="E247" s="580"/>
      <c r="F247" s="580"/>
      <c r="G247" s="580"/>
      <c r="H247" s="580"/>
      <c r="I247" s="580"/>
      <c r="J247" s="580"/>
      <c r="M247" s="680"/>
      <c r="N247" s="680"/>
      <c r="O247" s="681"/>
      <c r="Q247" s="682"/>
      <c r="R247" s="683"/>
      <c r="S247" s="683"/>
      <c r="T247" s="580"/>
    </row>
    <row r="248" spans="1:20" s="679" customFormat="1" x14ac:dyDescent="0.3">
      <c r="A248" s="580"/>
      <c r="B248" s="677"/>
      <c r="C248" s="580"/>
      <c r="D248" s="580"/>
      <c r="E248" s="580"/>
      <c r="F248" s="580"/>
      <c r="G248" s="580"/>
      <c r="H248" s="580"/>
      <c r="I248" s="580"/>
      <c r="J248" s="580"/>
      <c r="M248" s="680"/>
      <c r="N248" s="680"/>
      <c r="O248" s="681"/>
      <c r="Q248" s="682"/>
      <c r="R248" s="683"/>
      <c r="S248" s="683"/>
      <c r="T248" s="580"/>
    </row>
    <row r="249" spans="1:20" s="679" customFormat="1" x14ac:dyDescent="0.3">
      <c r="A249" s="580"/>
      <c r="B249" s="677"/>
      <c r="C249" s="580"/>
      <c r="D249" s="580"/>
      <c r="E249" s="580"/>
      <c r="F249" s="580"/>
      <c r="G249" s="580"/>
      <c r="H249" s="580"/>
      <c r="I249" s="580"/>
      <c r="J249" s="580"/>
      <c r="M249" s="680"/>
      <c r="N249" s="680"/>
      <c r="O249" s="681"/>
      <c r="Q249" s="682"/>
      <c r="R249" s="683"/>
      <c r="S249" s="683"/>
      <c r="T249" s="580"/>
    </row>
    <row r="250" spans="1:20" s="679" customFormat="1" x14ac:dyDescent="0.3">
      <c r="A250" s="580"/>
      <c r="B250" s="677"/>
      <c r="C250" s="580"/>
      <c r="D250" s="580"/>
      <c r="E250" s="580"/>
      <c r="F250" s="580"/>
      <c r="G250" s="580"/>
      <c r="H250" s="580"/>
      <c r="I250" s="580"/>
      <c r="J250" s="580"/>
      <c r="M250" s="680"/>
      <c r="N250" s="680"/>
      <c r="O250" s="681"/>
      <c r="Q250" s="682"/>
      <c r="R250" s="683"/>
      <c r="S250" s="683"/>
      <c r="T250" s="580"/>
    </row>
    <row r="251" spans="1:20" s="679" customFormat="1" x14ac:dyDescent="0.3">
      <c r="A251" s="580"/>
      <c r="B251" s="677"/>
      <c r="C251" s="580"/>
      <c r="D251" s="580"/>
      <c r="E251" s="580"/>
      <c r="F251" s="580"/>
      <c r="G251" s="580"/>
      <c r="H251" s="580"/>
      <c r="I251" s="580"/>
      <c r="J251" s="580"/>
      <c r="M251" s="680"/>
      <c r="N251" s="680"/>
      <c r="O251" s="681"/>
      <c r="Q251" s="682"/>
      <c r="R251" s="683"/>
      <c r="S251" s="683"/>
      <c r="T251" s="580"/>
    </row>
    <row r="252" spans="1:20" s="679" customFormat="1" x14ac:dyDescent="0.3">
      <c r="A252" s="580"/>
      <c r="B252" s="677"/>
      <c r="C252" s="580"/>
      <c r="D252" s="580"/>
      <c r="E252" s="580"/>
      <c r="F252" s="580"/>
      <c r="G252" s="580"/>
      <c r="H252" s="580"/>
      <c r="I252" s="580"/>
      <c r="J252" s="580"/>
      <c r="M252" s="680"/>
      <c r="N252" s="680"/>
      <c r="O252" s="681"/>
      <c r="Q252" s="682"/>
      <c r="R252" s="683"/>
      <c r="S252" s="683"/>
      <c r="T252" s="580"/>
    </row>
    <row r="253" spans="1:20" s="679" customFormat="1" x14ac:dyDescent="0.3">
      <c r="A253" s="580"/>
      <c r="B253" s="677"/>
      <c r="C253" s="580"/>
      <c r="D253" s="580"/>
      <c r="E253" s="580"/>
      <c r="F253" s="580"/>
      <c r="G253" s="580"/>
      <c r="H253" s="580"/>
      <c r="I253" s="580"/>
      <c r="J253" s="580"/>
      <c r="M253" s="680"/>
      <c r="N253" s="680"/>
      <c r="O253" s="681"/>
      <c r="Q253" s="682"/>
      <c r="R253" s="683"/>
      <c r="S253" s="683"/>
      <c r="T253" s="580"/>
    </row>
    <row r="254" spans="1:20" s="679" customFormat="1" x14ac:dyDescent="0.3">
      <c r="A254" s="580"/>
      <c r="B254" s="677"/>
      <c r="C254" s="580"/>
      <c r="D254" s="580"/>
      <c r="E254" s="580"/>
      <c r="F254" s="580"/>
      <c r="G254" s="580"/>
      <c r="H254" s="580"/>
      <c r="I254" s="580"/>
      <c r="J254" s="580"/>
      <c r="M254" s="680"/>
      <c r="N254" s="680"/>
      <c r="O254" s="681"/>
      <c r="Q254" s="682"/>
      <c r="R254" s="683"/>
      <c r="S254" s="683"/>
      <c r="T254" s="580"/>
    </row>
    <row r="255" spans="1:20" s="679" customFormat="1" x14ac:dyDescent="0.3">
      <c r="A255" s="580"/>
      <c r="B255" s="677"/>
      <c r="C255" s="580"/>
      <c r="D255" s="580"/>
      <c r="E255" s="580"/>
      <c r="F255" s="580"/>
      <c r="G255" s="580"/>
      <c r="H255" s="580"/>
      <c r="I255" s="580"/>
      <c r="J255" s="580"/>
      <c r="M255" s="680"/>
      <c r="N255" s="680"/>
      <c r="O255" s="681"/>
      <c r="Q255" s="682"/>
      <c r="R255" s="683"/>
      <c r="S255" s="683"/>
      <c r="T255" s="580"/>
    </row>
    <row r="256" spans="1:20" s="679" customFormat="1" x14ac:dyDescent="0.3">
      <c r="A256" s="580"/>
      <c r="B256" s="677"/>
      <c r="C256" s="580"/>
      <c r="D256" s="580"/>
      <c r="E256" s="580"/>
      <c r="F256" s="580"/>
      <c r="G256" s="580"/>
      <c r="H256" s="580"/>
      <c r="I256" s="580"/>
      <c r="J256" s="580"/>
      <c r="M256" s="680"/>
      <c r="N256" s="680"/>
      <c r="O256" s="681"/>
      <c r="Q256" s="682"/>
      <c r="R256" s="683"/>
      <c r="S256" s="683"/>
      <c r="T256" s="580"/>
    </row>
    <row r="257" spans="1:20" s="679" customFormat="1" x14ac:dyDescent="0.3">
      <c r="A257" s="580"/>
      <c r="B257" s="677"/>
      <c r="C257" s="580"/>
      <c r="D257" s="580"/>
      <c r="E257" s="580"/>
      <c r="F257" s="580"/>
      <c r="G257" s="580"/>
      <c r="H257" s="580"/>
      <c r="I257" s="580"/>
      <c r="J257" s="580"/>
      <c r="M257" s="680"/>
      <c r="N257" s="680"/>
      <c r="O257" s="681"/>
      <c r="Q257" s="682"/>
      <c r="R257" s="683"/>
      <c r="S257" s="683"/>
      <c r="T257" s="580"/>
    </row>
    <row r="258" spans="1:20" s="679" customFormat="1" x14ac:dyDescent="0.3">
      <c r="A258" s="580"/>
      <c r="B258" s="677"/>
      <c r="C258" s="580"/>
      <c r="D258" s="580"/>
      <c r="E258" s="580"/>
      <c r="F258" s="580"/>
      <c r="G258" s="580"/>
      <c r="H258" s="580"/>
      <c r="I258" s="580"/>
      <c r="J258" s="580"/>
      <c r="M258" s="680"/>
      <c r="N258" s="680"/>
      <c r="O258" s="681"/>
      <c r="Q258" s="682"/>
      <c r="R258" s="683"/>
      <c r="S258" s="683"/>
      <c r="T258" s="580"/>
    </row>
    <row r="259" spans="1:20" s="679" customFormat="1" x14ac:dyDescent="0.3">
      <c r="A259" s="580"/>
      <c r="B259" s="677"/>
      <c r="C259" s="580"/>
      <c r="D259" s="580"/>
      <c r="E259" s="580"/>
      <c r="F259" s="580"/>
      <c r="G259" s="580"/>
      <c r="H259" s="580"/>
      <c r="I259" s="580"/>
      <c r="J259" s="580"/>
      <c r="M259" s="680"/>
      <c r="N259" s="680"/>
      <c r="O259" s="681"/>
      <c r="Q259" s="682"/>
      <c r="R259" s="683"/>
      <c r="S259" s="683"/>
      <c r="T259" s="580"/>
    </row>
    <row r="260" spans="1:20" s="679" customFormat="1" x14ac:dyDescent="0.3">
      <c r="A260" s="580"/>
      <c r="B260" s="677"/>
      <c r="C260" s="580"/>
      <c r="D260" s="580"/>
      <c r="E260" s="580"/>
      <c r="F260" s="580"/>
      <c r="G260" s="580"/>
      <c r="H260" s="580"/>
      <c r="I260" s="580"/>
      <c r="J260" s="580"/>
      <c r="M260" s="680"/>
      <c r="N260" s="680"/>
      <c r="O260" s="681"/>
      <c r="Q260" s="682"/>
      <c r="R260" s="683"/>
      <c r="S260" s="683"/>
      <c r="T260" s="580"/>
    </row>
    <row r="261" spans="1:20" s="679" customFormat="1" x14ac:dyDescent="0.3">
      <c r="A261" s="580"/>
      <c r="B261" s="677"/>
      <c r="C261" s="580"/>
      <c r="D261" s="580"/>
      <c r="E261" s="580"/>
      <c r="F261" s="580"/>
      <c r="G261" s="580"/>
      <c r="H261" s="580"/>
      <c r="I261" s="580"/>
      <c r="J261" s="580"/>
      <c r="M261" s="680"/>
      <c r="N261" s="680"/>
      <c r="O261" s="681"/>
      <c r="Q261" s="682"/>
      <c r="R261" s="683"/>
      <c r="S261" s="683"/>
      <c r="T261" s="580"/>
    </row>
    <row r="262" spans="1:20" s="679" customFormat="1" x14ac:dyDescent="0.3">
      <c r="A262" s="580"/>
      <c r="B262" s="677"/>
      <c r="C262" s="580"/>
      <c r="D262" s="580"/>
      <c r="E262" s="580"/>
      <c r="F262" s="580"/>
      <c r="G262" s="580"/>
      <c r="H262" s="580"/>
      <c r="I262" s="580"/>
      <c r="J262" s="580"/>
      <c r="M262" s="680"/>
      <c r="N262" s="680"/>
      <c r="O262" s="681"/>
      <c r="Q262" s="682"/>
      <c r="R262" s="683"/>
      <c r="S262" s="683"/>
      <c r="T262" s="580"/>
    </row>
    <row r="263" spans="1:20" s="679" customFormat="1" x14ac:dyDescent="0.3">
      <c r="A263" s="580"/>
      <c r="B263" s="677"/>
      <c r="C263" s="580"/>
      <c r="D263" s="580"/>
      <c r="E263" s="580"/>
      <c r="F263" s="580"/>
      <c r="G263" s="580"/>
      <c r="H263" s="580"/>
      <c r="I263" s="580"/>
      <c r="J263" s="580"/>
      <c r="M263" s="680"/>
      <c r="N263" s="680"/>
      <c r="O263" s="681"/>
      <c r="Q263" s="682"/>
      <c r="R263" s="683"/>
      <c r="S263" s="683"/>
      <c r="T263" s="580"/>
    </row>
    <row r="264" spans="1:20" s="679" customFormat="1" x14ac:dyDescent="0.3">
      <c r="A264" s="580"/>
      <c r="B264" s="677"/>
      <c r="C264" s="580"/>
      <c r="D264" s="580"/>
      <c r="E264" s="580"/>
      <c r="F264" s="580"/>
      <c r="G264" s="580"/>
      <c r="H264" s="580"/>
      <c r="I264" s="580"/>
      <c r="J264" s="580"/>
      <c r="M264" s="680"/>
      <c r="N264" s="680"/>
      <c r="O264" s="681"/>
      <c r="Q264" s="682"/>
      <c r="R264" s="683"/>
      <c r="S264" s="683"/>
      <c r="T264" s="580"/>
    </row>
    <row r="265" spans="1:20" s="679" customFormat="1" x14ac:dyDescent="0.3">
      <c r="A265" s="580"/>
      <c r="B265" s="677"/>
      <c r="C265" s="580"/>
      <c r="D265" s="580"/>
      <c r="E265" s="580"/>
      <c r="F265" s="580"/>
      <c r="G265" s="580"/>
      <c r="H265" s="580"/>
      <c r="I265" s="580"/>
      <c r="J265" s="580"/>
      <c r="M265" s="680"/>
      <c r="N265" s="680"/>
      <c r="O265" s="681"/>
      <c r="Q265" s="682"/>
      <c r="R265" s="683"/>
      <c r="S265" s="683"/>
      <c r="T265" s="580"/>
    </row>
    <row r="266" spans="1:20" s="679" customFormat="1" x14ac:dyDescent="0.3">
      <c r="A266" s="580"/>
      <c r="B266" s="677"/>
      <c r="C266" s="580"/>
      <c r="D266" s="580"/>
      <c r="E266" s="580"/>
      <c r="F266" s="580"/>
      <c r="G266" s="580"/>
      <c r="H266" s="580"/>
      <c r="I266" s="580"/>
      <c r="J266" s="580"/>
      <c r="M266" s="680"/>
      <c r="N266" s="680"/>
      <c r="O266" s="681"/>
      <c r="Q266" s="682"/>
      <c r="R266" s="683"/>
      <c r="S266" s="683"/>
      <c r="T266" s="580"/>
    </row>
    <row r="267" spans="1:20" s="679" customFormat="1" x14ac:dyDescent="0.3">
      <c r="A267" s="580"/>
      <c r="B267" s="677"/>
      <c r="C267" s="580"/>
      <c r="D267" s="580"/>
      <c r="E267" s="580"/>
      <c r="F267" s="580"/>
      <c r="G267" s="580"/>
      <c r="H267" s="580"/>
      <c r="I267" s="580"/>
      <c r="J267" s="580"/>
      <c r="M267" s="680"/>
      <c r="N267" s="680"/>
      <c r="O267" s="681"/>
      <c r="Q267" s="682"/>
      <c r="R267" s="683"/>
      <c r="S267" s="683"/>
      <c r="T267" s="580"/>
    </row>
    <row r="268" spans="1:20" s="679" customFormat="1" x14ac:dyDescent="0.3">
      <c r="A268" s="580"/>
      <c r="B268" s="677"/>
      <c r="C268" s="580"/>
      <c r="D268" s="580"/>
      <c r="E268" s="580"/>
      <c r="F268" s="580"/>
      <c r="G268" s="580"/>
      <c r="H268" s="580"/>
      <c r="I268" s="580"/>
      <c r="J268" s="580"/>
      <c r="M268" s="680"/>
      <c r="N268" s="680"/>
      <c r="O268" s="681"/>
      <c r="Q268" s="682"/>
      <c r="R268" s="683"/>
      <c r="S268" s="683"/>
      <c r="T268" s="580"/>
    </row>
    <row r="269" spans="1:20" s="679" customFormat="1" x14ac:dyDescent="0.3">
      <c r="A269" s="580"/>
      <c r="B269" s="677"/>
      <c r="C269" s="580"/>
      <c r="D269" s="580"/>
      <c r="E269" s="580"/>
      <c r="F269" s="580"/>
      <c r="G269" s="580"/>
      <c r="H269" s="580"/>
      <c r="I269" s="580"/>
      <c r="J269" s="580"/>
      <c r="M269" s="680"/>
      <c r="N269" s="680"/>
      <c r="O269" s="681"/>
      <c r="Q269" s="682"/>
      <c r="R269" s="683"/>
      <c r="S269" s="683"/>
      <c r="T269" s="580"/>
    </row>
    <row r="270" spans="1:20" s="679" customFormat="1" x14ac:dyDescent="0.3">
      <c r="A270" s="580"/>
      <c r="B270" s="677"/>
      <c r="C270" s="580"/>
      <c r="D270" s="580"/>
      <c r="E270" s="580"/>
      <c r="F270" s="580"/>
      <c r="G270" s="580"/>
      <c r="H270" s="580"/>
      <c r="I270" s="580"/>
      <c r="J270" s="580"/>
      <c r="M270" s="680"/>
      <c r="N270" s="680"/>
      <c r="O270" s="681"/>
      <c r="Q270" s="682"/>
      <c r="R270" s="683"/>
      <c r="S270" s="683"/>
      <c r="T270" s="580"/>
    </row>
    <row r="271" spans="1:20" s="679" customFormat="1" x14ac:dyDescent="0.3">
      <c r="A271" s="580"/>
      <c r="B271" s="677"/>
      <c r="C271" s="580"/>
      <c r="D271" s="580"/>
      <c r="E271" s="580"/>
      <c r="F271" s="580"/>
      <c r="G271" s="580"/>
      <c r="H271" s="580"/>
      <c r="I271" s="580"/>
      <c r="J271" s="580"/>
      <c r="M271" s="680"/>
      <c r="N271" s="680"/>
      <c r="O271" s="681"/>
      <c r="Q271" s="682"/>
      <c r="R271" s="683"/>
      <c r="S271" s="683"/>
      <c r="T271" s="580"/>
    </row>
    <row r="272" spans="1:20" s="679" customFormat="1" x14ac:dyDescent="0.3">
      <c r="A272" s="580"/>
      <c r="B272" s="677"/>
      <c r="C272" s="580"/>
      <c r="D272" s="580"/>
      <c r="E272" s="580"/>
      <c r="F272" s="580"/>
      <c r="G272" s="580"/>
      <c r="H272" s="580"/>
      <c r="I272" s="580"/>
      <c r="J272" s="580"/>
      <c r="M272" s="680"/>
      <c r="N272" s="680"/>
      <c r="O272" s="681"/>
      <c r="Q272" s="682"/>
      <c r="R272" s="683"/>
      <c r="S272" s="683"/>
      <c r="T272" s="580"/>
    </row>
    <row r="273" spans="1:20" s="679" customFormat="1" x14ac:dyDescent="0.3">
      <c r="A273" s="580"/>
      <c r="B273" s="677"/>
      <c r="C273" s="580"/>
      <c r="D273" s="580"/>
      <c r="E273" s="580"/>
      <c r="F273" s="580"/>
      <c r="G273" s="580"/>
      <c r="H273" s="580"/>
      <c r="I273" s="580"/>
      <c r="J273" s="580"/>
      <c r="M273" s="680"/>
      <c r="N273" s="680"/>
      <c r="O273" s="681"/>
      <c r="Q273" s="682"/>
      <c r="R273" s="683"/>
      <c r="S273" s="683"/>
      <c r="T273" s="580"/>
    </row>
    <row r="274" spans="1:20" s="679" customFormat="1" x14ac:dyDescent="0.3">
      <c r="A274" s="580"/>
      <c r="B274" s="677"/>
      <c r="C274" s="580"/>
      <c r="D274" s="580"/>
      <c r="E274" s="580"/>
      <c r="F274" s="580"/>
      <c r="G274" s="580"/>
      <c r="H274" s="580"/>
      <c r="I274" s="580"/>
      <c r="J274" s="580"/>
      <c r="M274" s="680"/>
      <c r="N274" s="680"/>
      <c r="O274" s="681"/>
      <c r="Q274" s="682"/>
      <c r="R274" s="683"/>
      <c r="S274" s="683"/>
      <c r="T274" s="580"/>
    </row>
    <row r="275" spans="1:20" s="679" customFormat="1" x14ac:dyDescent="0.3">
      <c r="A275" s="580"/>
      <c r="B275" s="677"/>
      <c r="C275" s="580"/>
      <c r="D275" s="580"/>
      <c r="E275" s="580"/>
      <c r="F275" s="580"/>
      <c r="G275" s="580"/>
      <c r="H275" s="580"/>
      <c r="I275" s="580"/>
      <c r="J275" s="580"/>
      <c r="M275" s="680"/>
      <c r="N275" s="680"/>
      <c r="O275" s="681"/>
      <c r="Q275" s="682"/>
      <c r="R275" s="683"/>
      <c r="S275" s="683"/>
      <c r="T275" s="580"/>
    </row>
    <row r="276" spans="1:20" s="679" customFormat="1" x14ac:dyDescent="0.3">
      <c r="A276" s="580"/>
      <c r="B276" s="677"/>
      <c r="C276" s="580"/>
      <c r="D276" s="580"/>
      <c r="E276" s="580"/>
      <c r="F276" s="580"/>
      <c r="G276" s="580"/>
      <c r="H276" s="580"/>
      <c r="I276" s="580"/>
      <c r="J276" s="580"/>
      <c r="M276" s="680"/>
      <c r="N276" s="680"/>
      <c r="O276" s="681"/>
      <c r="Q276" s="682"/>
      <c r="R276" s="683"/>
      <c r="S276" s="683"/>
      <c r="T276" s="580"/>
    </row>
    <row r="277" spans="1:20" s="679" customFormat="1" x14ac:dyDescent="0.3">
      <c r="A277" s="580"/>
      <c r="B277" s="677"/>
      <c r="C277" s="580"/>
      <c r="D277" s="580"/>
      <c r="E277" s="580"/>
      <c r="F277" s="580"/>
      <c r="G277" s="580"/>
      <c r="H277" s="580"/>
      <c r="I277" s="580"/>
      <c r="J277" s="580"/>
      <c r="M277" s="680"/>
      <c r="N277" s="680"/>
      <c r="O277" s="681"/>
      <c r="Q277" s="682"/>
      <c r="R277" s="683"/>
      <c r="S277" s="683"/>
      <c r="T277" s="580"/>
    </row>
    <row r="278" spans="1:20" s="679" customFormat="1" x14ac:dyDescent="0.3">
      <c r="A278" s="580"/>
      <c r="B278" s="677"/>
      <c r="C278" s="580"/>
      <c r="D278" s="580"/>
      <c r="E278" s="580"/>
      <c r="F278" s="580"/>
      <c r="G278" s="580"/>
      <c r="H278" s="580"/>
      <c r="I278" s="580"/>
      <c r="J278" s="580"/>
      <c r="M278" s="680"/>
      <c r="N278" s="680"/>
      <c r="O278" s="681"/>
      <c r="Q278" s="682"/>
      <c r="R278" s="683"/>
      <c r="S278" s="683"/>
      <c r="T278" s="580"/>
    </row>
    <row r="279" spans="1:20" s="679" customFormat="1" x14ac:dyDescent="0.3">
      <c r="A279" s="580"/>
      <c r="B279" s="677"/>
      <c r="C279" s="580"/>
      <c r="D279" s="580"/>
      <c r="E279" s="580"/>
      <c r="F279" s="580"/>
      <c r="G279" s="580"/>
      <c r="H279" s="580"/>
      <c r="I279" s="580"/>
      <c r="J279" s="580"/>
      <c r="M279" s="680"/>
      <c r="N279" s="680"/>
      <c r="O279" s="681"/>
      <c r="Q279" s="682"/>
      <c r="R279" s="683"/>
      <c r="S279" s="683"/>
      <c r="T279" s="580"/>
    </row>
    <row r="280" spans="1:20" s="679" customFormat="1" x14ac:dyDescent="0.3">
      <c r="A280" s="580"/>
      <c r="B280" s="677"/>
      <c r="C280" s="580"/>
      <c r="D280" s="580"/>
      <c r="E280" s="580"/>
      <c r="F280" s="580"/>
      <c r="G280" s="580"/>
      <c r="H280" s="580"/>
      <c r="I280" s="580"/>
      <c r="J280" s="580"/>
      <c r="M280" s="680"/>
      <c r="N280" s="680"/>
      <c r="O280" s="681"/>
      <c r="Q280" s="682"/>
      <c r="R280" s="683"/>
      <c r="S280" s="683"/>
      <c r="T280" s="580"/>
    </row>
    <row r="281" spans="1:20" s="679" customFormat="1" x14ac:dyDescent="0.3">
      <c r="A281" s="580"/>
      <c r="B281" s="677"/>
      <c r="C281" s="580"/>
      <c r="D281" s="580"/>
      <c r="E281" s="580"/>
      <c r="F281" s="580"/>
      <c r="G281" s="580"/>
      <c r="H281" s="580"/>
      <c r="I281" s="580"/>
      <c r="J281" s="580"/>
      <c r="M281" s="680"/>
      <c r="N281" s="680"/>
      <c r="O281" s="681"/>
      <c r="Q281" s="682"/>
      <c r="R281" s="683"/>
      <c r="S281" s="683"/>
      <c r="T281" s="580"/>
    </row>
    <row r="282" spans="1:20" s="679" customFormat="1" x14ac:dyDescent="0.3">
      <c r="A282" s="580"/>
      <c r="B282" s="677"/>
      <c r="C282" s="580"/>
      <c r="D282" s="580"/>
      <c r="E282" s="580"/>
      <c r="F282" s="580"/>
      <c r="G282" s="580"/>
      <c r="H282" s="580"/>
      <c r="I282" s="580"/>
      <c r="J282" s="580"/>
      <c r="M282" s="680"/>
      <c r="N282" s="680"/>
      <c r="O282" s="681"/>
      <c r="Q282" s="682"/>
      <c r="R282" s="683"/>
      <c r="S282" s="683"/>
      <c r="T282" s="580"/>
    </row>
    <row r="283" spans="1:20" s="679" customFormat="1" x14ac:dyDescent="0.3">
      <c r="A283" s="580"/>
      <c r="B283" s="677"/>
      <c r="C283" s="580"/>
      <c r="D283" s="580"/>
      <c r="E283" s="580"/>
      <c r="F283" s="580"/>
      <c r="G283" s="580"/>
      <c r="H283" s="580"/>
      <c r="I283" s="580"/>
      <c r="J283" s="580"/>
      <c r="M283" s="680"/>
      <c r="N283" s="680"/>
      <c r="O283" s="681"/>
      <c r="Q283" s="682"/>
      <c r="R283" s="683"/>
      <c r="S283" s="683"/>
      <c r="T283" s="580"/>
    </row>
    <row r="284" spans="1:20" s="679" customFormat="1" x14ac:dyDescent="0.3">
      <c r="A284" s="580"/>
      <c r="B284" s="677"/>
      <c r="C284" s="580"/>
      <c r="D284" s="580"/>
      <c r="E284" s="580"/>
      <c r="F284" s="580"/>
      <c r="G284" s="580"/>
      <c r="H284" s="580"/>
      <c r="I284" s="580"/>
      <c r="J284" s="580"/>
      <c r="M284" s="680"/>
      <c r="N284" s="680"/>
      <c r="O284" s="681"/>
      <c r="Q284" s="682"/>
      <c r="R284" s="683"/>
      <c r="S284" s="683"/>
      <c r="T284" s="580"/>
    </row>
    <row r="285" spans="1:20" s="679" customFormat="1" x14ac:dyDescent="0.3">
      <c r="A285" s="580"/>
      <c r="B285" s="677"/>
      <c r="C285" s="580"/>
      <c r="D285" s="580"/>
      <c r="E285" s="580"/>
      <c r="F285" s="580"/>
      <c r="G285" s="580"/>
      <c r="H285" s="580"/>
      <c r="I285" s="580"/>
      <c r="J285" s="580"/>
      <c r="M285" s="680"/>
      <c r="N285" s="680"/>
      <c r="O285" s="681"/>
      <c r="Q285" s="682"/>
      <c r="R285" s="683"/>
      <c r="S285" s="683"/>
      <c r="T285" s="580"/>
    </row>
    <row r="286" spans="1:20" s="679" customFormat="1" x14ac:dyDescent="0.3">
      <c r="A286" s="580"/>
      <c r="B286" s="677"/>
      <c r="C286" s="580"/>
      <c r="D286" s="580"/>
      <c r="E286" s="580"/>
      <c r="F286" s="580"/>
      <c r="G286" s="580"/>
      <c r="H286" s="580"/>
      <c r="I286" s="580"/>
      <c r="J286" s="580"/>
      <c r="M286" s="680"/>
      <c r="N286" s="680"/>
      <c r="O286" s="681"/>
      <c r="Q286" s="682"/>
      <c r="R286" s="683"/>
      <c r="S286" s="683"/>
      <c r="T286" s="580"/>
    </row>
    <row r="287" spans="1:20" s="679" customFormat="1" x14ac:dyDescent="0.3">
      <c r="A287" s="580"/>
      <c r="B287" s="677"/>
      <c r="C287" s="580"/>
      <c r="D287" s="580"/>
      <c r="E287" s="580"/>
      <c r="F287" s="580"/>
      <c r="G287" s="580"/>
      <c r="H287" s="580"/>
      <c r="I287" s="580"/>
      <c r="J287" s="580"/>
      <c r="M287" s="680"/>
      <c r="N287" s="680"/>
      <c r="O287" s="681"/>
      <c r="Q287" s="682"/>
      <c r="R287" s="683"/>
      <c r="S287" s="683"/>
      <c r="T287" s="580"/>
    </row>
    <row r="288" spans="1:20" s="679" customFormat="1" x14ac:dyDescent="0.3">
      <c r="A288" s="580"/>
      <c r="B288" s="677"/>
      <c r="C288" s="580"/>
      <c r="D288" s="580"/>
      <c r="E288" s="580"/>
      <c r="F288" s="580"/>
      <c r="G288" s="580"/>
      <c r="H288" s="580"/>
      <c r="I288" s="580"/>
      <c r="J288" s="580"/>
      <c r="M288" s="680"/>
      <c r="N288" s="680"/>
      <c r="O288" s="681"/>
      <c r="Q288" s="682"/>
      <c r="R288" s="683"/>
      <c r="S288" s="683"/>
      <c r="T288" s="580"/>
    </row>
    <row r="289" spans="1:20" s="679" customFormat="1" x14ac:dyDescent="0.3">
      <c r="A289" s="580"/>
      <c r="B289" s="677"/>
      <c r="C289" s="580"/>
      <c r="D289" s="580"/>
      <c r="E289" s="580"/>
      <c r="F289" s="580"/>
      <c r="G289" s="580"/>
      <c r="H289" s="580"/>
      <c r="I289" s="580"/>
      <c r="J289" s="580"/>
      <c r="M289" s="680"/>
      <c r="N289" s="680"/>
      <c r="O289" s="681"/>
      <c r="Q289" s="682"/>
      <c r="R289" s="683"/>
      <c r="S289" s="683"/>
      <c r="T289" s="580"/>
    </row>
    <row r="290" spans="1:20" s="679" customFormat="1" x14ac:dyDescent="0.3">
      <c r="A290" s="580"/>
      <c r="B290" s="677"/>
      <c r="C290" s="580"/>
      <c r="D290" s="580"/>
      <c r="E290" s="580"/>
      <c r="F290" s="580"/>
      <c r="G290" s="580"/>
      <c r="H290" s="580"/>
      <c r="I290" s="580"/>
      <c r="J290" s="580"/>
      <c r="M290" s="680"/>
      <c r="N290" s="680"/>
      <c r="O290" s="681"/>
      <c r="Q290" s="682"/>
      <c r="R290" s="683"/>
      <c r="S290" s="683"/>
      <c r="T290" s="580"/>
    </row>
    <row r="291" spans="1:20" s="679" customFormat="1" x14ac:dyDescent="0.3">
      <c r="A291" s="580"/>
      <c r="B291" s="677"/>
      <c r="C291" s="580"/>
      <c r="D291" s="580"/>
      <c r="E291" s="580"/>
      <c r="F291" s="580"/>
      <c r="G291" s="580"/>
      <c r="H291" s="580"/>
      <c r="I291" s="580"/>
      <c r="J291" s="580"/>
      <c r="M291" s="680"/>
      <c r="N291" s="680"/>
      <c r="O291" s="681"/>
      <c r="Q291" s="682"/>
      <c r="R291" s="683"/>
      <c r="S291" s="683"/>
      <c r="T291" s="580"/>
    </row>
    <row r="292" spans="1:20" s="679" customFormat="1" x14ac:dyDescent="0.3">
      <c r="A292" s="580"/>
      <c r="B292" s="677"/>
      <c r="C292" s="580"/>
      <c r="D292" s="580"/>
      <c r="E292" s="580"/>
      <c r="F292" s="580"/>
      <c r="G292" s="580"/>
      <c r="H292" s="580"/>
      <c r="I292" s="580"/>
      <c r="J292" s="580"/>
      <c r="M292" s="680"/>
      <c r="N292" s="680"/>
      <c r="O292" s="681"/>
      <c r="Q292" s="682"/>
      <c r="R292" s="683"/>
      <c r="S292" s="683"/>
      <c r="T292" s="580"/>
    </row>
    <row r="293" spans="1:20" s="679" customFormat="1" x14ac:dyDescent="0.3">
      <c r="A293" s="580"/>
      <c r="B293" s="677"/>
      <c r="C293" s="580"/>
      <c r="D293" s="580"/>
      <c r="E293" s="580"/>
      <c r="F293" s="580"/>
      <c r="G293" s="580"/>
      <c r="H293" s="580"/>
      <c r="I293" s="580"/>
      <c r="J293" s="580"/>
      <c r="M293" s="680"/>
      <c r="N293" s="680"/>
      <c r="O293" s="681"/>
      <c r="Q293" s="682"/>
      <c r="R293" s="683"/>
      <c r="S293" s="683"/>
      <c r="T293" s="580"/>
    </row>
    <row r="294" spans="1:20" s="679" customFormat="1" x14ac:dyDescent="0.3">
      <c r="A294" s="580"/>
      <c r="B294" s="677"/>
      <c r="C294" s="580"/>
      <c r="D294" s="580"/>
      <c r="E294" s="580"/>
      <c r="F294" s="580"/>
      <c r="G294" s="580"/>
      <c r="H294" s="580"/>
      <c r="I294" s="580"/>
      <c r="J294" s="580"/>
      <c r="M294" s="680"/>
      <c r="N294" s="680"/>
      <c r="O294" s="681"/>
      <c r="Q294" s="682"/>
      <c r="R294" s="683"/>
      <c r="S294" s="683"/>
      <c r="T294" s="580"/>
    </row>
    <row r="295" spans="1:20" s="679" customFormat="1" x14ac:dyDescent="0.3">
      <c r="A295" s="580"/>
      <c r="B295" s="677"/>
      <c r="C295" s="580"/>
      <c r="D295" s="580"/>
      <c r="E295" s="580"/>
      <c r="F295" s="580"/>
      <c r="G295" s="580"/>
      <c r="H295" s="580"/>
      <c r="I295" s="580"/>
      <c r="J295" s="580"/>
      <c r="M295" s="680"/>
      <c r="N295" s="680"/>
      <c r="O295" s="681"/>
      <c r="Q295" s="682"/>
      <c r="R295" s="683"/>
      <c r="S295" s="683"/>
      <c r="T295" s="580"/>
    </row>
    <row r="296" spans="1:20" s="679" customFormat="1" x14ac:dyDescent="0.3">
      <c r="A296" s="580"/>
      <c r="B296" s="677"/>
      <c r="C296" s="580"/>
      <c r="D296" s="580"/>
      <c r="E296" s="580"/>
      <c r="F296" s="580"/>
      <c r="G296" s="580"/>
      <c r="H296" s="580"/>
      <c r="I296" s="580"/>
      <c r="J296" s="580"/>
      <c r="M296" s="680"/>
      <c r="N296" s="680"/>
      <c r="O296" s="681"/>
      <c r="Q296" s="682"/>
      <c r="R296" s="683"/>
      <c r="S296" s="683"/>
      <c r="T296" s="580"/>
    </row>
    <row r="297" spans="1:20" s="679" customFormat="1" x14ac:dyDescent="0.3">
      <c r="A297" s="580"/>
      <c r="B297" s="677"/>
      <c r="C297" s="580"/>
      <c r="D297" s="580"/>
      <c r="E297" s="580"/>
      <c r="F297" s="580"/>
      <c r="G297" s="580"/>
      <c r="H297" s="580"/>
      <c r="I297" s="580"/>
      <c r="J297" s="580"/>
      <c r="M297" s="680"/>
      <c r="N297" s="680"/>
      <c r="O297" s="681"/>
      <c r="Q297" s="682"/>
      <c r="R297" s="683"/>
      <c r="S297" s="683"/>
      <c r="T297" s="580"/>
    </row>
    <row r="298" spans="1:20" s="679" customFormat="1" x14ac:dyDescent="0.3">
      <c r="A298" s="580"/>
      <c r="B298" s="677"/>
      <c r="C298" s="580"/>
      <c r="D298" s="580"/>
      <c r="E298" s="580"/>
      <c r="F298" s="580"/>
      <c r="G298" s="580"/>
      <c r="H298" s="580"/>
      <c r="I298" s="580"/>
      <c r="J298" s="580"/>
      <c r="M298" s="680"/>
      <c r="N298" s="680"/>
      <c r="O298" s="681"/>
      <c r="Q298" s="682"/>
      <c r="R298" s="683"/>
      <c r="S298" s="683"/>
      <c r="T298" s="580"/>
    </row>
    <row r="299" spans="1:20" s="679" customFormat="1" x14ac:dyDescent="0.3">
      <c r="A299" s="580"/>
      <c r="B299" s="677"/>
      <c r="C299" s="580"/>
      <c r="D299" s="580"/>
      <c r="E299" s="580"/>
      <c r="F299" s="580"/>
      <c r="G299" s="580"/>
      <c r="H299" s="580"/>
      <c r="I299" s="580"/>
      <c r="J299" s="580"/>
      <c r="M299" s="680"/>
      <c r="N299" s="680"/>
      <c r="O299" s="681"/>
      <c r="Q299" s="682"/>
      <c r="R299" s="683"/>
      <c r="S299" s="683"/>
      <c r="T299" s="580"/>
    </row>
    <row r="300" spans="1:20" s="679" customFormat="1" x14ac:dyDescent="0.3">
      <c r="A300" s="580"/>
      <c r="B300" s="677"/>
      <c r="C300" s="580"/>
      <c r="D300" s="580"/>
      <c r="E300" s="580"/>
      <c r="F300" s="580"/>
      <c r="G300" s="580"/>
      <c r="H300" s="580"/>
      <c r="I300" s="580"/>
      <c r="J300" s="580"/>
      <c r="M300" s="680"/>
      <c r="N300" s="680"/>
      <c r="O300" s="681"/>
      <c r="Q300" s="682"/>
      <c r="R300" s="683"/>
      <c r="S300" s="683"/>
      <c r="T300" s="580"/>
    </row>
    <row r="301" spans="1:20" s="679" customFormat="1" x14ac:dyDescent="0.3">
      <c r="A301" s="580"/>
      <c r="B301" s="677"/>
      <c r="C301" s="580"/>
      <c r="D301" s="580"/>
      <c r="E301" s="580"/>
      <c r="F301" s="580"/>
      <c r="G301" s="580"/>
      <c r="H301" s="580"/>
      <c r="I301" s="580"/>
      <c r="J301" s="580"/>
      <c r="M301" s="680"/>
      <c r="N301" s="680"/>
      <c r="O301" s="681"/>
      <c r="Q301" s="682"/>
      <c r="R301" s="683"/>
      <c r="S301" s="683"/>
      <c r="T301" s="580"/>
    </row>
    <row r="302" spans="1:20" s="679" customFormat="1" x14ac:dyDescent="0.3">
      <c r="A302" s="580"/>
      <c r="B302" s="677"/>
      <c r="C302" s="580"/>
      <c r="D302" s="580"/>
      <c r="E302" s="580"/>
      <c r="F302" s="580"/>
      <c r="G302" s="580"/>
      <c r="H302" s="580"/>
      <c r="I302" s="580"/>
      <c r="J302" s="580"/>
      <c r="M302" s="680"/>
      <c r="N302" s="680"/>
      <c r="O302" s="681"/>
      <c r="Q302" s="682"/>
      <c r="R302" s="683"/>
      <c r="S302" s="683"/>
      <c r="T302" s="580"/>
    </row>
    <row r="303" spans="1:20" s="679" customFormat="1" x14ac:dyDescent="0.3">
      <c r="A303" s="580"/>
      <c r="B303" s="677"/>
      <c r="C303" s="580"/>
      <c r="D303" s="580"/>
      <c r="E303" s="580"/>
      <c r="F303" s="580"/>
      <c r="G303" s="580"/>
      <c r="H303" s="580"/>
      <c r="I303" s="580"/>
      <c r="J303" s="580"/>
      <c r="M303" s="680"/>
      <c r="N303" s="680"/>
      <c r="O303" s="681"/>
      <c r="Q303" s="682"/>
      <c r="R303" s="683"/>
      <c r="S303" s="683"/>
      <c r="T303" s="580"/>
    </row>
    <row r="304" spans="1:20" s="679" customFormat="1" x14ac:dyDescent="0.3">
      <c r="A304" s="580"/>
      <c r="B304" s="677"/>
      <c r="C304" s="580"/>
      <c r="D304" s="580"/>
      <c r="E304" s="580"/>
      <c r="F304" s="580"/>
      <c r="G304" s="580"/>
      <c r="H304" s="580"/>
      <c r="I304" s="580"/>
      <c r="J304" s="580"/>
      <c r="M304" s="680"/>
      <c r="N304" s="680"/>
      <c r="O304" s="681"/>
      <c r="Q304" s="682"/>
      <c r="R304" s="683"/>
      <c r="S304" s="683"/>
      <c r="T304" s="580"/>
    </row>
    <row r="305" spans="1:20" s="679" customFormat="1" x14ac:dyDescent="0.3">
      <c r="A305" s="580"/>
      <c r="B305" s="677"/>
      <c r="C305" s="580"/>
      <c r="D305" s="580"/>
      <c r="E305" s="580"/>
      <c r="F305" s="580"/>
      <c r="G305" s="580"/>
      <c r="H305" s="580"/>
      <c r="I305" s="580"/>
      <c r="J305" s="580"/>
      <c r="M305" s="680"/>
      <c r="N305" s="680"/>
      <c r="O305" s="681"/>
      <c r="Q305" s="682"/>
      <c r="R305" s="683"/>
      <c r="S305" s="683"/>
      <c r="T305" s="580"/>
    </row>
    <row r="306" spans="1:20" s="679" customFormat="1" x14ac:dyDescent="0.3">
      <c r="A306" s="580"/>
      <c r="B306" s="677"/>
      <c r="C306" s="580"/>
      <c r="D306" s="580"/>
      <c r="E306" s="580"/>
      <c r="F306" s="580"/>
      <c r="G306" s="580"/>
      <c r="H306" s="580"/>
      <c r="I306" s="580"/>
      <c r="J306" s="580"/>
      <c r="M306" s="680"/>
      <c r="N306" s="680"/>
      <c r="O306" s="681"/>
      <c r="Q306" s="682"/>
      <c r="R306" s="683"/>
      <c r="S306" s="683"/>
      <c r="T306" s="580"/>
    </row>
    <row r="307" spans="1:20" s="679" customFormat="1" x14ac:dyDescent="0.3">
      <c r="A307" s="580"/>
      <c r="B307" s="677"/>
      <c r="C307" s="580"/>
      <c r="D307" s="580"/>
      <c r="E307" s="580"/>
      <c r="F307" s="580"/>
      <c r="G307" s="580"/>
      <c r="H307" s="580"/>
      <c r="I307" s="580"/>
      <c r="J307" s="580"/>
      <c r="M307" s="680"/>
      <c r="N307" s="680"/>
      <c r="O307" s="681"/>
      <c r="Q307" s="682"/>
      <c r="R307" s="683"/>
      <c r="S307" s="683"/>
      <c r="T307" s="580"/>
    </row>
    <row r="308" spans="1:20" s="679" customFormat="1" x14ac:dyDescent="0.3">
      <c r="A308" s="580"/>
      <c r="B308" s="677"/>
      <c r="C308" s="580"/>
      <c r="D308" s="580"/>
      <c r="E308" s="580"/>
      <c r="F308" s="580"/>
      <c r="G308" s="580"/>
      <c r="H308" s="580"/>
      <c r="I308" s="580"/>
      <c r="J308" s="580"/>
      <c r="M308" s="680"/>
      <c r="N308" s="680"/>
      <c r="O308" s="681"/>
      <c r="Q308" s="682"/>
      <c r="R308" s="683"/>
      <c r="S308" s="683"/>
      <c r="T308" s="580"/>
    </row>
    <row r="309" spans="1:20" s="679" customFormat="1" x14ac:dyDescent="0.3">
      <c r="A309" s="580"/>
      <c r="B309" s="677"/>
      <c r="C309" s="580"/>
      <c r="D309" s="580"/>
      <c r="E309" s="580"/>
      <c r="F309" s="580"/>
      <c r="G309" s="580"/>
      <c r="H309" s="580"/>
      <c r="I309" s="580"/>
      <c r="J309" s="580"/>
      <c r="M309" s="680"/>
      <c r="N309" s="680"/>
      <c r="O309" s="681"/>
      <c r="Q309" s="682"/>
      <c r="R309" s="683"/>
      <c r="S309" s="683"/>
      <c r="T309" s="580"/>
    </row>
    <row r="310" spans="1:20" s="679" customFormat="1" x14ac:dyDescent="0.3">
      <c r="A310" s="580"/>
      <c r="B310" s="677"/>
      <c r="C310" s="580"/>
      <c r="D310" s="580"/>
      <c r="E310" s="580"/>
      <c r="F310" s="580"/>
      <c r="G310" s="580"/>
      <c r="H310" s="580"/>
      <c r="I310" s="580"/>
      <c r="J310" s="580"/>
      <c r="M310" s="680"/>
      <c r="N310" s="680"/>
      <c r="O310" s="681"/>
      <c r="Q310" s="682"/>
      <c r="R310" s="683"/>
      <c r="S310" s="683"/>
      <c r="T310" s="580"/>
    </row>
    <row r="311" spans="1:20" s="679" customFormat="1" x14ac:dyDescent="0.3">
      <c r="A311" s="580"/>
      <c r="B311" s="677"/>
      <c r="C311" s="580"/>
      <c r="D311" s="580"/>
      <c r="E311" s="580"/>
      <c r="F311" s="580"/>
      <c r="G311" s="580"/>
      <c r="H311" s="580"/>
      <c r="I311" s="580"/>
      <c r="J311" s="580"/>
      <c r="M311" s="680"/>
      <c r="N311" s="680"/>
      <c r="O311" s="681"/>
      <c r="Q311" s="682"/>
      <c r="R311" s="683"/>
      <c r="S311" s="683"/>
      <c r="T311" s="580"/>
    </row>
    <row r="312" spans="1:20" s="679" customFormat="1" x14ac:dyDescent="0.3">
      <c r="A312" s="580"/>
      <c r="B312" s="677"/>
      <c r="C312" s="580"/>
      <c r="D312" s="580"/>
      <c r="E312" s="580"/>
      <c r="F312" s="580"/>
      <c r="G312" s="580"/>
      <c r="H312" s="580"/>
      <c r="I312" s="580"/>
      <c r="J312" s="580"/>
      <c r="M312" s="680"/>
      <c r="N312" s="680"/>
      <c r="O312" s="681"/>
      <c r="Q312" s="682"/>
      <c r="R312" s="683"/>
      <c r="S312" s="683"/>
      <c r="T312" s="580"/>
    </row>
    <row r="313" spans="1:20" s="679" customFormat="1" x14ac:dyDescent="0.3">
      <c r="A313" s="580"/>
      <c r="B313" s="677"/>
      <c r="C313" s="580"/>
      <c r="D313" s="580"/>
      <c r="E313" s="580"/>
      <c r="F313" s="580"/>
      <c r="G313" s="580"/>
      <c r="H313" s="580"/>
      <c r="I313" s="580"/>
      <c r="J313" s="580"/>
      <c r="M313" s="680"/>
      <c r="N313" s="680"/>
      <c r="O313" s="681"/>
      <c r="Q313" s="682"/>
      <c r="R313" s="683"/>
      <c r="S313" s="683"/>
      <c r="T313" s="580"/>
    </row>
    <row r="314" spans="1:20" s="679" customFormat="1" x14ac:dyDescent="0.3">
      <c r="A314" s="580"/>
      <c r="B314" s="677"/>
      <c r="C314" s="580"/>
      <c r="D314" s="580"/>
      <c r="E314" s="580"/>
      <c r="F314" s="580"/>
      <c r="G314" s="580"/>
      <c r="H314" s="580"/>
      <c r="I314" s="580"/>
      <c r="J314" s="580"/>
      <c r="M314" s="680"/>
      <c r="N314" s="680"/>
      <c r="O314" s="681"/>
      <c r="Q314" s="682"/>
      <c r="R314" s="683"/>
      <c r="S314" s="683"/>
      <c r="T314" s="580"/>
    </row>
    <row r="315" spans="1:20" s="679" customFormat="1" x14ac:dyDescent="0.3">
      <c r="A315" s="580"/>
      <c r="B315" s="677"/>
      <c r="C315" s="580"/>
      <c r="D315" s="580"/>
      <c r="E315" s="580"/>
      <c r="F315" s="580"/>
      <c r="G315" s="580"/>
      <c r="H315" s="580"/>
      <c r="I315" s="580"/>
      <c r="J315" s="580"/>
      <c r="M315" s="680"/>
      <c r="N315" s="680"/>
      <c r="O315" s="681"/>
      <c r="Q315" s="682"/>
      <c r="R315" s="683"/>
      <c r="S315" s="683"/>
      <c r="T315" s="580"/>
    </row>
    <row r="316" spans="1:20" s="679" customFormat="1" x14ac:dyDescent="0.3">
      <c r="A316" s="580"/>
      <c r="B316" s="677"/>
      <c r="C316" s="580"/>
      <c r="D316" s="580"/>
      <c r="E316" s="580"/>
      <c r="F316" s="580"/>
      <c r="G316" s="580"/>
      <c r="H316" s="580"/>
      <c r="I316" s="580"/>
      <c r="J316" s="580"/>
      <c r="M316" s="680"/>
      <c r="N316" s="680"/>
      <c r="O316" s="681"/>
      <c r="Q316" s="682"/>
      <c r="R316" s="683"/>
      <c r="S316" s="683"/>
      <c r="T316" s="580"/>
    </row>
    <row r="317" spans="1:20" s="679" customFormat="1" x14ac:dyDescent="0.3">
      <c r="A317" s="580"/>
      <c r="B317" s="677"/>
      <c r="C317" s="580"/>
      <c r="D317" s="580"/>
      <c r="E317" s="580"/>
      <c r="F317" s="580"/>
      <c r="G317" s="580"/>
      <c r="H317" s="580"/>
      <c r="I317" s="580"/>
      <c r="J317" s="580"/>
      <c r="M317" s="680"/>
      <c r="N317" s="680"/>
      <c r="O317" s="681"/>
      <c r="Q317" s="682"/>
      <c r="R317" s="683"/>
      <c r="S317" s="683"/>
      <c r="T317" s="580"/>
    </row>
    <row r="318" spans="1:20" s="679" customFormat="1" x14ac:dyDescent="0.3">
      <c r="A318" s="580"/>
      <c r="B318" s="677"/>
      <c r="C318" s="580"/>
      <c r="D318" s="580"/>
      <c r="E318" s="580"/>
      <c r="F318" s="580"/>
      <c r="G318" s="580"/>
      <c r="H318" s="580"/>
      <c r="I318" s="580"/>
      <c r="J318" s="580"/>
      <c r="M318" s="680"/>
      <c r="N318" s="680"/>
      <c r="O318" s="681"/>
      <c r="Q318" s="682"/>
      <c r="R318" s="683"/>
      <c r="S318" s="683"/>
      <c r="T318" s="580"/>
    </row>
    <row r="319" spans="1:20" s="679" customFormat="1" x14ac:dyDescent="0.3">
      <c r="A319" s="580"/>
      <c r="B319" s="677"/>
      <c r="C319" s="580"/>
      <c r="D319" s="580"/>
      <c r="E319" s="580"/>
      <c r="F319" s="580"/>
      <c r="G319" s="580"/>
      <c r="H319" s="580"/>
      <c r="I319" s="580"/>
      <c r="J319" s="580"/>
      <c r="M319" s="680"/>
      <c r="N319" s="680"/>
      <c r="O319" s="681"/>
      <c r="Q319" s="682"/>
      <c r="R319" s="683"/>
      <c r="S319" s="683"/>
      <c r="T319" s="580"/>
    </row>
    <row r="320" spans="1:20" s="679" customFormat="1" x14ac:dyDescent="0.3">
      <c r="A320" s="580"/>
      <c r="B320" s="677"/>
      <c r="C320" s="580"/>
      <c r="D320" s="580"/>
      <c r="E320" s="580"/>
      <c r="F320" s="580"/>
      <c r="G320" s="580"/>
      <c r="H320" s="580"/>
      <c r="I320" s="580"/>
      <c r="J320" s="580"/>
      <c r="M320" s="680"/>
      <c r="N320" s="680"/>
      <c r="O320" s="681"/>
      <c r="Q320" s="682"/>
      <c r="R320" s="683"/>
      <c r="S320" s="683"/>
      <c r="T320" s="580"/>
    </row>
    <row r="321" spans="1:20" s="679" customFormat="1" x14ac:dyDescent="0.3">
      <c r="A321" s="580"/>
      <c r="B321" s="677"/>
      <c r="C321" s="580"/>
      <c r="D321" s="580"/>
      <c r="E321" s="580"/>
      <c r="F321" s="580"/>
      <c r="G321" s="580"/>
      <c r="H321" s="580"/>
      <c r="I321" s="580"/>
      <c r="J321" s="580"/>
      <c r="M321" s="680"/>
      <c r="N321" s="680"/>
      <c r="O321" s="681"/>
      <c r="Q321" s="682"/>
      <c r="R321" s="683"/>
      <c r="S321" s="683"/>
      <c r="T321" s="580"/>
    </row>
    <row r="322" spans="1:20" s="679" customFormat="1" x14ac:dyDescent="0.3">
      <c r="A322" s="580"/>
      <c r="B322" s="677"/>
      <c r="C322" s="580"/>
      <c r="D322" s="580"/>
      <c r="E322" s="580"/>
      <c r="F322" s="580"/>
      <c r="G322" s="580"/>
      <c r="H322" s="580"/>
      <c r="I322" s="580"/>
      <c r="J322" s="580"/>
      <c r="M322" s="680"/>
      <c r="N322" s="680"/>
      <c r="O322" s="681"/>
      <c r="Q322" s="682"/>
      <c r="R322" s="683"/>
      <c r="S322" s="683"/>
      <c r="T322" s="580"/>
    </row>
    <row r="323" spans="1:20" s="679" customFormat="1" x14ac:dyDescent="0.3">
      <c r="A323" s="580"/>
      <c r="B323" s="677"/>
      <c r="C323" s="580"/>
      <c r="D323" s="580"/>
      <c r="E323" s="580"/>
      <c r="F323" s="580"/>
      <c r="G323" s="580"/>
      <c r="H323" s="580"/>
      <c r="I323" s="580"/>
      <c r="J323" s="580"/>
      <c r="M323" s="680"/>
      <c r="N323" s="680"/>
      <c r="O323" s="681"/>
      <c r="Q323" s="682"/>
      <c r="R323" s="683"/>
      <c r="S323" s="683"/>
      <c r="T323" s="580"/>
    </row>
    <row r="324" spans="1:20" s="679" customFormat="1" x14ac:dyDescent="0.3">
      <c r="A324" s="580"/>
      <c r="B324" s="677"/>
      <c r="C324" s="580"/>
      <c r="D324" s="580"/>
      <c r="E324" s="580"/>
      <c r="F324" s="580"/>
      <c r="G324" s="580"/>
      <c r="H324" s="580"/>
      <c r="I324" s="580"/>
      <c r="J324" s="580"/>
      <c r="M324" s="680"/>
      <c r="N324" s="680"/>
      <c r="O324" s="681"/>
      <c r="Q324" s="682"/>
      <c r="R324" s="683"/>
      <c r="S324" s="683"/>
      <c r="T324" s="580"/>
    </row>
    <row r="325" spans="1:20" s="679" customFormat="1" x14ac:dyDescent="0.3">
      <c r="A325" s="580"/>
      <c r="B325" s="677"/>
      <c r="C325" s="580"/>
      <c r="D325" s="580"/>
      <c r="E325" s="580"/>
      <c r="F325" s="580"/>
      <c r="G325" s="580"/>
      <c r="H325" s="580"/>
      <c r="I325" s="580"/>
      <c r="J325" s="580"/>
      <c r="M325" s="680"/>
      <c r="N325" s="680"/>
      <c r="O325" s="681"/>
      <c r="Q325" s="682"/>
      <c r="R325" s="683"/>
      <c r="S325" s="683"/>
      <c r="T325" s="580"/>
    </row>
    <row r="326" spans="1:20" s="679" customFormat="1" x14ac:dyDescent="0.3">
      <c r="A326" s="580"/>
      <c r="B326" s="677"/>
      <c r="C326" s="580"/>
      <c r="D326" s="580"/>
      <c r="E326" s="580"/>
      <c r="F326" s="580"/>
      <c r="G326" s="580"/>
      <c r="H326" s="580"/>
      <c r="I326" s="580"/>
      <c r="J326" s="580"/>
      <c r="M326" s="680"/>
      <c r="N326" s="680"/>
      <c r="O326" s="681"/>
      <c r="Q326" s="682"/>
      <c r="R326" s="683"/>
      <c r="S326" s="683"/>
      <c r="T326" s="580"/>
    </row>
    <row r="327" spans="1:20" s="679" customFormat="1" x14ac:dyDescent="0.3">
      <c r="A327" s="580"/>
      <c r="B327" s="677"/>
      <c r="C327" s="580"/>
      <c r="D327" s="580"/>
      <c r="E327" s="580"/>
      <c r="F327" s="580"/>
      <c r="G327" s="580"/>
      <c r="H327" s="580"/>
      <c r="I327" s="580"/>
      <c r="J327" s="580"/>
      <c r="M327" s="680"/>
      <c r="N327" s="680"/>
      <c r="O327" s="681"/>
      <c r="Q327" s="682"/>
      <c r="R327" s="683"/>
      <c r="S327" s="683"/>
      <c r="T327" s="580"/>
    </row>
    <row r="328" spans="1:20" s="679" customFormat="1" x14ac:dyDescent="0.3">
      <c r="A328" s="580"/>
      <c r="B328" s="677"/>
      <c r="C328" s="580"/>
      <c r="D328" s="580"/>
      <c r="E328" s="580"/>
      <c r="F328" s="580"/>
      <c r="G328" s="580"/>
      <c r="H328" s="580"/>
      <c r="I328" s="580"/>
      <c r="J328" s="580"/>
      <c r="M328" s="680"/>
      <c r="N328" s="680"/>
      <c r="O328" s="681"/>
      <c r="Q328" s="682"/>
      <c r="R328" s="683"/>
      <c r="S328" s="683"/>
      <c r="T328" s="580"/>
    </row>
    <row r="329" spans="1:20" s="679" customFormat="1" x14ac:dyDescent="0.3">
      <c r="A329" s="580"/>
      <c r="B329" s="677"/>
      <c r="C329" s="580"/>
      <c r="D329" s="580"/>
      <c r="E329" s="580"/>
      <c r="F329" s="580"/>
      <c r="G329" s="580"/>
      <c r="H329" s="580"/>
      <c r="I329" s="580"/>
      <c r="J329" s="580"/>
      <c r="M329" s="680"/>
      <c r="N329" s="680"/>
      <c r="O329" s="681"/>
      <c r="Q329" s="682"/>
      <c r="R329" s="683"/>
      <c r="S329" s="683"/>
      <c r="T329" s="580"/>
    </row>
    <row r="330" spans="1:20" s="679" customFormat="1" x14ac:dyDescent="0.3">
      <c r="A330" s="580"/>
      <c r="B330" s="677"/>
      <c r="C330" s="580"/>
      <c r="D330" s="580"/>
      <c r="E330" s="580"/>
      <c r="F330" s="580"/>
      <c r="G330" s="580"/>
      <c r="H330" s="580"/>
      <c r="I330" s="580"/>
      <c r="J330" s="580"/>
      <c r="M330" s="680"/>
      <c r="N330" s="680"/>
      <c r="O330" s="681"/>
      <c r="Q330" s="682"/>
      <c r="R330" s="683"/>
      <c r="S330" s="683"/>
      <c r="T330" s="580"/>
    </row>
    <row r="331" spans="1:20" s="679" customFormat="1" x14ac:dyDescent="0.3">
      <c r="A331" s="580"/>
      <c r="B331" s="677"/>
      <c r="C331" s="580"/>
      <c r="D331" s="580"/>
      <c r="E331" s="580"/>
      <c r="F331" s="580"/>
      <c r="G331" s="580"/>
      <c r="H331" s="580"/>
      <c r="I331" s="580"/>
      <c r="J331" s="580"/>
      <c r="M331" s="680"/>
      <c r="N331" s="680"/>
      <c r="O331" s="681"/>
      <c r="Q331" s="682"/>
      <c r="R331" s="683"/>
      <c r="S331" s="683"/>
      <c r="T331" s="580"/>
    </row>
    <row r="332" spans="1:20" s="679" customFormat="1" x14ac:dyDescent="0.3">
      <c r="A332" s="580"/>
      <c r="B332" s="677"/>
      <c r="C332" s="580"/>
      <c r="D332" s="580"/>
      <c r="E332" s="580"/>
      <c r="F332" s="580"/>
      <c r="G332" s="580"/>
      <c r="H332" s="580"/>
      <c r="I332" s="580"/>
      <c r="J332" s="580"/>
      <c r="M332" s="680"/>
      <c r="N332" s="680"/>
      <c r="O332" s="681"/>
      <c r="Q332" s="682"/>
      <c r="R332" s="683"/>
      <c r="S332" s="683"/>
      <c r="T332" s="580"/>
    </row>
    <row r="333" spans="1:20" s="679" customFormat="1" x14ac:dyDescent="0.3">
      <c r="A333" s="580"/>
      <c r="B333" s="677"/>
      <c r="C333" s="580"/>
      <c r="D333" s="580"/>
      <c r="E333" s="580"/>
      <c r="F333" s="580"/>
      <c r="G333" s="580"/>
      <c r="H333" s="580"/>
      <c r="I333" s="580"/>
      <c r="J333" s="580"/>
      <c r="M333" s="680"/>
      <c r="N333" s="680"/>
      <c r="O333" s="681"/>
      <c r="Q333" s="682"/>
      <c r="R333" s="683"/>
      <c r="S333" s="683"/>
      <c r="T333" s="580"/>
    </row>
    <row r="334" spans="1:20" s="679" customFormat="1" x14ac:dyDescent="0.3">
      <c r="A334" s="580"/>
      <c r="B334" s="677"/>
      <c r="C334" s="580"/>
      <c r="D334" s="580"/>
      <c r="E334" s="580"/>
      <c r="F334" s="580"/>
      <c r="G334" s="580"/>
      <c r="H334" s="580"/>
      <c r="I334" s="580"/>
      <c r="J334" s="580"/>
      <c r="M334" s="680"/>
      <c r="N334" s="680"/>
      <c r="O334" s="681"/>
      <c r="Q334" s="682"/>
      <c r="R334" s="683"/>
      <c r="S334" s="683"/>
      <c r="T334" s="580"/>
    </row>
    <row r="335" spans="1:20" s="679" customFormat="1" x14ac:dyDescent="0.3">
      <c r="A335" s="580"/>
      <c r="B335" s="677"/>
      <c r="C335" s="580"/>
      <c r="D335" s="580"/>
      <c r="E335" s="580"/>
      <c r="F335" s="580"/>
      <c r="G335" s="580"/>
      <c r="H335" s="580"/>
      <c r="I335" s="580"/>
      <c r="J335" s="580"/>
      <c r="M335" s="680"/>
      <c r="N335" s="680"/>
      <c r="O335" s="681"/>
      <c r="Q335" s="682"/>
      <c r="R335" s="683"/>
      <c r="S335" s="683"/>
      <c r="T335" s="580"/>
    </row>
    <row r="336" spans="1:20" s="679" customFormat="1" x14ac:dyDescent="0.3">
      <c r="A336" s="580"/>
      <c r="B336" s="677"/>
      <c r="C336" s="580"/>
      <c r="D336" s="580"/>
      <c r="E336" s="580"/>
      <c r="F336" s="580"/>
      <c r="G336" s="580"/>
      <c r="H336" s="580"/>
      <c r="I336" s="580"/>
      <c r="J336" s="580"/>
      <c r="M336" s="680"/>
      <c r="N336" s="680"/>
      <c r="O336" s="681"/>
      <c r="Q336" s="682"/>
      <c r="R336" s="683"/>
      <c r="S336" s="683"/>
      <c r="T336" s="580"/>
    </row>
    <row r="337" spans="1:20" s="679" customFormat="1" x14ac:dyDescent="0.3">
      <c r="A337" s="580"/>
      <c r="B337" s="677"/>
      <c r="C337" s="580"/>
      <c r="D337" s="580"/>
      <c r="E337" s="580"/>
      <c r="F337" s="580"/>
      <c r="G337" s="580"/>
      <c r="H337" s="580"/>
      <c r="I337" s="580"/>
      <c r="J337" s="580"/>
      <c r="M337" s="680"/>
      <c r="N337" s="680"/>
      <c r="O337" s="681"/>
      <c r="Q337" s="682"/>
      <c r="R337" s="683"/>
      <c r="S337" s="683"/>
      <c r="T337" s="580"/>
    </row>
    <row r="338" spans="1:20" s="679" customFormat="1" x14ac:dyDescent="0.3">
      <c r="A338" s="580"/>
      <c r="B338" s="677"/>
      <c r="C338" s="580"/>
      <c r="D338" s="580"/>
      <c r="E338" s="580"/>
      <c r="F338" s="580"/>
      <c r="G338" s="580"/>
      <c r="H338" s="580"/>
      <c r="I338" s="580"/>
      <c r="J338" s="580"/>
      <c r="M338" s="680"/>
      <c r="N338" s="680"/>
      <c r="O338" s="681"/>
      <c r="Q338" s="682"/>
      <c r="R338" s="683"/>
      <c r="S338" s="683"/>
      <c r="T338" s="580"/>
    </row>
    <row r="339" spans="1:20" s="679" customFormat="1" x14ac:dyDescent="0.3">
      <c r="A339" s="580"/>
      <c r="B339" s="677"/>
      <c r="C339" s="580"/>
      <c r="D339" s="580"/>
      <c r="E339" s="580"/>
      <c r="F339" s="580"/>
      <c r="G339" s="580"/>
      <c r="H339" s="580"/>
      <c r="I339" s="580"/>
      <c r="J339" s="580"/>
      <c r="M339" s="680"/>
      <c r="N339" s="680"/>
      <c r="O339" s="681"/>
      <c r="Q339" s="682"/>
      <c r="R339" s="683"/>
      <c r="S339" s="683"/>
      <c r="T339" s="580"/>
    </row>
    <row r="340" spans="1:20" s="679" customFormat="1" x14ac:dyDescent="0.3">
      <c r="A340" s="580"/>
      <c r="B340" s="677"/>
      <c r="C340" s="580"/>
      <c r="D340" s="580"/>
      <c r="E340" s="580"/>
      <c r="F340" s="580"/>
      <c r="G340" s="580"/>
      <c r="H340" s="580"/>
      <c r="I340" s="580"/>
      <c r="J340" s="580"/>
      <c r="M340" s="680"/>
      <c r="N340" s="680"/>
      <c r="O340" s="681"/>
      <c r="Q340" s="682"/>
      <c r="R340" s="683"/>
      <c r="S340" s="683"/>
      <c r="T340" s="580"/>
    </row>
    <row r="341" spans="1:20" s="679" customFormat="1" x14ac:dyDescent="0.3">
      <c r="A341" s="580"/>
      <c r="B341" s="677"/>
      <c r="C341" s="580"/>
      <c r="D341" s="580"/>
      <c r="E341" s="580"/>
      <c r="F341" s="580"/>
      <c r="G341" s="580"/>
      <c r="H341" s="580"/>
      <c r="I341" s="580"/>
      <c r="J341" s="580"/>
      <c r="M341" s="680"/>
      <c r="N341" s="680"/>
      <c r="O341" s="681"/>
      <c r="Q341" s="682"/>
      <c r="R341" s="683"/>
      <c r="S341" s="683"/>
      <c r="T341" s="580"/>
    </row>
    <row r="342" spans="1:20" s="679" customFormat="1" x14ac:dyDescent="0.3">
      <c r="A342" s="580"/>
      <c r="B342" s="677"/>
      <c r="C342" s="580"/>
      <c r="D342" s="580"/>
      <c r="E342" s="580"/>
      <c r="F342" s="580"/>
      <c r="G342" s="580"/>
      <c r="H342" s="580"/>
      <c r="I342" s="580"/>
      <c r="J342" s="580"/>
      <c r="M342" s="680"/>
      <c r="N342" s="680"/>
      <c r="O342" s="681"/>
      <c r="Q342" s="682"/>
      <c r="R342" s="683"/>
      <c r="S342" s="683"/>
      <c r="T342" s="580"/>
    </row>
    <row r="343" spans="1:20" s="679" customFormat="1" x14ac:dyDescent="0.3">
      <c r="A343" s="580"/>
      <c r="B343" s="677"/>
      <c r="C343" s="580"/>
      <c r="D343" s="580"/>
      <c r="E343" s="580"/>
      <c r="F343" s="580"/>
      <c r="G343" s="580"/>
      <c r="H343" s="580"/>
      <c r="I343" s="580"/>
      <c r="J343" s="580"/>
      <c r="M343" s="680"/>
      <c r="N343" s="680"/>
      <c r="O343" s="681"/>
      <c r="Q343" s="682"/>
      <c r="R343" s="683"/>
      <c r="S343" s="683"/>
      <c r="T343" s="580"/>
    </row>
    <row r="344" spans="1:20" s="679" customFormat="1" x14ac:dyDescent="0.3">
      <c r="A344" s="580"/>
      <c r="B344" s="677"/>
      <c r="C344" s="580"/>
      <c r="D344" s="580"/>
      <c r="E344" s="580"/>
      <c r="F344" s="580"/>
      <c r="G344" s="580"/>
      <c r="H344" s="580"/>
      <c r="I344" s="580"/>
      <c r="J344" s="580"/>
      <c r="M344" s="680"/>
      <c r="N344" s="680"/>
      <c r="O344" s="681"/>
      <c r="Q344" s="682"/>
      <c r="R344" s="683"/>
      <c r="S344" s="683"/>
      <c r="T344" s="580"/>
    </row>
    <row r="345" spans="1:20" s="679" customFormat="1" x14ac:dyDescent="0.3">
      <c r="A345" s="580"/>
      <c r="B345" s="677"/>
      <c r="C345" s="580"/>
      <c r="D345" s="580"/>
      <c r="E345" s="580"/>
      <c r="F345" s="580"/>
      <c r="G345" s="580"/>
      <c r="H345" s="580"/>
      <c r="I345" s="580"/>
      <c r="J345" s="580"/>
      <c r="M345" s="680"/>
      <c r="N345" s="680"/>
      <c r="O345" s="681"/>
      <c r="Q345" s="682"/>
      <c r="R345" s="683"/>
      <c r="S345" s="683"/>
      <c r="T345" s="580"/>
    </row>
    <row r="346" spans="1:20" s="679" customFormat="1" x14ac:dyDescent="0.3">
      <c r="A346" s="580"/>
      <c r="B346" s="677"/>
      <c r="C346" s="580"/>
      <c r="D346" s="580"/>
      <c r="E346" s="580"/>
      <c r="F346" s="580"/>
      <c r="G346" s="580"/>
      <c r="H346" s="580"/>
      <c r="I346" s="580"/>
      <c r="J346" s="580"/>
      <c r="M346" s="680"/>
      <c r="N346" s="680"/>
      <c r="O346" s="681"/>
      <c r="Q346" s="682"/>
      <c r="R346" s="683"/>
      <c r="S346" s="683"/>
      <c r="T346" s="580"/>
    </row>
    <row r="347" spans="1:20" s="679" customFormat="1" x14ac:dyDescent="0.3">
      <c r="A347" s="580"/>
      <c r="B347" s="677"/>
      <c r="C347" s="580"/>
      <c r="D347" s="580"/>
      <c r="E347" s="580"/>
      <c r="F347" s="580"/>
      <c r="G347" s="580"/>
      <c r="H347" s="580"/>
      <c r="I347" s="580"/>
      <c r="J347" s="580"/>
      <c r="M347" s="680"/>
      <c r="N347" s="680"/>
      <c r="O347" s="681"/>
      <c r="Q347" s="682"/>
      <c r="R347" s="683"/>
      <c r="S347" s="683"/>
      <c r="T347" s="580"/>
    </row>
    <row r="348" spans="1:20" s="679" customFormat="1" x14ac:dyDescent="0.3">
      <c r="A348" s="580"/>
      <c r="B348" s="677"/>
      <c r="C348" s="580"/>
      <c r="D348" s="580"/>
      <c r="E348" s="580"/>
      <c r="F348" s="580"/>
      <c r="G348" s="580"/>
      <c r="H348" s="580"/>
      <c r="I348" s="580"/>
      <c r="J348" s="580"/>
      <c r="M348" s="680"/>
      <c r="N348" s="680"/>
      <c r="O348" s="681"/>
      <c r="Q348" s="682"/>
      <c r="R348" s="683"/>
      <c r="S348" s="683"/>
      <c r="T348" s="580"/>
    </row>
    <row r="349" spans="1:20" s="679" customFormat="1" x14ac:dyDescent="0.3">
      <c r="A349" s="580"/>
      <c r="B349" s="677"/>
      <c r="C349" s="580"/>
      <c r="D349" s="580"/>
      <c r="E349" s="580"/>
      <c r="F349" s="580"/>
      <c r="G349" s="580"/>
      <c r="H349" s="580"/>
      <c r="I349" s="580"/>
      <c r="J349" s="580"/>
      <c r="M349" s="680"/>
      <c r="N349" s="680"/>
      <c r="O349" s="681"/>
      <c r="Q349" s="682"/>
      <c r="R349" s="683"/>
      <c r="S349" s="683"/>
      <c r="T349" s="580"/>
    </row>
    <row r="350" spans="1:20" s="679" customFormat="1" x14ac:dyDescent="0.3">
      <c r="A350" s="580"/>
      <c r="B350" s="677"/>
      <c r="C350" s="580"/>
      <c r="D350" s="580"/>
      <c r="E350" s="580"/>
      <c r="F350" s="580"/>
      <c r="G350" s="580"/>
      <c r="H350" s="580"/>
      <c r="I350" s="580"/>
      <c r="J350" s="580"/>
      <c r="M350" s="680"/>
      <c r="N350" s="680"/>
      <c r="O350" s="681"/>
      <c r="Q350" s="682"/>
      <c r="R350" s="683"/>
      <c r="S350" s="683"/>
      <c r="T350" s="580"/>
    </row>
    <row r="351" spans="1:20" s="679" customFormat="1" x14ac:dyDescent="0.3">
      <c r="A351" s="580"/>
      <c r="B351" s="677"/>
      <c r="C351" s="580"/>
      <c r="D351" s="580"/>
      <c r="E351" s="580"/>
      <c r="F351" s="580"/>
      <c r="G351" s="580"/>
      <c r="H351" s="580"/>
      <c r="I351" s="580"/>
      <c r="J351" s="580"/>
      <c r="M351" s="680"/>
      <c r="N351" s="680"/>
      <c r="O351" s="681"/>
      <c r="Q351" s="682"/>
      <c r="R351" s="683"/>
      <c r="S351" s="683"/>
      <c r="T351" s="580"/>
    </row>
    <row r="352" spans="1:20" s="679" customFormat="1" x14ac:dyDescent="0.3">
      <c r="A352" s="580"/>
      <c r="B352" s="677"/>
      <c r="C352" s="580"/>
      <c r="D352" s="580"/>
      <c r="E352" s="580"/>
      <c r="F352" s="580"/>
      <c r="G352" s="580"/>
      <c r="H352" s="580"/>
      <c r="I352" s="580"/>
      <c r="J352" s="580"/>
      <c r="M352" s="680"/>
      <c r="N352" s="680"/>
      <c r="O352" s="681"/>
      <c r="Q352" s="682"/>
      <c r="R352" s="683"/>
      <c r="S352" s="683"/>
      <c r="T352" s="580"/>
    </row>
    <row r="353" spans="1:20" s="679" customFormat="1" x14ac:dyDescent="0.3">
      <c r="A353" s="580"/>
      <c r="B353" s="677"/>
      <c r="C353" s="580"/>
      <c r="D353" s="580"/>
      <c r="E353" s="580"/>
      <c r="F353" s="580"/>
      <c r="G353" s="580"/>
      <c r="H353" s="580"/>
      <c r="I353" s="580"/>
      <c r="J353" s="580"/>
      <c r="M353" s="680"/>
      <c r="N353" s="680"/>
      <c r="O353" s="681"/>
      <c r="Q353" s="682"/>
      <c r="R353" s="683"/>
      <c r="S353" s="683"/>
      <c r="T353" s="580"/>
    </row>
    <row r="354" spans="1:20" s="679" customFormat="1" x14ac:dyDescent="0.3">
      <c r="A354" s="580"/>
      <c r="B354" s="677"/>
      <c r="C354" s="580"/>
      <c r="D354" s="580"/>
      <c r="E354" s="580"/>
      <c r="F354" s="580"/>
      <c r="G354" s="580"/>
      <c r="H354" s="580"/>
      <c r="I354" s="580"/>
      <c r="J354" s="580"/>
      <c r="M354" s="680"/>
      <c r="N354" s="680"/>
      <c r="O354" s="681"/>
      <c r="Q354" s="682"/>
      <c r="R354" s="683"/>
      <c r="S354" s="683"/>
      <c r="T354" s="580"/>
    </row>
    <row r="355" spans="1:20" s="679" customFormat="1" x14ac:dyDescent="0.3">
      <c r="A355" s="580"/>
      <c r="B355" s="677"/>
      <c r="C355" s="580"/>
      <c r="D355" s="580"/>
      <c r="E355" s="580"/>
      <c r="F355" s="580"/>
      <c r="G355" s="580"/>
      <c r="H355" s="580"/>
      <c r="I355" s="580"/>
      <c r="J355" s="580"/>
      <c r="M355" s="680"/>
      <c r="N355" s="680"/>
      <c r="O355" s="681"/>
      <c r="Q355" s="682"/>
      <c r="R355" s="683"/>
      <c r="S355" s="683"/>
      <c r="T355" s="580"/>
    </row>
    <row r="356" spans="1:20" s="679" customFormat="1" x14ac:dyDescent="0.3">
      <c r="A356" s="580"/>
      <c r="B356" s="677"/>
      <c r="C356" s="580"/>
      <c r="D356" s="580"/>
      <c r="E356" s="580"/>
      <c r="F356" s="580"/>
      <c r="G356" s="580"/>
      <c r="H356" s="580"/>
      <c r="I356" s="580"/>
      <c r="J356" s="580"/>
      <c r="M356" s="680"/>
      <c r="N356" s="680"/>
      <c r="O356" s="681"/>
      <c r="Q356" s="682"/>
      <c r="R356" s="683"/>
      <c r="S356" s="683"/>
      <c r="T356" s="580"/>
    </row>
    <row r="357" spans="1:20" s="679" customFormat="1" x14ac:dyDescent="0.3">
      <c r="A357" s="580"/>
      <c r="B357" s="677"/>
      <c r="C357" s="580"/>
      <c r="D357" s="580"/>
      <c r="E357" s="580"/>
      <c r="F357" s="580"/>
      <c r="G357" s="580"/>
      <c r="H357" s="580"/>
      <c r="I357" s="580"/>
      <c r="J357" s="580"/>
      <c r="M357" s="680"/>
      <c r="N357" s="680"/>
      <c r="O357" s="681"/>
      <c r="Q357" s="682"/>
      <c r="R357" s="683"/>
      <c r="S357" s="683"/>
      <c r="T357" s="580"/>
    </row>
    <row r="358" spans="1:20" s="679" customFormat="1" x14ac:dyDescent="0.3">
      <c r="A358" s="580"/>
      <c r="B358" s="677"/>
      <c r="C358" s="580"/>
      <c r="D358" s="580"/>
      <c r="E358" s="580"/>
      <c r="F358" s="580"/>
      <c r="G358" s="580"/>
      <c r="H358" s="580"/>
      <c r="I358" s="580"/>
      <c r="J358" s="580"/>
      <c r="M358" s="680"/>
      <c r="N358" s="680"/>
      <c r="O358" s="681"/>
      <c r="Q358" s="682"/>
      <c r="R358" s="683"/>
      <c r="S358" s="683"/>
      <c r="T358" s="580"/>
    </row>
    <row r="359" spans="1:20" s="679" customFormat="1" x14ac:dyDescent="0.3">
      <c r="A359" s="580"/>
      <c r="B359" s="677"/>
      <c r="C359" s="580"/>
      <c r="D359" s="580"/>
      <c r="E359" s="580"/>
      <c r="F359" s="580"/>
      <c r="G359" s="580"/>
      <c r="H359" s="580"/>
      <c r="I359" s="580"/>
      <c r="J359" s="580"/>
      <c r="M359" s="680"/>
      <c r="N359" s="680"/>
      <c r="O359" s="681"/>
      <c r="Q359" s="682"/>
      <c r="R359" s="683"/>
      <c r="S359" s="683"/>
      <c r="T359" s="580"/>
    </row>
    <row r="360" spans="1:20" s="679" customFormat="1" x14ac:dyDescent="0.3">
      <c r="A360" s="580"/>
      <c r="B360" s="677"/>
      <c r="C360" s="580"/>
      <c r="D360" s="580"/>
      <c r="E360" s="580"/>
      <c r="F360" s="580"/>
      <c r="G360" s="580"/>
      <c r="H360" s="580"/>
      <c r="I360" s="580"/>
      <c r="J360" s="580"/>
      <c r="M360" s="680"/>
      <c r="N360" s="680"/>
      <c r="O360" s="681"/>
      <c r="Q360" s="682"/>
      <c r="R360" s="683"/>
      <c r="S360" s="683"/>
      <c r="T360" s="580"/>
    </row>
    <row r="361" spans="1:20" s="679" customFormat="1" x14ac:dyDescent="0.3">
      <c r="A361" s="580"/>
      <c r="B361" s="677"/>
      <c r="C361" s="580"/>
      <c r="D361" s="580"/>
      <c r="E361" s="580"/>
      <c r="F361" s="580"/>
      <c r="G361" s="580"/>
      <c r="H361" s="580"/>
      <c r="I361" s="580"/>
      <c r="J361" s="580"/>
      <c r="M361" s="680"/>
      <c r="N361" s="680"/>
      <c r="O361" s="681"/>
      <c r="Q361" s="682"/>
      <c r="R361" s="683"/>
      <c r="S361" s="683"/>
      <c r="T361" s="580"/>
    </row>
    <row r="362" spans="1:20" s="679" customFormat="1" x14ac:dyDescent="0.3">
      <c r="A362" s="580"/>
      <c r="B362" s="677"/>
      <c r="C362" s="580"/>
      <c r="D362" s="580"/>
      <c r="E362" s="580"/>
      <c r="F362" s="580"/>
      <c r="G362" s="580"/>
      <c r="H362" s="580"/>
      <c r="I362" s="580"/>
      <c r="J362" s="580"/>
      <c r="M362" s="680"/>
      <c r="N362" s="680"/>
      <c r="O362" s="681"/>
      <c r="Q362" s="682"/>
      <c r="R362" s="683"/>
      <c r="S362" s="683"/>
      <c r="T362" s="580"/>
    </row>
    <row r="363" spans="1:20" s="679" customFormat="1" x14ac:dyDescent="0.3">
      <c r="A363" s="580"/>
      <c r="B363" s="677"/>
      <c r="C363" s="580"/>
      <c r="D363" s="580"/>
      <c r="E363" s="580"/>
      <c r="F363" s="580"/>
      <c r="G363" s="580"/>
      <c r="H363" s="580"/>
      <c r="I363" s="580"/>
      <c r="J363" s="580"/>
      <c r="M363" s="680"/>
      <c r="N363" s="680"/>
      <c r="O363" s="681"/>
      <c r="Q363" s="682"/>
      <c r="R363" s="683"/>
      <c r="S363" s="683"/>
      <c r="T363" s="580"/>
    </row>
    <row r="364" spans="1:20" s="679" customFormat="1" x14ac:dyDescent="0.3">
      <c r="A364" s="580"/>
      <c r="B364" s="677"/>
      <c r="C364" s="580"/>
      <c r="D364" s="580"/>
      <c r="E364" s="580"/>
      <c r="F364" s="580"/>
      <c r="G364" s="580"/>
      <c r="H364" s="580"/>
      <c r="I364" s="580"/>
      <c r="J364" s="580"/>
      <c r="M364" s="680"/>
      <c r="N364" s="680"/>
      <c r="O364" s="681"/>
      <c r="Q364" s="682"/>
      <c r="R364" s="683"/>
      <c r="S364" s="683"/>
      <c r="T364" s="580"/>
    </row>
    <row r="365" spans="1:20" s="679" customFormat="1" x14ac:dyDescent="0.3">
      <c r="A365" s="580"/>
      <c r="B365" s="677"/>
      <c r="C365" s="580"/>
      <c r="D365" s="580"/>
      <c r="E365" s="580"/>
      <c r="F365" s="580"/>
      <c r="G365" s="580"/>
      <c r="H365" s="580"/>
      <c r="I365" s="580"/>
      <c r="J365" s="580"/>
      <c r="M365" s="680"/>
      <c r="N365" s="680"/>
      <c r="O365" s="681"/>
      <c r="Q365" s="682"/>
      <c r="R365" s="683"/>
      <c r="S365" s="683"/>
      <c r="T365" s="580"/>
    </row>
    <row r="366" spans="1:20" s="679" customFormat="1" x14ac:dyDescent="0.3">
      <c r="A366" s="580"/>
      <c r="B366" s="677"/>
      <c r="C366" s="580"/>
      <c r="D366" s="580"/>
      <c r="E366" s="580"/>
      <c r="F366" s="580"/>
      <c r="G366" s="580"/>
      <c r="H366" s="580"/>
      <c r="I366" s="580"/>
      <c r="J366" s="580"/>
      <c r="M366" s="680"/>
      <c r="N366" s="680"/>
      <c r="O366" s="681"/>
      <c r="Q366" s="682"/>
      <c r="R366" s="683"/>
      <c r="S366" s="683"/>
      <c r="T366" s="580"/>
    </row>
    <row r="367" spans="1:20" s="679" customFormat="1" x14ac:dyDescent="0.3">
      <c r="A367" s="580"/>
      <c r="B367" s="677"/>
      <c r="C367" s="580"/>
      <c r="D367" s="580"/>
      <c r="E367" s="580"/>
      <c r="F367" s="580"/>
      <c r="G367" s="580"/>
      <c r="H367" s="580"/>
      <c r="I367" s="580"/>
      <c r="J367" s="580"/>
      <c r="M367" s="680"/>
      <c r="N367" s="680"/>
      <c r="O367" s="681"/>
      <c r="Q367" s="682"/>
      <c r="R367" s="683"/>
      <c r="S367" s="683"/>
      <c r="T367" s="580"/>
    </row>
    <row r="368" spans="1:20" s="679" customFormat="1" x14ac:dyDescent="0.3">
      <c r="A368" s="580"/>
      <c r="B368" s="677"/>
      <c r="C368" s="580"/>
      <c r="D368" s="580"/>
      <c r="E368" s="580"/>
      <c r="F368" s="580"/>
      <c r="G368" s="580"/>
      <c r="H368" s="580"/>
      <c r="I368" s="580"/>
      <c r="J368" s="580"/>
      <c r="M368" s="680"/>
      <c r="N368" s="680"/>
      <c r="O368" s="681"/>
      <c r="Q368" s="682"/>
      <c r="R368" s="683"/>
      <c r="S368" s="683"/>
      <c r="T368" s="580"/>
    </row>
    <row r="369" spans="1:20" s="679" customFormat="1" x14ac:dyDescent="0.3">
      <c r="A369" s="580"/>
      <c r="B369" s="677"/>
      <c r="C369" s="580"/>
      <c r="D369" s="580"/>
      <c r="E369" s="580"/>
      <c r="F369" s="580"/>
      <c r="G369" s="580"/>
      <c r="H369" s="580"/>
      <c r="I369" s="580"/>
      <c r="J369" s="580"/>
      <c r="M369" s="680"/>
      <c r="N369" s="680"/>
      <c r="O369" s="681"/>
      <c r="Q369" s="682"/>
      <c r="R369" s="683"/>
      <c r="S369" s="683"/>
      <c r="T369" s="580"/>
    </row>
    <row r="370" spans="1:20" s="679" customFormat="1" x14ac:dyDescent="0.3">
      <c r="A370" s="580"/>
      <c r="B370" s="677"/>
      <c r="C370" s="580"/>
      <c r="D370" s="580"/>
      <c r="E370" s="580"/>
      <c r="F370" s="580"/>
      <c r="G370" s="580"/>
      <c r="H370" s="580"/>
      <c r="I370" s="580"/>
      <c r="J370" s="580"/>
      <c r="M370" s="680"/>
      <c r="N370" s="680"/>
      <c r="O370" s="681"/>
      <c r="Q370" s="682"/>
      <c r="R370" s="683"/>
      <c r="S370" s="683"/>
      <c r="T370" s="580"/>
    </row>
    <row r="371" spans="1:20" s="679" customFormat="1" x14ac:dyDescent="0.3">
      <c r="A371" s="580"/>
      <c r="B371" s="677"/>
      <c r="C371" s="580"/>
      <c r="D371" s="580"/>
      <c r="E371" s="580"/>
      <c r="F371" s="580"/>
      <c r="G371" s="580"/>
      <c r="H371" s="580"/>
      <c r="I371" s="580"/>
      <c r="J371" s="580"/>
      <c r="M371" s="680"/>
      <c r="N371" s="680"/>
      <c r="O371" s="681"/>
      <c r="Q371" s="682"/>
      <c r="R371" s="683"/>
      <c r="S371" s="683"/>
      <c r="T371" s="580"/>
    </row>
    <row r="372" spans="1:20" s="679" customFormat="1" x14ac:dyDescent="0.3">
      <c r="A372" s="580"/>
      <c r="B372" s="677"/>
      <c r="C372" s="580"/>
      <c r="D372" s="580"/>
      <c r="E372" s="580"/>
      <c r="F372" s="580"/>
      <c r="G372" s="580"/>
      <c r="H372" s="580"/>
      <c r="I372" s="580"/>
      <c r="J372" s="580"/>
      <c r="M372" s="680"/>
      <c r="N372" s="680"/>
      <c r="O372" s="681"/>
      <c r="Q372" s="682"/>
      <c r="R372" s="683"/>
      <c r="S372" s="683"/>
      <c r="T372" s="580"/>
    </row>
    <row r="373" spans="1:20" s="679" customFormat="1" x14ac:dyDescent="0.3">
      <c r="A373" s="580"/>
      <c r="B373" s="677"/>
      <c r="C373" s="580"/>
      <c r="D373" s="580"/>
      <c r="E373" s="580"/>
      <c r="F373" s="580"/>
      <c r="G373" s="580"/>
      <c r="H373" s="580"/>
      <c r="I373" s="580"/>
      <c r="J373" s="580"/>
      <c r="M373" s="680"/>
      <c r="N373" s="680"/>
      <c r="O373" s="681"/>
      <c r="Q373" s="682"/>
      <c r="R373" s="683"/>
      <c r="S373" s="683"/>
      <c r="T373" s="580"/>
    </row>
    <row r="374" spans="1:20" s="679" customFormat="1" x14ac:dyDescent="0.3">
      <c r="A374" s="580"/>
      <c r="B374" s="677"/>
      <c r="C374" s="580"/>
      <c r="D374" s="580"/>
      <c r="E374" s="580"/>
      <c r="F374" s="580"/>
      <c r="G374" s="580"/>
      <c r="H374" s="580"/>
      <c r="I374" s="580"/>
      <c r="J374" s="580"/>
      <c r="M374" s="680"/>
      <c r="N374" s="680"/>
      <c r="O374" s="681"/>
      <c r="Q374" s="682"/>
      <c r="R374" s="683"/>
      <c r="S374" s="683"/>
      <c r="T374" s="580"/>
    </row>
    <row r="375" spans="1:20" s="679" customFormat="1" x14ac:dyDescent="0.3">
      <c r="A375" s="580"/>
      <c r="B375" s="677"/>
      <c r="C375" s="580"/>
      <c r="D375" s="580"/>
      <c r="E375" s="580"/>
      <c r="F375" s="580"/>
      <c r="G375" s="580"/>
      <c r="H375" s="580"/>
      <c r="I375" s="580"/>
      <c r="J375" s="580"/>
      <c r="M375" s="680"/>
      <c r="N375" s="680"/>
      <c r="O375" s="681"/>
      <c r="Q375" s="682"/>
      <c r="R375" s="683"/>
      <c r="S375" s="683"/>
      <c r="T375" s="580"/>
    </row>
    <row r="376" spans="1:20" s="679" customFormat="1" x14ac:dyDescent="0.3">
      <c r="A376" s="580"/>
      <c r="B376" s="677"/>
      <c r="C376" s="580"/>
      <c r="D376" s="580"/>
      <c r="E376" s="580"/>
      <c r="F376" s="580"/>
      <c r="G376" s="580"/>
      <c r="H376" s="580"/>
      <c r="I376" s="580"/>
      <c r="J376" s="580"/>
      <c r="M376" s="680"/>
      <c r="N376" s="680"/>
      <c r="O376" s="681"/>
      <c r="Q376" s="682"/>
      <c r="R376" s="683"/>
      <c r="S376" s="683"/>
      <c r="T376" s="580"/>
    </row>
    <row r="377" spans="1:20" s="679" customFormat="1" x14ac:dyDescent="0.3">
      <c r="A377" s="580"/>
      <c r="B377" s="677"/>
      <c r="C377" s="580"/>
      <c r="D377" s="580"/>
      <c r="E377" s="580"/>
      <c r="F377" s="580"/>
      <c r="G377" s="580"/>
      <c r="H377" s="580"/>
      <c r="I377" s="580"/>
      <c r="J377" s="580"/>
      <c r="M377" s="680"/>
      <c r="N377" s="680"/>
      <c r="O377" s="681"/>
      <c r="Q377" s="682"/>
      <c r="R377" s="683"/>
      <c r="S377" s="683"/>
      <c r="T377" s="580"/>
    </row>
    <row r="378" spans="1:20" s="679" customFormat="1" x14ac:dyDescent="0.3">
      <c r="A378" s="580"/>
      <c r="B378" s="677"/>
      <c r="C378" s="580"/>
      <c r="D378" s="580"/>
      <c r="E378" s="580"/>
      <c r="F378" s="580"/>
      <c r="G378" s="580"/>
      <c r="H378" s="580"/>
      <c r="I378" s="580"/>
      <c r="J378" s="580"/>
      <c r="M378" s="680"/>
      <c r="N378" s="680"/>
      <c r="O378" s="681"/>
      <c r="Q378" s="682"/>
      <c r="R378" s="683"/>
      <c r="S378" s="683"/>
      <c r="T378" s="580"/>
    </row>
    <row r="379" spans="1:20" s="679" customFormat="1" x14ac:dyDescent="0.3">
      <c r="A379" s="580"/>
      <c r="B379" s="677"/>
      <c r="C379" s="580"/>
      <c r="D379" s="580"/>
      <c r="E379" s="580"/>
      <c r="F379" s="580"/>
      <c r="G379" s="580"/>
      <c r="H379" s="580"/>
      <c r="I379" s="580"/>
      <c r="J379" s="580"/>
      <c r="M379" s="680"/>
      <c r="N379" s="680"/>
      <c r="O379" s="681"/>
      <c r="Q379" s="682"/>
      <c r="R379" s="683"/>
      <c r="S379" s="683"/>
      <c r="T379" s="580"/>
    </row>
    <row r="380" spans="1:20" s="679" customFormat="1" x14ac:dyDescent="0.3">
      <c r="A380" s="580"/>
      <c r="B380" s="677"/>
      <c r="C380" s="580"/>
      <c r="D380" s="580"/>
      <c r="E380" s="580"/>
      <c r="F380" s="580"/>
      <c r="G380" s="580"/>
      <c r="H380" s="580"/>
      <c r="I380" s="580"/>
      <c r="J380" s="580"/>
      <c r="M380" s="680"/>
      <c r="N380" s="680"/>
      <c r="O380" s="681"/>
      <c r="Q380" s="682"/>
      <c r="R380" s="683"/>
      <c r="S380" s="683"/>
      <c r="T380" s="580"/>
    </row>
    <row r="381" spans="1:20" s="679" customFormat="1" x14ac:dyDescent="0.3">
      <c r="A381" s="580"/>
      <c r="B381" s="677"/>
      <c r="C381" s="580"/>
      <c r="D381" s="580"/>
      <c r="E381" s="580"/>
      <c r="F381" s="580"/>
      <c r="G381" s="580"/>
      <c r="H381" s="580"/>
      <c r="I381" s="580"/>
      <c r="J381" s="580"/>
      <c r="M381" s="680"/>
      <c r="N381" s="680"/>
      <c r="O381" s="681"/>
      <c r="Q381" s="682"/>
      <c r="R381" s="683"/>
      <c r="S381" s="683"/>
      <c r="T381" s="580"/>
    </row>
    <row r="382" spans="1:20" s="679" customFormat="1" x14ac:dyDescent="0.3">
      <c r="A382" s="580"/>
      <c r="B382" s="677"/>
      <c r="C382" s="580"/>
      <c r="D382" s="580"/>
      <c r="E382" s="580"/>
      <c r="F382" s="580"/>
      <c r="G382" s="580"/>
      <c r="H382" s="580"/>
      <c r="I382" s="580"/>
      <c r="J382" s="580"/>
      <c r="M382" s="680"/>
      <c r="N382" s="680"/>
      <c r="O382" s="681"/>
      <c r="Q382" s="682"/>
      <c r="R382" s="683"/>
      <c r="S382" s="683"/>
      <c r="T382" s="580"/>
    </row>
    <row r="383" spans="1:20" s="679" customFormat="1" x14ac:dyDescent="0.3">
      <c r="A383" s="580"/>
      <c r="B383" s="677"/>
      <c r="C383" s="580"/>
      <c r="D383" s="580"/>
      <c r="E383" s="580"/>
      <c r="F383" s="580"/>
      <c r="G383" s="580"/>
      <c r="H383" s="580"/>
      <c r="I383" s="580"/>
      <c r="J383" s="580"/>
      <c r="M383" s="680"/>
      <c r="N383" s="680"/>
      <c r="O383" s="681"/>
      <c r="Q383" s="682"/>
      <c r="R383" s="683"/>
      <c r="S383" s="683"/>
      <c r="T383" s="580"/>
    </row>
    <row r="384" spans="1:20" s="679" customFormat="1" x14ac:dyDescent="0.3">
      <c r="A384" s="580"/>
      <c r="B384" s="677"/>
      <c r="C384" s="580"/>
      <c r="D384" s="580"/>
      <c r="E384" s="580"/>
      <c r="F384" s="580"/>
      <c r="G384" s="580"/>
      <c r="H384" s="580"/>
      <c r="I384" s="580"/>
      <c r="J384" s="580"/>
      <c r="M384" s="680"/>
      <c r="N384" s="680"/>
      <c r="O384" s="681"/>
      <c r="Q384" s="682"/>
      <c r="R384" s="683"/>
      <c r="S384" s="683"/>
      <c r="T384" s="580"/>
    </row>
    <row r="385" spans="1:20" s="679" customFormat="1" x14ac:dyDescent="0.3">
      <c r="A385" s="580"/>
      <c r="B385" s="677"/>
      <c r="C385" s="580"/>
      <c r="D385" s="580"/>
      <c r="E385" s="580"/>
      <c r="F385" s="580"/>
      <c r="G385" s="580"/>
      <c r="H385" s="580"/>
      <c r="I385" s="580"/>
      <c r="J385" s="580"/>
      <c r="M385" s="680"/>
      <c r="N385" s="680"/>
      <c r="O385" s="681"/>
      <c r="Q385" s="682"/>
      <c r="R385" s="683"/>
      <c r="S385" s="683"/>
      <c r="T385" s="580"/>
    </row>
    <row r="386" spans="1:20" s="679" customFormat="1" x14ac:dyDescent="0.3">
      <c r="A386" s="580"/>
      <c r="B386" s="677"/>
      <c r="C386" s="580"/>
      <c r="D386" s="580"/>
      <c r="E386" s="580"/>
      <c r="F386" s="580"/>
      <c r="G386" s="580"/>
      <c r="H386" s="580"/>
      <c r="I386" s="580"/>
      <c r="J386" s="580"/>
      <c r="M386" s="680"/>
      <c r="N386" s="680"/>
      <c r="O386" s="681"/>
      <c r="Q386" s="682"/>
      <c r="R386" s="683"/>
      <c r="S386" s="683"/>
      <c r="T386" s="580"/>
    </row>
    <row r="387" spans="1:20" s="679" customFormat="1" x14ac:dyDescent="0.3">
      <c r="A387" s="580"/>
      <c r="B387" s="677"/>
      <c r="C387" s="580"/>
      <c r="D387" s="580"/>
      <c r="E387" s="580"/>
      <c r="F387" s="580"/>
      <c r="G387" s="580"/>
      <c r="H387" s="580"/>
      <c r="I387" s="580"/>
      <c r="J387" s="580"/>
      <c r="M387" s="680"/>
      <c r="N387" s="680"/>
      <c r="O387" s="681"/>
      <c r="Q387" s="682"/>
      <c r="R387" s="683"/>
      <c r="S387" s="683"/>
      <c r="T387" s="580"/>
    </row>
    <row r="388" spans="1:20" s="679" customFormat="1" x14ac:dyDescent="0.3">
      <c r="A388" s="580"/>
      <c r="B388" s="677"/>
      <c r="C388" s="580"/>
      <c r="D388" s="580"/>
      <c r="E388" s="580"/>
      <c r="F388" s="580"/>
      <c r="G388" s="580"/>
      <c r="H388" s="580"/>
      <c r="I388" s="580"/>
      <c r="J388" s="580"/>
      <c r="M388" s="680"/>
      <c r="N388" s="680"/>
      <c r="O388" s="681"/>
      <c r="Q388" s="682"/>
      <c r="R388" s="683"/>
      <c r="S388" s="683"/>
      <c r="T388" s="580"/>
    </row>
    <row r="389" spans="1:20" s="679" customFormat="1" x14ac:dyDescent="0.3">
      <c r="A389" s="580"/>
      <c r="B389" s="677"/>
      <c r="C389" s="580"/>
      <c r="D389" s="580"/>
      <c r="E389" s="580"/>
      <c r="F389" s="580"/>
      <c r="G389" s="580"/>
      <c r="H389" s="580"/>
      <c r="I389" s="580"/>
      <c r="J389" s="580"/>
      <c r="M389" s="680"/>
      <c r="N389" s="680"/>
      <c r="O389" s="681"/>
      <c r="Q389" s="682"/>
      <c r="R389" s="683"/>
      <c r="S389" s="683"/>
      <c r="T389" s="580"/>
    </row>
    <row r="390" spans="1:20" s="679" customFormat="1" x14ac:dyDescent="0.3">
      <c r="A390" s="580"/>
      <c r="B390" s="677"/>
      <c r="C390" s="580"/>
      <c r="D390" s="580"/>
      <c r="E390" s="580"/>
      <c r="F390" s="580"/>
      <c r="G390" s="580"/>
      <c r="H390" s="580"/>
      <c r="I390" s="580"/>
      <c r="J390" s="580"/>
      <c r="M390" s="680"/>
      <c r="N390" s="680"/>
      <c r="O390" s="681"/>
      <c r="Q390" s="682"/>
      <c r="R390" s="683"/>
      <c r="S390" s="683"/>
      <c r="T390" s="580"/>
    </row>
    <row r="391" spans="1:20" s="679" customFormat="1" x14ac:dyDescent="0.3">
      <c r="A391" s="580"/>
      <c r="B391" s="677"/>
      <c r="C391" s="580"/>
      <c r="D391" s="580"/>
      <c r="E391" s="580"/>
      <c r="F391" s="580"/>
      <c r="G391" s="580"/>
      <c r="H391" s="580"/>
      <c r="I391" s="580"/>
      <c r="J391" s="580"/>
      <c r="M391" s="680"/>
      <c r="N391" s="680"/>
      <c r="O391" s="681"/>
      <c r="Q391" s="682"/>
      <c r="R391" s="683"/>
      <c r="S391" s="683"/>
      <c r="T391" s="580"/>
    </row>
    <row r="392" spans="1:20" s="679" customFormat="1" x14ac:dyDescent="0.3">
      <c r="A392" s="580"/>
      <c r="B392" s="677"/>
      <c r="C392" s="580"/>
      <c r="D392" s="580"/>
      <c r="E392" s="580"/>
      <c r="F392" s="580"/>
      <c r="G392" s="580"/>
      <c r="H392" s="580"/>
      <c r="I392" s="580"/>
      <c r="J392" s="580"/>
      <c r="M392" s="680"/>
      <c r="N392" s="680"/>
      <c r="O392" s="681"/>
      <c r="Q392" s="682"/>
      <c r="R392" s="683"/>
      <c r="S392" s="683"/>
      <c r="T392" s="580"/>
    </row>
    <row r="393" spans="1:20" s="679" customFormat="1" x14ac:dyDescent="0.3">
      <c r="A393" s="580"/>
      <c r="B393" s="677"/>
      <c r="C393" s="580"/>
      <c r="D393" s="580"/>
      <c r="E393" s="580"/>
      <c r="F393" s="580"/>
      <c r="G393" s="580"/>
      <c r="H393" s="580"/>
      <c r="I393" s="580"/>
      <c r="J393" s="580"/>
      <c r="M393" s="680"/>
      <c r="N393" s="680"/>
      <c r="O393" s="681"/>
      <c r="Q393" s="682"/>
      <c r="R393" s="683"/>
      <c r="S393" s="683"/>
      <c r="T393" s="580"/>
    </row>
    <row r="394" spans="1:20" s="679" customFormat="1" x14ac:dyDescent="0.3">
      <c r="A394" s="580"/>
      <c r="B394" s="677"/>
      <c r="C394" s="580"/>
      <c r="D394" s="580"/>
      <c r="E394" s="580"/>
      <c r="F394" s="580"/>
      <c r="G394" s="580"/>
      <c r="H394" s="580"/>
      <c r="I394" s="580"/>
      <c r="J394" s="580"/>
      <c r="M394" s="680"/>
      <c r="N394" s="680"/>
      <c r="O394" s="681"/>
      <c r="Q394" s="682"/>
      <c r="R394" s="683"/>
      <c r="S394" s="683"/>
      <c r="T394" s="580"/>
    </row>
    <row r="395" spans="1:20" s="679" customFormat="1" x14ac:dyDescent="0.3">
      <c r="A395" s="580"/>
      <c r="B395" s="677"/>
      <c r="C395" s="580"/>
      <c r="D395" s="580"/>
      <c r="E395" s="580"/>
      <c r="F395" s="580"/>
      <c r="G395" s="580"/>
      <c r="H395" s="580"/>
      <c r="I395" s="580"/>
      <c r="J395" s="580"/>
      <c r="M395" s="680"/>
      <c r="N395" s="680"/>
      <c r="O395" s="681"/>
      <c r="Q395" s="682"/>
      <c r="R395" s="683"/>
      <c r="S395" s="683"/>
      <c r="T395" s="580"/>
    </row>
    <row r="396" spans="1:20" s="679" customFormat="1" x14ac:dyDescent="0.3">
      <c r="A396" s="580"/>
      <c r="B396" s="677"/>
      <c r="C396" s="580"/>
      <c r="D396" s="580"/>
      <c r="E396" s="580"/>
      <c r="F396" s="580"/>
      <c r="G396" s="580"/>
      <c r="H396" s="580"/>
      <c r="I396" s="580"/>
      <c r="J396" s="580"/>
      <c r="M396" s="680"/>
      <c r="N396" s="680"/>
      <c r="O396" s="681"/>
      <c r="Q396" s="682"/>
      <c r="R396" s="683"/>
      <c r="S396" s="683"/>
      <c r="T396" s="580"/>
    </row>
    <row r="397" spans="1:20" s="679" customFormat="1" x14ac:dyDescent="0.3">
      <c r="A397" s="580"/>
      <c r="B397" s="677"/>
      <c r="C397" s="580"/>
      <c r="D397" s="580"/>
      <c r="E397" s="580"/>
      <c r="F397" s="580"/>
      <c r="G397" s="580"/>
      <c r="H397" s="580"/>
      <c r="I397" s="580"/>
      <c r="J397" s="580"/>
      <c r="M397" s="680"/>
      <c r="N397" s="680"/>
      <c r="O397" s="681"/>
      <c r="Q397" s="682"/>
      <c r="R397" s="683"/>
      <c r="S397" s="683"/>
      <c r="T397" s="580"/>
    </row>
    <row r="398" spans="1:20" s="679" customFormat="1" x14ac:dyDescent="0.3">
      <c r="A398" s="580"/>
      <c r="B398" s="677"/>
      <c r="C398" s="580"/>
      <c r="D398" s="580"/>
      <c r="E398" s="580"/>
      <c r="F398" s="580"/>
      <c r="G398" s="580"/>
      <c r="H398" s="580"/>
      <c r="I398" s="580"/>
      <c r="J398" s="580"/>
      <c r="M398" s="680"/>
      <c r="N398" s="680"/>
      <c r="O398" s="681"/>
      <c r="Q398" s="682"/>
      <c r="R398" s="683"/>
      <c r="S398" s="683"/>
      <c r="T398" s="580"/>
    </row>
    <row r="399" spans="1:20" s="679" customFormat="1" x14ac:dyDescent="0.3">
      <c r="A399" s="580"/>
      <c r="B399" s="677"/>
      <c r="C399" s="580"/>
      <c r="D399" s="580"/>
      <c r="E399" s="580"/>
      <c r="F399" s="580"/>
      <c r="G399" s="580"/>
      <c r="H399" s="580"/>
      <c r="I399" s="580"/>
      <c r="J399" s="580"/>
      <c r="M399" s="680"/>
      <c r="N399" s="680"/>
      <c r="O399" s="681"/>
      <c r="Q399" s="682"/>
      <c r="R399" s="683"/>
      <c r="S399" s="683"/>
      <c r="T399" s="580"/>
    </row>
    <row r="400" spans="1:20" s="679" customFormat="1" x14ac:dyDescent="0.3">
      <c r="A400" s="580"/>
      <c r="B400" s="677"/>
      <c r="C400" s="580"/>
      <c r="D400" s="580"/>
      <c r="E400" s="580"/>
      <c r="F400" s="580"/>
      <c r="G400" s="580"/>
      <c r="H400" s="580"/>
      <c r="I400" s="580"/>
      <c r="J400" s="580"/>
      <c r="M400" s="680"/>
      <c r="N400" s="680"/>
      <c r="O400" s="681"/>
      <c r="Q400" s="682"/>
      <c r="R400" s="683"/>
      <c r="S400" s="683"/>
      <c r="T400" s="580"/>
    </row>
    <row r="401" spans="1:20" s="679" customFormat="1" x14ac:dyDescent="0.3">
      <c r="A401" s="580"/>
      <c r="B401" s="677"/>
      <c r="C401" s="580"/>
      <c r="D401" s="580"/>
      <c r="E401" s="580"/>
      <c r="F401" s="580"/>
      <c r="G401" s="580"/>
      <c r="H401" s="580"/>
      <c r="I401" s="580"/>
      <c r="J401" s="580"/>
      <c r="M401" s="680"/>
      <c r="N401" s="680"/>
      <c r="O401" s="681"/>
      <c r="Q401" s="682"/>
      <c r="R401" s="683"/>
      <c r="S401" s="683"/>
      <c r="T401" s="580"/>
    </row>
    <row r="402" spans="1:20" s="679" customFormat="1" x14ac:dyDescent="0.3">
      <c r="A402" s="580"/>
      <c r="B402" s="677"/>
      <c r="C402" s="580"/>
      <c r="D402" s="580"/>
      <c r="E402" s="580"/>
      <c r="F402" s="580"/>
      <c r="G402" s="580"/>
      <c r="H402" s="580"/>
      <c r="I402" s="580"/>
      <c r="J402" s="580"/>
      <c r="M402" s="680"/>
      <c r="N402" s="680"/>
      <c r="O402" s="681"/>
      <c r="Q402" s="682"/>
      <c r="R402" s="683"/>
      <c r="S402" s="683"/>
      <c r="T402" s="580"/>
    </row>
    <row r="403" spans="1:20" s="679" customFormat="1" x14ac:dyDescent="0.3">
      <c r="A403" s="580"/>
      <c r="B403" s="677"/>
      <c r="C403" s="580"/>
      <c r="D403" s="580"/>
      <c r="E403" s="580"/>
      <c r="F403" s="580"/>
      <c r="G403" s="580"/>
      <c r="H403" s="580"/>
      <c r="I403" s="580"/>
      <c r="J403" s="580"/>
      <c r="M403" s="680"/>
      <c r="N403" s="680"/>
      <c r="O403" s="681"/>
      <c r="Q403" s="682"/>
      <c r="R403" s="683"/>
      <c r="S403" s="683"/>
      <c r="T403" s="580"/>
    </row>
    <row r="404" spans="1:20" s="679" customFormat="1" x14ac:dyDescent="0.3">
      <c r="A404" s="580"/>
      <c r="B404" s="677"/>
      <c r="C404" s="580"/>
      <c r="D404" s="580"/>
      <c r="E404" s="580"/>
      <c r="F404" s="580"/>
      <c r="G404" s="580"/>
      <c r="H404" s="580"/>
      <c r="I404" s="580"/>
      <c r="J404" s="580"/>
      <c r="M404" s="680"/>
      <c r="N404" s="680"/>
      <c r="O404" s="681"/>
      <c r="Q404" s="682"/>
      <c r="R404" s="683"/>
      <c r="S404" s="683"/>
      <c r="T404" s="580"/>
    </row>
    <row r="405" spans="1:20" s="679" customFormat="1" x14ac:dyDescent="0.3">
      <c r="A405" s="580"/>
      <c r="B405" s="677"/>
      <c r="C405" s="580"/>
      <c r="D405" s="580"/>
      <c r="E405" s="580"/>
      <c r="F405" s="580"/>
      <c r="G405" s="580"/>
      <c r="H405" s="580"/>
      <c r="I405" s="580"/>
      <c r="J405" s="580"/>
      <c r="M405" s="680"/>
      <c r="N405" s="680"/>
      <c r="O405" s="681"/>
      <c r="Q405" s="682"/>
      <c r="R405" s="683"/>
      <c r="S405" s="683"/>
      <c r="T405" s="580"/>
    </row>
    <row r="406" spans="1:20" s="679" customFormat="1" x14ac:dyDescent="0.3">
      <c r="A406" s="580"/>
      <c r="B406" s="677"/>
      <c r="C406" s="580"/>
      <c r="D406" s="580"/>
      <c r="E406" s="580"/>
      <c r="F406" s="580"/>
      <c r="G406" s="580"/>
      <c r="H406" s="580"/>
      <c r="I406" s="580"/>
      <c r="J406" s="580"/>
      <c r="M406" s="680"/>
      <c r="N406" s="680"/>
      <c r="O406" s="681"/>
      <c r="Q406" s="682"/>
      <c r="R406" s="683"/>
      <c r="S406" s="683"/>
      <c r="T406" s="580"/>
    </row>
    <row r="407" spans="1:20" s="679" customFormat="1" x14ac:dyDescent="0.3">
      <c r="A407" s="580"/>
      <c r="B407" s="677"/>
      <c r="C407" s="580"/>
      <c r="D407" s="580"/>
      <c r="E407" s="580"/>
      <c r="F407" s="580"/>
      <c r="G407" s="580"/>
      <c r="H407" s="580"/>
      <c r="I407" s="580"/>
      <c r="J407" s="580"/>
      <c r="M407" s="680"/>
      <c r="N407" s="680"/>
      <c r="O407" s="681"/>
      <c r="Q407" s="682"/>
      <c r="R407" s="683"/>
      <c r="S407" s="683"/>
      <c r="T407" s="580"/>
    </row>
    <row r="408" spans="1:20" s="679" customFormat="1" x14ac:dyDescent="0.3">
      <c r="A408" s="580"/>
      <c r="B408" s="677"/>
      <c r="C408" s="580"/>
      <c r="D408" s="580"/>
      <c r="E408" s="580"/>
      <c r="F408" s="580"/>
      <c r="G408" s="580"/>
      <c r="H408" s="580"/>
      <c r="I408" s="580"/>
      <c r="J408" s="580"/>
      <c r="M408" s="680"/>
      <c r="N408" s="680"/>
      <c r="O408" s="681"/>
      <c r="Q408" s="682"/>
      <c r="R408" s="683"/>
      <c r="S408" s="683"/>
      <c r="T408" s="580"/>
    </row>
    <row r="409" spans="1:20" s="679" customFormat="1" x14ac:dyDescent="0.3">
      <c r="A409" s="580"/>
      <c r="B409" s="677"/>
      <c r="C409" s="580"/>
      <c r="D409" s="580"/>
      <c r="E409" s="580"/>
      <c r="F409" s="580"/>
      <c r="G409" s="580"/>
      <c r="H409" s="580"/>
      <c r="I409" s="580"/>
      <c r="J409" s="580"/>
      <c r="M409" s="680"/>
      <c r="N409" s="680"/>
      <c r="O409" s="681"/>
      <c r="Q409" s="682"/>
      <c r="R409" s="683"/>
      <c r="S409" s="683"/>
      <c r="T409" s="580"/>
    </row>
    <row r="410" spans="1:20" s="679" customFormat="1" x14ac:dyDescent="0.3">
      <c r="A410" s="580"/>
      <c r="B410" s="677"/>
      <c r="C410" s="580"/>
      <c r="D410" s="580"/>
      <c r="E410" s="580"/>
      <c r="F410" s="580"/>
      <c r="G410" s="580"/>
      <c r="H410" s="580"/>
      <c r="I410" s="580"/>
      <c r="J410" s="580"/>
      <c r="M410" s="680"/>
      <c r="N410" s="680"/>
      <c r="O410" s="681"/>
      <c r="Q410" s="682"/>
      <c r="R410" s="683"/>
      <c r="S410" s="683"/>
      <c r="T410" s="580"/>
    </row>
    <row r="411" spans="1:20" s="679" customFormat="1" x14ac:dyDescent="0.3">
      <c r="A411" s="580"/>
      <c r="B411" s="677"/>
      <c r="C411" s="580"/>
      <c r="D411" s="580"/>
      <c r="E411" s="580"/>
      <c r="F411" s="580"/>
      <c r="G411" s="580"/>
      <c r="H411" s="580"/>
      <c r="I411" s="580"/>
      <c r="J411" s="580"/>
      <c r="M411" s="680"/>
      <c r="N411" s="680"/>
      <c r="O411" s="681"/>
      <c r="Q411" s="682"/>
      <c r="R411" s="683"/>
      <c r="S411" s="683"/>
      <c r="T411" s="580"/>
    </row>
    <row r="412" spans="1:20" s="679" customFormat="1" x14ac:dyDescent="0.3">
      <c r="A412" s="580"/>
      <c r="B412" s="677"/>
      <c r="C412" s="580"/>
      <c r="D412" s="580"/>
      <c r="E412" s="580"/>
      <c r="F412" s="580"/>
      <c r="G412" s="580"/>
      <c r="H412" s="580"/>
      <c r="I412" s="580"/>
      <c r="J412" s="580"/>
      <c r="M412" s="680"/>
      <c r="N412" s="680"/>
      <c r="O412" s="681"/>
      <c r="Q412" s="682"/>
      <c r="R412" s="683"/>
      <c r="S412" s="683"/>
      <c r="T412" s="580"/>
    </row>
    <row r="413" spans="1:20" s="679" customFormat="1" x14ac:dyDescent="0.3">
      <c r="A413" s="580"/>
      <c r="B413" s="677"/>
      <c r="C413" s="580"/>
      <c r="D413" s="580"/>
      <c r="E413" s="580"/>
      <c r="F413" s="580"/>
      <c r="G413" s="580"/>
      <c r="H413" s="580"/>
      <c r="I413" s="580"/>
      <c r="J413" s="580"/>
      <c r="M413" s="680"/>
      <c r="N413" s="680"/>
      <c r="O413" s="681"/>
      <c r="Q413" s="682"/>
      <c r="R413" s="683"/>
      <c r="S413" s="683"/>
      <c r="T413" s="580"/>
    </row>
    <row r="414" spans="1:20" s="679" customFormat="1" x14ac:dyDescent="0.3">
      <c r="A414" s="580"/>
      <c r="B414" s="677"/>
      <c r="C414" s="580"/>
      <c r="D414" s="580"/>
      <c r="E414" s="580"/>
      <c r="F414" s="580"/>
      <c r="G414" s="580"/>
      <c r="H414" s="580"/>
      <c r="I414" s="580"/>
      <c r="J414" s="580"/>
      <c r="M414" s="680"/>
      <c r="N414" s="680"/>
      <c r="O414" s="681"/>
      <c r="Q414" s="682"/>
      <c r="R414" s="683"/>
      <c r="S414" s="683"/>
      <c r="T414" s="580"/>
    </row>
    <row r="415" spans="1:20" s="679" customFormat="1" x14ac:dyDescent="0.3">
      <c r="A415" s="580"/>
      <c r="B415" s="677"/>
      <c r="C415" s="580"/>
      <c r="D415" s="580"/>
      <c r="E415" s="580"/>
      <c r="F415" s="580"/>
      <c r="G415" s="580"/>
      <c r="H415" s="580"/>
      <c r="I415" s="580"/>
      <c r="J415" s="580"/>
      <c r="M415" s="680"/>
      <c r="N415" s="680"/>
      <c r="O415" s="681"/>
      <c r="Q415" s="682"/>
      <c r="R415" s="683"/>
      <c r="S415" s="683"/>
      <c r="T415" s="580"/>
    </row>
    <row r="416" spans="1:20" s="679" customFormat="1" x14ac:dyDescent="0.3">
      <c r="A416" s="580"/>
      <c r="B416" s="677"/>
      <c r="C416" s="580"/>
      <c r="D416" s="580"/>
      <c r="E416" s="580"/>
      <c r="F416" s="580"/>
      <c r="G416" s="580"/>
      <c r="H416" s="580"/>
      <c r="I416" s="580"/>
      <c r="J416" s="580"/>
      <c r="M416" s="680"/>
      <c r="N416" s="680"/>
      <c r="O416" s="681"/>
      <c r="Q416" s="682"/>
      <c r="R416" s="683"/>
      <c r="S416" s="683"/>
      <c r="T416" s="580"/>
    </row>
    <row r="417" spans="1:20" s="679" customFormat="1" x14ac:dyDescent="0.3">
      <c r="A417" s="580"/>
      <c r="B417" s="677"/>
      <c r="C417" s="580"/>
      <c r="D417" s="580"/>
      <c r="E417" s="580"/>
      <c r="F417" s="580"/>
      <c r="G417" s="580"/>
      <c r="H417" s="580"/>
      <c r="I417" s="580"/>
      <c r="J417" s="580"/>
      <c r="M417" s="680"/>
      <c r="N417" s="680"/>
      <c r="O417" s="681"/>
      <c r="Q417" s="682"/>
      <c r="R417" s="683"/>
      <c r="S417" s="683"/>
      <c r="T417" s="580"/>
    </row>
    <row r="418" spans="1:20" s="679" customFormat="1" x14ac:dyDescent="0.3">
      <c r="A418" s="580"/>
      <c r="B418" s="677"/>
      <c r="C418" s="580"/>
      <c r="D418" s="580"/>
      <c r="E418" s="580"/>
      <c r="F418" s="580"/>
      <c r="G418" s="580"/>
      <c r="H418" s="580"/>
      <c r="I418" s="580"/>
      <c r="J418" s="580"/>
      <c r="M418" s="680"/>
      <c r="N418" s="680"/>
      <c r="O418" s="681"/>
      <c r="Q418" s="682"/>
      <c r="R418" s="683"/>
      <c r="S418" s="683"/>
      <c r="T418" s="580"/>
    </row>
    <row r="419" spans="1:20" s="679" customFormat="1" x14ac:dyDescent="0.3">
      <c r="A419" s="580"/>
      <c r="B419" s="677"/>
      <c r="C419" s="580"/>
      <c r="D419" s="580"/>
      <c r="E419" s="580"/>
      <c r="F419" s="580"/>
      <c r="G419" s="580"/>
      <c r="H419" s="580"/>
      <c r="I419" s="580"/>
      <c r="J419" s="580"/>
      <c r="M419" s="680"/>
      <c r="N419" s="680"/>
      <c r="O419" s="681"/>
      <c r="Q419" s="682"/>
      <c r="R419" s="683"/>
      <c r="S419" s="683"/>
      <c r="T419" s="580"/>
    </row>
    <row r="420" spans="1:20" s="679" customFormat="1" x14ac:dyDescent="0.3">
      <c r="A420" s="580"/>
      <c r="B420" s="677"/>
      <c r="C420" s="580"/>
      <c r="D420" s="580"/>
      <c r="E420" s="580"/>
      <c r="F420" s="580"/>
      <c r="G420" s="580"/>
      <c r="H420" s="580"/>
      <c r="I420" s="580"/>
      <c r="J420" s="580"/>
      <c r="M420" s="680"/>
      <c r="N420" s="680"/>
      <c r="O420" s="681"/>
      <c r="Q420" s="682"/>
      <c r="R420" s="683"/>
      <c r="S420" s="683"/>
      <c r="T420" s="580"/>
    </row>
    <row r="421" spans="1:20" s="679" customFormat="1" x14ac:dyDescent="0.3">
      <c r="A421" s="580"/>
      <c r="B421" s="677"/>
      <c r="C421" s="580"/>
      <c r="D421" s="580"/>
      <c r="E421" s="580"/>
      <c r="F421" s="580"/>
      <c r="G421" s="580"/>
      <c r="H421" s="580"/>
      <c r="I421" s="580"/>
      <c r="J421" s="580"/>
      <c r="M421" s="680"/>
      <c r="N421" s="680"/>
      <c r="O421" s="681"/>
      <c r="Q421" s="682"/>
      <c r="R421" s="683"/>
      <c r="S421" s="683"/>
      <c r="T421" s="580"/>
    </row>
    <row r="422" spans="1:20" s="679" customFormat="1" x14ac:dyDescent="0.3">
      <c r="A422" s="580"/>
      <c r="B422" s="677"/>
      <c r="C422" s="580"/>
      <c r="D422" s="580"/>
      <c r="E422" s="580"/>
      <c r="F422" s="580"/>
      <c r="G422" s="580"/>
      <c r="H422" s="580"/>
      <c r="I422" s="580"/>
      <c r="J422" s="580"/>
      <c r="M422" s="680"/>
      <c r="N422" s="680"/>
      <c r="O422" s="681"/>
      <c r="Q422" s="682"/>
      <c r="R422" s="683"/>
      <c r="S422" s="683"/>
      <c r="T422" s="580"/>
    </row>
    <row r="423" spans="1:20" s="679" customFormat="1" x14ac:dyDescent="0.3">
      <c r="A423" s="580"/>
      <c r="B423" s="677"/>
      <c r="C423" s="580"/>
      <c r="D423" s="580"/>
      <c r="E423" s="580"/>
      <c r="F423" s="580"/>
      <c r="G423" s="580"/>
      <c r="H423" s="580"/>
      <c r="I423" s="580"/>
      <c r="J423" s="580"/>
      <c r="M423" s="680"/>
      <c r="N423" s="680"/>
      <c r="O423" s="681"/>
      <c r="Q423" s="682"/>
      <c r="R423" s="683"/>
      <c r="S423" s="683"/>
      <c r="T423" s="580"/>
    </row>
    <row r="424" spans="1:20" s="679" customFormat="1" x14ac:dyDescent="0.3">
      <c r="A424" s="580"/>
      <c r="B424" s="677"/>
      <c r="C424" s="580"/>
      <c r="D424" s="580"/>
      <c r="E424" s="580"/>
      <c r="F424" s="580"/>
      <c r="G424" s="580"/>
      <c r="H424" s="580"/>
      <c r="I424" s="580"/>
      <c r="J424" s="580"/>
      <c r="M424" s="680"/>
      <c r="N424" s="680"/>
      <c r="O424" s="681"/>
      <c r="Q424" s="682"/>
      <c r="R424" s="683"/>
      <c r="S424" s="683"/>
      <c r="T424" s="580"/>
    </row>
    <row r="425" spans="1:20" s="679" customFormat="1" x14ac:dyDescent="0.3">
      <c r="A425" s="580"/>
      <c r="B425" s="677"/>
      <c r="C425" s="580"/>
      <c r="D425" s="580"/>
      <c r="E425" s="580"/>
      <c r="F425" s="580"/>
      <c r="G425" s="580"/>
      <c r="H425" s="580"/>
      <c r="I425" s="580"/>
      <c r="J425" s="580"/>
      <c r="M425" s="680"/>
      <c r="N425" s="680"/>
      <c r="O425" s="681"/>
      <c r="Q425" s="682"/>
      <c r="R425" s="683"/>
      <c r="S425" s="683"/>
      <c r="T425" s="580"/>
    </row>
    <row r="426" spans="1:20" s="679" customFormat="1" x14ac:dyDescent="0.3">
      <c r="A426" s="580"/>
      <c r="B426" s="677"/>
      <c r="C426" s="580"/>
      <c r="D426" s="580"/>
      <c r="E426" s="580"/>
      <c r="F426" s="580"/>
      <c r="G426" s="580"/>
      <c r="H426" s="580"/>
      <c r="I426" s="580"/>
      <c r="J426" s="580"/>
      <c r="M426" s="680"/>
      <c r="N426" s="680"/>
      <c r="O426" s="681"/>
      <c r="Q426" s="682"/>
      <c r="R426" s="683"/>
      <c r="S426" s="683"/>
      <c r="T426" s="580"/>
    </row>
    <row r="427" spans="1:20" s="679" customFormat="1" x14ac:dyDescent="0.3">
      <c r="A427" s="580"/>
      <c r="B427" s="677"/>
      <c r="C427" s="580"/>
      <c r="D427" s="580"/>
      <c r="E427" s="580"/>
      <c r="F427" s="580"/>
      <c r="G427" s="580"/>
      <c r="H427" s="580"/>
      <c r="I427" s="580"/>
      <c r="J427" s="580"/>
      <c r="M427" s="680"/>
      <c r="N427" s="680"/>
      <c r="O427" s="681"/>
      <c r="Q427" s="682"/>
      <c r="R427" s="683"/>
      <c r="S427" s="683"/>
      <c r="T427" s="580"/>
    </row>
  </sheetData>
  <autoFilter ref="A1:S67" xr:uid="{B04853D2-1B24-8647-9A24-533591AE7F0A}">
    <filterColumn colId="18">
      <filters>
        <filter val="no"/>
      </filters>
    </filterColumn>
  </autoFilter>
  <mergeCells count="2">
    <mergeCell ref="C74:C75"/>
    <mergeCell ref="C76:C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31BA-72AA-EE48-8CA1-CC7A5CD01676}">
  <dimension ref="A1:AA41"/>
  <sheetViews>
    <sheetView topLeftCell="O1" workbookViewId="0">
      <pane ySplit="1" topLeftCell="A2" activePane="bottomLeft" state="frozen"/>
      <selection pane="bottomLeft" activeCell="AJ1" sqref="AF1:AJ1048576"/>
    </sheetView>
  </sheetViews>
  <sheetFormatPr defaultColWidth="10.796875" defaultRowHeight="15.6" x14ac:dyDescent="0.3"/>
  <cols>
    <col min="1" max="1" width="10.5" style="697" bestFit="1" customWidth="1"/>
    <col min="2" max="2" width="14.5" style="697" bestFit="1" customWidth="1"/>
    <col min="3" max="3" width="15.5" style="697" bestFit="1" customWidth="1"/>
    <col min="4" max="4" width="8.19921875" style="697" bestFit="1" customWidth="1"/>
    <col min="5" max="5" width="8.69921875" style="697" bestFit="1" customWidth="1"/>
    <col min="6" max="6" width="17.19921875" style="697" customWidth="1"/>
    <col min="7" max="7" width="18" style="697" customWidth="1"/>
    <col min="8" max="8" width="0" style="697" hidden="1" customWidth="1"/>
    <col min="9" max="9" width="18.5" style="697" bestFit="1" customWidth="1"/>
    <col min="10" max="10" width="11.796875" style="697" hidden="1" customWidth="1"/>
    <col min="11" max="11" width="11.5" style="697" hidden="1" customWidth="1"/>
    <col min="12" max="12" width="11.296875" style="697" hidden="1" customWidth="1"/>
    <col min="13" max="13" width="14.69921875" style="697" hidden="1" customWidth="1"/>
    <col min="14" max="14" width="14.19921875" style="697" hidden="1" customWidth="1"/>
    <col min="15" max="15" width="13.69921875" style="697" bestFit="1" customWidth="1"/>
    <col min="16" max="16" width="14.5" style="697" hidden="1" customWidth="1"/>
    <col min="17" max="17" width="15.796875" style="697" hidden="1" customWidth="1"/>
    <col min="18" max="18" width="12.796875" style="697" hidden="1" customWidth="1"/>
    <col min="19" max="19" width="0.19921875" style="697" customWidth="1"/>
    <col min="20" max="20" width="14.296875" style="697" bestFit="1" customWidth="1"/>
    <col min="21" max="21" width="20.796875" style="697" customWidth="1"/>
    <col min="22" max="22" width="21" style="697" bestFit="1" customWidth="1"/>
    <col min="23" max="23" width="12.19921875" style="721" customWidth="1"/>
    <col min="24" max="24" width="17.19921875" style="697" customWidth="1"/>
    <col min="25" max="25" width="27.796875" style="697" customWidth="1"/>
    <col min="26" max="26" width="30.296875" style="697" bestFit="1" customWidth="1"/>
    <col min="27" max="27" width="11.69921875" style="697" bestFit="1" customWidth="1"/>
    <col min="28" max="16384" width="10.796875" style="697"/>
  </cols>
  <sheetData>
    <row r="1" spans="1:27" ht="42" customHeight="1" thickBot="1" x14ac:dyDescent="0.35">
      <c r="A1" s="698" t="s">
        <v>3</v>
      </c>
      <c r="B1" s="699" t="s">
        <v>579</v>
      </c>
      <c r="C1" s="700" t="s">
        <v>578</v>
      </c>
      <c r="D1" s="700" t="s">
        <v>489</v>
      </c>
      <c r="E1" s="700" t="s">
        <v>492</v>
      </c>
      <c r="F1" s="700" t="s">
        <v>580</v>
      </c>
      <c r="G1" s="700" t="s">
        <v>494</v>
      </c>
      <c r="H1" s="700" t="s">
        <v>772</v>
      </c>
      <c r="I1" s="700" t="s">
        <v>516</v>
      </c>
      <c r="J1" s="700" t="s">
        <v>594</v>
      </c>
      <c r="K1" s="700" t="s">
        <v>513</v>
      </c>
      <c r="L1" s="700" t="s">
        <v>493</v>
      </c>
      <c r="M1" s="700" t="s">
        <v>582</v>
      </c>
      <c r="N1" s="701" t="s">
        <v>540</v>
      </c>
      <c r="O1" s="702" t="s">
        <v>490</v>
      </c>
      <c r="P1" s="702" t="s">
        <v>590</v>
      </c>
      <c r="Q1" s="701" t="s">
        <v>591</v>
      </c>
      <c r="R1" s="701" t="s">
        <v>592</v>
      </c>
      <c r="S1" s="702" t="s">
        <v>600</v>
      </c>
      <c r="T1" s="702" t="s">
        <v>604</v>
      </c>
      <c r="U1" s="702" t="s">
        <v>605</v>
      </c>
      <c r="V1" s="702" t="s">
        <v>773</v>
      </c>
      <c r="W1" s="701" t="s">
        <v>757</v>
      </c>
      <c r="X1" s="768" t="s">
        <v>837</v>
      </c>
      <c r="Y1" s="769" t="s">
        <v>829</v>
      </c>
      <c r="Z1" s="770" t="s">
        <v>841</v>
      </c>
      <c r="AA1" s="769" t="s">
        <v>757</v>
      </c>
    </row>
    <row r="2" spans="1:27" x14ac:dyDescent="0.3">
      <c r="A2" s="635">
        <v>45222</v>
      </c>
      <c r="B2" s="636">
        <v>21</v>
      </c>
      <c r="C2" s="703" t="s">
        <v>548</v>
      </c>
      <c r="D2" s="637" t="s">
        <v>552</v>
      </c>
      <c r="E2" s="638" t="s">
        <v>563</v>
      </c>
      <c r="F2" s="639" t="s">
        <v>24</v>
      </c>
      <c r="G2" s="640" t="s">
        <v>550</v>
      </c>
      <c r="H2" s="638" t="s">
        <v>532</v>
      </c>
      <c r="I2" s="638" t="s">
        <v>608</v>
      </c>
      <c r="J2" s="638" t="s">
        <v>531</v>
      </c>
      <c r="K2" s="638" t="s">
        <v>570</v>
      </c>
      <c r="L2" s="638" t="s">
        <v>573</v>
      </c>
      <c r="M2" s="638" t="s">
        <v>519</v>
      </c>
      <c r="N2" s="644">
        <v>25</v>
      </c>
      <c r="O2" s="642">
        <v>2000000</v>
      </c>
      <c r="P2" s="643">
        <v>284629.20000136463</v>
      </c>
      <c r="Q2" s="644">
        <v>50</v>
      </c>
      <c r="R2" s="644">
        <v>2</v>
      </c>
      <c r="S2" s="643">
        <v>0.19354785600092794</v>
      </c>
      <c r="T2" s="643">
        <v>266419.02827400464</v>
      </c>
      <c r="U2" s="638">
        <v>6660475.7068501152</v>
      </c>
      <c r="V2" s="704">
        <f>U2-$U$10</f>
        <v>6660282.806749328</v>
      </c>
      <c r="W2" s="705">
        <f t="shared" ref="W2:W9" si="0">(V2/AVERAGE($U$12:$U$13)*100)</f>
        <v>6.2132189191953122</v>
      </c>
      <c r="X2" t="s">
        <v>842</v>
      </c>
      <c r="Y2">
        <v>4428000</v>
      </c>
      <c r="Z2">
        <v>94677600</v>
      </c>
      <c r="AA2" s="767">
        <v>4.6769246368729238</v>
      </c>
    </row>
    <row r="3" spans="1:27" x14ac:dyDescent="0.3">
      <c r="A3" s="616">
        <v>45222</v>
      </c>
      <c r="B3" s="617">
        <v>22</v>
      </c>
      <c r="C3" s="706" t="s">
        <v>548</v>
      </c>
      <c r="D3" s="618" t="s">
        <v>552</v>
      </c>
      <c r="E3" s="589" t="s">
        <v>563</v>
      </c>
      <c r="F3" s="619" t="s">
        <v>25</v>
      </c>
      <c r="G3" s="648" t="s">
        <v>550</v>
      </c>
      <c r="H3" s="589" t="s">
        <v>532</v>
      </c>
      <c r="I3" s="589" t="s">
        <v>608</v>
      </c>
      <c r="J3" s="589" t="s">
        <v>531</v>
      </c>
      <c r="K3" s="589" t="s">
        <v>570</v>
      </c>
      <c r="L3" s="589" t="s">
        <v>574</v>
      </c>
      <c r="M3" s="589" t="s">
        <v>519</v>
      </c>
      <c r="N3" s="593">
        <v>25</v>
      </c>
      <c r="O3" s="599">
        <v>2000000</v>
      </c>
      <c r="P3" s="595">
        <v>263334.51984218461</v>
      </c>
      <c r="Q3" s="593">
        <v>50</v>
      </c>
      <c r="R3" s="593">
        <v>2</v>
      </c>
      <c r="S3" s="595">
        <v>0.17906747349268554</v>
      </c>
      <c r="T3" s="595">
        <v>246486.75148937647</v>
      </c>
      <c r="U3" s="589">
        <v>6162168.7872344125</v>
      </c>
      <c r="V3" s="589">
        <f>U3-$U$10</f>
        <v>6161975.8871336253</v>
      </c>
      <c r="W3" s="709">
        <f t="shared" si="0"/>
        <v>5.7483602832549971</v>
      </c>
      <c r="X3" t="s">
        <v>843</v>
      </c>
      <c r="Y3">
        <v>3837600</v>
      </c>
      <c r="Z3">
        <v>94677600</v>
      </c>
      <c r="AA3" s="767">
        <v>4.053334685289868</v>
      </c>
    </row>
    <row r="4" spans="1:27" x14ac:dyDescent="0.3">
      <c r="A4" s="616">
        <v>45222</v>
      </c>
      <c r="B4" s="617">
        <v>23</v>
      </c>
      <c r="C4" s="706" t="s">
        <v>548</v>
      </c>
      <c r="D4" s="618" t="s">
        <v>552</v>
      </c>
      <c r="E4" s="589" t="s">
        <v>563</v>
      </c>
      <c r="F4" s="619" t="s">
        <v>26</v>
      </c>
      <c r="G4" s="648" t="s">
        <v>550</v>
      </c>
      <c r="H4" s="589" t="s">
        <v>532</v>
      </c>
      <c r="I4" s="589" t="s">
        <v>608</v>
      </c>
      <c r="J4" s="589" t="s">
        <v>531</v>
      </c>
      <c r="K4" s="589" t="s">
        <v>570</v>
      </c>
      <c r="L4" s="589" t="s">
        <v>503</v>
      </c>
      <c r="M4" s="589" t="s">
        <v>519</v>
      </c>
      <c r="N4" s="593">
        <v>25</v>
      </c>
      <c r="O4" s="599">
        <v>2000000</v>
      </c>
      <c r="P4" s="595">
        <v>323037.29988083459</v>
      </c>
      <c r="Q4" s="593">
        <v>50</v>
      </c>
      <c r="R4" s="593">
        <v>2</v>
      </c>
      <c r="S4" s="595">
        <v>0.21966536391896754</v>
      </c>
      <c r="T4" s="595">
        <v>302369.8325052298</v>
      </c>
      <c r="U4" s="589">
        <v>7559245.8126307447</v>
      </c>
      <c r="V4" s="589">
        <f t="shared" ref="V4:V5" si="1">U4-$U$10</f>
        <v>7559052.9125299575</v>
      </c>
      <c r="W4" s="709">
        <f t="shared" si="0"/>
        <v>7.0516601066452607</v>
      </c>
      <c r="X4" t="s">
        <v>844</v>
      </c>
      <c r="Y4">
        <v>3727200</v>
      </c>
      <c r="Z4">
        <v>94677600</v>
      </c>
      <c r="AA4" s="767">
        <v>3.9367284341808411</v>
      </c>
    </row>
    <row r="5" spans="1:27" x14ac:dyDescent="0.3">
      <c r="A5" s="616">
        <v>45222</v>
      </c>
      <c r="B5" s="617">
        <v>24</v>
      </c>
      <c r="C5" s="706" t="s">
        <v>548</v>
      </c>
      <c r="D5" s="618" t="s">
        <v>552</v>
      </c>
      <c r="E5" s="589" t="s">
        <v>563</v>
      </c>
      <c r="F5" s="619" t="s">
        <v>27</v>
      </c>
      <c r="G5" s="648" t="s">
        <v>550</v>
      </c>
      <c r="H5" s="589" t="s">
        <v>532</v>
      </c>
      <c r="I5" s="589" t="s">
        <v>608</v>
      </c>
      <c r="J5" s="589" t="s">
        <v>531</v>
      </c>
      <c r="K5" s="589" t="s">
        <v>570</v>
      </c>
      <c r="L5" s="589" t="s">
        <v>575</v>
      </c>
      <c r="M5" s="589" t="s">
        <v>519</v>
      </c>
      <c r="N5" s="593">
        <v>25</v>
      </c>
      <c r="O5" s="599">
        <v>2000000</v>
      </c>
      <c r="P5" s="595">
        <v>768163.71966975974</v>
      </c>
      <c r="Q5" s="593">
        <v>50</v>
      </c>
      <c r="R5" s="593">
        <v>2</v>
      </c>
      <c r="S5" s="595">
        <v>0.5223513293754366</v>
      </c>
      <c r="T5" s="595">
        <v>719017.69652861019</v>
      </c>
      <c r="U5" s="589">
        <v>17975442.41321525</v>
      </c>
      <c r="V5" s="589">
        <f t="shared" si="1"/>
        <v>17975249.513114464</v>
      </c>
      <c r="W5" s="709">
        <f t="shared" si="0"/>
        <v>16.768681389769483</v>
      </c>
      <c r="X5" t="s">
        <v>845</v>
      </c>
      <c r="Y5">
        <v>11682000</v>
      </c>
      <c r="Z5">
        <v>94677600</v>
      </c>
      <c r="AA5" s="767">
        <v>12.338715810286699</v>
      </c>
    </row>
    <row r="6" spans="1:27" x14ac:dyDescent="0.3">
      <c r="A6" s="616">
        <v>45222</v>
      </c>
      <c r="B6" s="617">
        <v>25</v>
      </c>
      <c r="C6" s="706" t="s">
        <v>548</v>
      </c>
      <c r="D6" s="618" t="s">
        <v>552</v>
      </c>
      <c r="E6" s="589" t="s">
        <v>563</v>
      </c>
      <c r="F6" s="619" t="s">
        <v>28</v>
      </c>
      <c r="G6" s="660" t="s">
        <v>551</v>
      </c>
      <c r="H6" s="589" t="s">
        <v>532</v>
      </c>
      <c r="I6" s="589" t="s">
        <v>608</v>
      </c>
      <c r="J6" s="589" t="s">
        <v>531</v>
      </c>
      <c r="K6" s="589" t="s">
        <v>570</v>
      </c>
      <c r="L6" s="589" t="s">
        <v>573</v>
      </c>
      <c r="M6" s="589" t="s">
        <v>519</v>
      </c>
      <c r="N6" s="593">
        <v>25</v>
      </c>
      <c r="O6" s="599">
        <v>2000000</v>
      </c>
      <c r="P6" s="595">
        <v>229265.43535652358</v>
      </c>
      <c r="Q6" s="593">
        <v>50</v>
      </c>
      <c r="R6" s="593">
        <v>2</v>
      </c>
      <c r="S6" s="595">
        <v>0.15590049604243603</v>
      </c>
      <c r="T6" s="595">
        <v>214597.35861327226</v>
      </c>
      <c r="U6" s="589">
        <v>5364933.9653318059</v>
      </c>
      <c r="V6" s="589">
        <f>U6-$U$11</f>
        <v>5364657.3213468418</v>
      </c>
      <c r="W6" s="707">
        <f t="shared" si="0"/>
        <v>5.0045608168791906</v>
      </c>
      <c r="X6" t="s">
        <v>849</v>
      </c>
      <c r="Y6">
        <v>5100000</v>
      </c>
      <c r="Z6">
        <v>94677600</v>
      </c>
      <c r="AA6" s="767">
        <v>5.386701817536566</v>
      </c>
    </row>
    <row r="7" spans="1:27" x14ac:dyDescent="0.3">
      <c r="A7" s="616">
        <v>45222</v>
      </c>
      <c r="B7" s="617">
        <v>26</v>
      </c>
      <c r="C7" s="706" t="s">
        <v>548</v>
      </c>
      <c r="D7" s="618" t="s">
        <v>552</v>
      </c>
      <c r="E7" s="589" t="s">
        <v>563</v>
      </c>
      <c r="F7" s="619" t="s">
        <v>29</v>
      </c>
      <c r="G7" s="660" t="s">
        <v>551</v>
      </c>
      <c r="H7" s="589" t="s">
        <v>532</v>
      </c>
      <c r="I7" s="589" t="s">
        <v>608</v>
      </c>
      <c r="J7" s="589" t="s">
        <v>531</v>
      </c>
      <c r="K7" s="589" t="s">
        <v>570</v>
      </c>
      <c r="L7" s="589" t="s">
        <v>574</v>
      </c>
      <c r="M7" s="589" t="s">
        <v>519</v>
      </c>
      <c r="N7" s="593">
        <v>25</v>
      </c>
      <c r="O7" s="599">
        <v>2000000</v>
      </c>
      <c r="P7" s="595">
        <v>277594.48323591775</v>
      </c>
      <c r="Q7" s="593">
        <v>50</v>
      </c>
      <c r="R7" s="593">
        <v>2</v>
      </c>
      <c r="S7" s="595">
        <v>0.18876424860042404</v>
      </c>
      <c r="T7" s="595">
        <v>259834.3826901213</v>
      </c>
      <c r="U7" s="589">
        <v>6495859.5672530336</v>
      </c>
      <c r="V7" s="589">
        <f t="shared" ref="V7" si="2">U7-$U$11</f>
        <v>6495582.9232680695</v>
      </c>
      <c r="W7" s="707">
        <f t="shared" si="0"/>
        <v>6.0595743275575487</v>
      </c>
      <c r="X7" t="s">
        <v>850</v>
      </c>
      <c r="Y7">
        <v>6432.0000000000009</v>
      </c>
      <c r="Z7">
        <v>94677600</v>
      </c>
      <c r="AA7" s="767">
        <v>6.793581586351999E-3</v>
      </c>
    </row>
    <row r="8" spans="1:27" x14ac:dyDescent="0.3">
      <c r="A8" s="616">
        <v>45222</v>
      </c>
      <c r="B8" s="617">
        <v>27</v>
      </c>
      <c r="C8" s="706" t="s">
        <v>548</v>
      </c>
      <c r="D8" s="618" t="s">
        <v>552</v>
      </c>
      <c r="E8" s="589" t="s">
        <v>563</v>
      </c>
      <c r="F8" s="619" t="s">
        <v>30</v>
      </c>
      <c r="G8" s="660" t="s">
        <v>551</v>
      </c>
      <c r="H8" s="589" t="s">
        <v>532</v>
      </c>
      <c r="I8" s="589" t="s">
        <v>608</v>
      </c>
      <c r="J8" s="589" t="s">
        <v>531</v>
      </c>
      <c r="K8" s="589" t="s">
        <v>570</v>
      </c>
      <c r="L8" s="589" t="s">
        <v>503</v>
      </c>
      <c r="M8" s="589" t="s">
        <v>519</v>
      </c>
      <c r="N8" s="593">
        <v>25</v>
      </c>
      <c r="O8" s="599">
        <v>2000000</v>
      </c>
      <c r="P8" s="595">
        <v>203077.68238190887</v>
      </c>
      <c r="Q8" s="593">
        <v>50</v>
      </c>
      <c r="R8" s="593">
        <v>2</v>
      </c>
      <c r="S8" s="595">
        <v>0.13809282401969802</v>
      </c>
      <c r="T8" s="595">
        <v>190085.06085835784</v>
      </c>
      <c r="U8" s="589">
        <v>4752126.5214589462</v>
      </c>
      <c r="V8" s="589">
        <f>U8-$U$11</f>
        <v>4751849.8774739821</v>
      </c>
      <c r="W8" s="707">
        <f t="shared" si="0"/>
        <v>4.4328873737881311</v>
      </c>
      <c r="X8" t="s">
        <v>851</v>
      </c>
      <c r="Y8">
        <v>1835400</v>
      </c>
      <c r="Z8">
        <v>94677600</v>
      </c>
      <c r="AA8" s="767">
        <v>1.9385789246875711</v>
      </c>
    </row>
    <row r="9" spans="1:27" x14ac:dyDescent="0.3">
      <c r="A9" s="616">
        <v>45222</v>
      </c>
      <c r="B9" s="617">
        <v>28</v>
      </c>
      <c r="C9" s="706" t="s">
        <v>548</v>
      </c>
      <c r="D9" s="618" t="s">
        <v>552</v>
      </c>
      <c r="E9" s="589" t="s">
        <v>563</v>
      </c>
      <c r="F9" s="619" t="s">
        <v>31</v>
      </c>
      <c r="G9" s="660" t="s">
        <v>551</v>
      </c>
      <c r="H9" s="589" t="s">
        <v>532</v>
      </c>
      <c r="I9" s="589" t="s">
        <v>608</v>
      </c>
      <c r="J9" s="589" t="s">
        <v>531</v>
      </c>
      <c r="K9" s="589" t="s">
        <v>570</v>
      </c>
      <c r="L9" s="589" t="s">
        <v>575</v>
      </c>
      <c r="M9" s="589" t="s">
        <v>519</v>
      </c>
      <c r="N9" s="593">
        <v>25</v>
      </c>
      <c r="O9" s="599">
        <v>2000000</v>
      </c>
      <c r="P9" s="595">
        <v>913707.41983643349</v>
      </c>
      <c r="Q9" s="593">
        <v>50</v>
      </c>
      <c r="R9" s="593">
        <v>2</v>
      </c>
      <c r="S9" s="595">
        <v>0.62132104548877476</v>
      </c>
      <c r="T9" s="595">
        <v>855249.71759188257</v>
      </c>
      <c r="U9" s="589">
        <v>21381242.939797066</v>
      </c>
      <c r="V9" s="589">
        <f>U9-$U$11</f>
        <v>21380966.2958121</v>
      </c>
      <c r="W9" s="707">
        <f t="shared" si="0"/>
        <v>19.945793317544467</v>
      </c>
      <c r="X9" t="s">
        <v>852</v>
      </c>
      <c r="Y9">
        <v>16419000</v>
      </c>
      <c r="Z9">
        <v>94677600</v>
      </c>
      <c r="AA9" s="767">
        <v>17.34201120433978</v>
      </c>
    </row>
    <row r="10" spans="1:27" x14ac:dyDescent="0.3">
      <c r="A10" s="616">
        <v>45222</v>
      </c>
      <c r="B10" s="617">
        <v>29</v>
      </c>
      <c r="C10" s="706" t="s">
        <v>548</v>
      </c>
      <c r="D10" s="618" t="s">
        <v>552</v>
      </c>
      <c r="E10" s="589" t="s">
        <v>563</v>
      </c>
      <c r="F10" s="619" t="s">
        <v>32</v>
      </c>
      <c r="G10" s="648" t="s">
        <v>550</v>
      </c>
      <c r="H10" s="589" t="s">
        <v>531</v>
      </c>
      <c r="I10" s="589" t="s">
        <v>607</v>
      </c>
      <c r="J10" s="589" t="s">
        <v>531</v>
      </c>
      <c r="K10" s="589" t="s">
        <v>570</v>
      </c>
      <c r="L10" s="589" t="s">
        <v>573</v>
      </c>
      <c r="M10" s="589" t="s">
        <v>519</v>
      </c>
      <c r="N10" s="593">
        <v>25</v>
      </c>
      <c r="O10" s="708" t="s">
        <v>0</v>
      </c>
      <c r="P10" s="595">
        <v>8.2434053938068743</v>
      </c>
      <c r="Q10" s="593">
        <v>50</v>
      </c>
      <c r="R10" s="593">
        <v>2</v>
      </c>
      <c r="S10" s="595">
        <v>5.6055156677886734E-6</v>
      </c>
      <c r="T10" s="595">
        <v>7.7160040314773948</v>
      </c>
      <c r="U10" s="589">
        <v>192.90010078693487</v>
      </c>
      <c r="V10" s="589">
        <f>U10-$U$10</f>
        <v>0</v>
      </c>
      <c r="W10" s="709" t="s">
        <v>0</v>
      </c>
      <c r="X10" t="e">
        <v>#N/A</v>
      </c>
      <c r="Y10" t="e">
        <v>#N/A</v>
      </c>
      <c r="Z10" t="e">
        <v>#N/A</v>
      </c>
      <c r="AA10" s="749" t="e">
        <v>#N/A</v>
      </c>
    </row>
    <row r="11" spans="1:27" x14ac:dyDescent="0.3">
      <c r="A11" s="616">
        <v>45222</v>
      </c>
      <c r="B11" s="617">
        <v>30</v>
      </c>
      <c r="C11" s="706" t="s">
        <v>548</v>
      </c>
      <c r="D11" s="618" t="s">
        <v>552</v>
      </c>
      <c r="E11" s="589" t="s">
        <v>563</v>
      </c>
      <c r="F11" s="619" t="s">
        <v>33</v>
      </c>
      <c r="G11" s="710" t="s">
        <v>551</v>
      </c>
      <c r="H11" s="589" t="s">
        <v>531</v>
      </c>
      <c r="I11" s="589" t="s">
        <v>607</v>
      </c>
      <c r="J11" s="589" t="s">
        <v>531</v>
      </c>
      <c r="K11" s="589" t="s">
        <v>570</v>
      </c>
      <c r="L11" s="589" t="s">
        <v>573</v>
      </c>
      <c r="M11" s="589" t="s">
        <v>519</v>
      </c>
      <c r="N11" s="593">
        <v>25</v>
      </c>
      <c r="O11" s="708" t="s">
        <v>0</v>
      </c>
      <c r="P11" s="595">
        <v>11.822121961141168</v>
      </c>
      <c r="Q11" s="593">
        <v>50</v>
      </c>
      <c r="R11" s="593">
        <v>2</v>
      </c>
      <c r="S11" s="595">
        <v>8.0390429335759945E-6</v>
      </c>
      <c r="T11" s="595">
        <v>11.065759398575054</v>
      </c>
      <c r="U11" s="589">
        <v>276.64398496437639</v>
      </c>
      <c r="V11" s="589">
        <f>U11-$U$11</f>
        <v>0</v>
      </c>
      <c r="W11" s="709" t="s">
        <v>0</v>
      </c>
      <c r="X11" t="e">
        <v>#N/A</v>
      </c>
      <c r="Y11" t="e">
        <v>#N/A</v>
      </c>
      <c r="Z11" t="e">
        <v>#N/A</v>
      </c>
      <c r="AA11" s="749" t="e">
        <v>#N/A</v>
      </c>
    </row>
    <row r="12" spans="1:27" x14ac:dyDescent="0.3">
      <c r="A12" s="616">
        <v>45222</v>
      </c>
      <c r="B12" s="617">
        <v>33</v>
      </c>
      <c r="C12" s="706" t="s">
        <v>548</v>
      </c>
      <c r="D12" s="618" t="s">
        <v>552</v>
      </c>
      <c r="E12" s="589" t="s">
        <v>563</v>
      </c>
      <c r="F12" s="619" t="s">
        <v>36</v>
      </c>
      <c r="G12" s="620" t="s">
        <v>0</v>
      </c>
      <c r="H12" s="589" t="s">
        <v>531</v>
      </c>
      <c r="I12" s="711" t="s">
        <v>593</v>
      </c>
      <c r="J12" s="589" t="s">
        <v>532</v>
      </c>
      <c r="K12" s="589" t="s">
        <v>570</v>
      </c>
      <c r="L12" s="589" t="s">
        <v>573</v>
      </c>
      <c r="M12" s="589" t="s">
        <v>519</v>
      </c>
      <c r="N12" s="593" t="s">
        <v>0</v>
      </c>
      <c r="O12" s="599">
        <v>2000000</v>
      </c>
      <c r="P12" s="595">
        <v>4990312.6501470245</v>
      </c>
      <c r="Q12" s="593">
        <v>50</v>
      </c>
      <c r="R12" s="593">
        <v>2</v>
      </c>
      <c r="S12" s="595">
        <v>3.3934126020999762</v>
      </c>
      <c r="T12" s="595">
        <v>4671039.5385619905</v>
      </c>
      <c r="U12" s="589">
        <v>116775988.46404977</v>
      </c>
      <c r="V12" s="589" t="s">
        <v>0</v>
      </c>
      <c r="W12" s="709" t="s">
        <v>0</v>
      </c>
      <c r="X12" t="s">
        <v>856</v>
      </c>
      <c r="Y12">
        <v>64467000</v>
      </c>
      <c r="Z12">
        <v>94677600</v>
      </c>
      <c r="AA12" s="749">
        <v>68.091079621790158</v>
      </c>
    </row>
    <row r="13" spans="1:27" ht="16.2" thickBot="1" x14ac:dyDescent="0.35">
      <c r="A13" s="723">
        <v>45222</v>
      </c>
      <c r="B13" s="724">
        <v>34</v>
      </c>
      <c r="C13" s="725" t="s">
        <v>548</v>
      </c>
      <c r="D13" s="726" t="s">
        <v>552</v>
      </c>
      <c r="E13" s="608" t="s">
        <v>563</v>
      </c>
      <c r="F13" s="727" t="s">
        <v>37</v>
      </c>
      <c r="G13" s="728" t="s">
        <v>0</v>
      </c>
      <c r="H13" s="608" t="s">
        <v>531</v>
      </c>
      <c r="I13" s="729" t="s">
        <v>593</v>
      </c>
      <c r="J13" s="608" t="s">
        <v>532</v>
      </c>
      <c r="K13" s="608" t="s">
        <v>570</v>
      </c>
      <c r="L13" s="608" t="s">
        <v>574</v>
      </c>
      <c r="M13" s="608" t="s">
        <v>519</v>
      </c>
      <c r="N13" s="613" t="s">
        <v>0</v>
      </c>
      <c r="O13" s="611">
        <v>2000000</v>
      </c>
      <c r="P13" s="612">
        <v>4171474.832236832</v>
      </c>
      <c r="Q13" s="613">
        <v>50</v>
      </c>
      <c r="R13" s="613">
        <v>2</v>
      </c>
      <c r="S13" s="612">
        <v>2.8366028859210455</v>
      </c>
      <c r="T13" s="612">
        <v>3904589.8005850236</v>
      </c>
      <c r="U13" s="608">
        <v>97614745.014625579</v>
      </c>
      <c r="V13" s="608" t="s">
        <v>0</v>
      </c>
      <c r="W13" s="730" t="s">
        <v>0</v>
      </c>
      <c r="X13" t="s">
        <v>857</v>
      </c>
      <c r="Y13">
        <v>124888200</v>
      </c>
      <c r="Z13">
        <v>94677600</v>
      </c>
      <c r="AA13" s="749">
        <v>131.90892037820984</v>
      </c>
    </row>
    <row r="14" spans="1:27" x14ac:dyDescent="0.3">
      <c r="A14" s="635">
        <v>45229</v>
      </c>
      <c r="B14" s="636">
        <v>44</v>
      </c>
      <c r="C14" s="703" t="s">
        <v>548</v>
      </c>
      <c r="D14" s="637" t="s">
        <v>552</v>
      </c>
      <c r="E14" s="638" t="s">
        <v>564</v>
      </c>
      <c r="F14" s="639" t="s">
        <v>47</v>
      </c>
      <c r="G14" s="640" t="s">
        <v>550</v>
      </c>
      <c r="H14" s="638" t="s">
        <v>531</v>
      </c>
      <c r="I14" s="638" t="s">
        <v>607</v>
      </c>
      <c r="J14" s="638" t="s">
        <v>531</v>
      </c>
      <c r="K14" s="638" t="s">
        <v>570</v>
      </c>
      <c r="L14" s="638" t="s">
        <v>573</v>
      </c>
      <c r="M14" s="638" t="s">
        <v>519</v>
      </c>
      <c r="N14" s="644">
        <v>25</v>
      </c>
      <c r="O14" s="713" t="s">
        <v>0</v>
      </c>
      <c r="P14" s="643">
        <v>231.42988569923935</v>
      </c>
      <c r="Q14" s="644">
        <v>50</v>
      </c>
      <c r="R14" s="644">
        <v>2</v>
      </c>
      <c r="S14" s="643">
        <v>1.5737232227548277E-4</v>
      </c>
      <c r="T14" s="643">
        <v>216.62333049897796</v>
      </c>
      <c r="U14" s="638">
        <v>5415.5832624744489</v>
      </c>
      <c r="V14" s="638">
        <f t="shared" ref="V14:V18" si="3">U14-$U$14</f>
        <v>0</v>
      </c>
      <c r="W14" s="714" t="s">
        <v>0</v>
      </c>
      <c r="X14" t="e">
        <v>#N/A</v>
      </c>
      <c r="Y14" t="e">
        <v>#N/A</v>
      </c>
      <c r="Z14" t="e">
        <v>#N/A</v>
      </c>
      <c r="AA14" s="749" t="e">
        <v>#N/A</v>
      </c>
    </row>
    <row r="15" spans="1:27" x14ac:dyDescent="0.3">
      <c r="A15" s="616">
        <v>45229</v>
      </c>
      <c r="B15" s="617">
        <v>45</v>
      </c>
      <c r="C15" s="706" t="s">
        <v>548</v>
      </c>
      <c r="D15" s="618" t="s">
        <v>552</v>
      </c>
      <c r="E15" s="589" t="s">
        <v>564</v>
      </c>
      <c r="F15" s="619" t="s">
        <v>48</v>
      </c>
      <c r="G15" s="648" t="s">
        <v>550</v>
      </c>
      <c r="H15" s="589" t="s">
        <v>532</v>
      </c>
      <c r="I15" s="589" t="s">
        <v>608</v>
      </c>
      <c r="J15" s="589" t="s">
        <v>531</v>
      </c>
      <c r="K15" s="589" t="s">
        <v>570</v>
      </c>
      <c r="L15" s="589" t="s">
        <v>573</v>
      </c>
      <c r="M15" s="589" t="s">
        <v>519</v>
      </c>
      <c r="N15" s="593">
        <v>25</v>
      </c>
      <c r="O15" s="599">
        <v>2000000</v>
      </c>
      <c r="P15" s="595">
        <v>1287820.8854695831</v>
      </c>
      <c r="Q15" s="593">
        <v>50</v>
      </c>
      <c r="R15" s="593">
        <v>2</v>
      </c>
      <c r="S15" s="595">
        <v>0.8757182021193165</v>
      </c>
      <c r="T15" s="595">
        <v>1205427.9353493231</v>
      </c>
      <c r="U15" s="589">
        <v>30135698.383733079</v>
      </c>
      <c r="V15" s="589">
        <f>U15-$U$14</f>
        <v>30130282.800470605</v>
      </c>
      <c r="W15" s="709">
        <f>(V15/AVERAGE($U$24:$U$25)*100)</f>
        <v>8.843319837237976</v>
      </c>
      <c r="X15" t="s">
        <v>860</v>
      </c>
      <c r="Y15">
        <v>2110500</v>
      </c>
      <c r="Z15">
        <v>77258999.999999985</v>
      </c>
      <c r="AA15" s="767">
        <v>2.731720576243545</v>
      </c>
    </row>
    <row r="16" spans="1:27" x14ac:dyDescent="0.3">
      <c r="A16" s="616">
        <v>45229</v>
      </c>
      <c r="B16" s="617">
        <v>46</v>
      </c>
      <c r="C16" s="706" t="s">
        <v>548</v>
      </c>
      <c r="D16" s="618" t="s">
        <v>552</v>
      </c>
      <c r="E16" s="589" t="s">
        <v>564</v>
      </c>
      <c r="F16" s="619" t="s">
        <v>49</v>
      </c>
      <c r="G16" s="648" t="s">
        <v>550</v>
      </c>
      <c r="H16" s="589" t="s">
        <v>532</v>
      </c>
      <c r="I16" s="589" t="s">
        <v>608</v>
      </c>
      <c r="J16" s="589" t="s">
        <v>531</v>
      </c>
      <c r="K16" s="589" t="s">
        <v>570</v>
      </c>
      <c r="L16" s="589" t="s">
        <v>574</v>
      </c>
      <c r="M16" s="589" t="s">
        <v>519</v>
      </c>
      <c r="N16" s="593">
        <v>25</v>
      </c>
      <c r="O16" s="599">
        <v>2000000</v>
      </c>
      <c r="P16" s="595">
        <v>1223518.90655639</v>
      </c>
      <c r="Q16" s="593">
        <v>50</v>
      </c>
      <c r="R16" s="593">
        <v>2</v>
      </c>
      <c r="S16" s="595">
        <v>0.8319928564583452</v>
      </c>
      <c r="T16" s="595">
        <v>1145239.9056669632</v>
      </c>
      <c r="U16" s="589">
        <v>28630997.641674086</v>
      </c>
      <c r="V16" s="589">
        <f t="shared" si="3"/>
        <v>28625582.058411613</v>
      </c>
      <c r="W16" s="709">
        <f>(V16/AVERAGE($U$24:$U$25)*100)</f>
        <v>8.4016860826039448</v>
      </c>
      <c r="X16" t="s">
        <v>861</v>
      </c>
      <c r="Y16">
        <v>2946900</v>
      </c>
      <c r="Z16">
        <v>77258999.999999985</v>
      </c>
      <c r="AA16" s="767">
        <v>3.8143128955849814</v>
      </c>
    </row>
    <row r="17" spans="1:27" x14ac:dyDescent="0.3">
      <c r="A17" s="616">
        <v>45229</v>
      </c>
      <c r="B17" s="617">
        <v>47</v>
      </c>
      <c r="C17" s="706" t="s">
        <v>548</v>
      </c>
      <c r="D17" s="618" t="s">
        <v>552</v>
      </c>
      <c r="E17" s="589" t="s">
        <v>564</v>
      </c>
      <c r="F17" s="619" t="s">
        <v>50</v>
      </c>
      <c r="G17" s="648" t="s">
        <v>550</v>
      </c>
      <c r="H17" s="589" t="s">
        <v>532</v>
      </c>
      <c r="I17" s="589" t="s">
        <v>608</v>
      </c>
      <c r="J17" s="589" t="s">
        <v>531</v>
      </c>
      <c r="K17" s="589" t="s">
        <v>570</v>
      </c>
      <c r="L17" s="589" t="s">
        <v>503</v>
      </c>
      <c r="M17" s="589" t="s">
        <v>519</v>
      </c>
      <c r="N17" s="593">
        <v>25</v>
      </c>
      <c r="O17" s="599">
        <v>2000000</v>
      </c>
      <c r="P17" s="595">
        <v>1542974.931668459</v>
      </c>
      <c r="Q17" s="593">
        <v>50</v>
      </c>
      <c r="R17" s="593">
        <v>2</v>
      </c>
      <c r="S17" s="595">
        <v>1.0492229535345521</v>
      </c>
      <c r="T17" s="595">
        <v>1444257.5882737564</v>
      </c>
      <c r="U17" s="589">
        <v>36106439.706843913</v>
      </c>
      <c r="V17" s="589">
        <f t="shared" si="3"/>
        <v>36101024.123581439</v>
      </c>
      <c r="W17" s="709">
        <f>(V17/AVERAGE($U$24:$U$25)*100)</f>
        <v>10.595748632392127</v>
      </c>
      <c r="X17" t="s">
        <v>862</v>
      </c>
      <c r="Y17">
        <v>653400</v>
      </c>
      <c r="Z17">
        <v>77259000</v>
      </c>
      <c r="AA17" s="767">
        <v>0.84572671145109313</v>
      </c>
    </row>
    <row r="18" spans="1:27" x14ac:dyDescent="0.3">
      <c r="A18" s="616">
        <v>45229</v>
      </c>
      <c r="B18" s="617">
        <v>48</v>
      </c>
      <c r="C18" s="706" t="s">
        <v>548</v>
      </c>
      <c r="D18" s="618" t="s">
        <v>552</v>
      </c>
      <c r="E18" s="589" t="s">
        <v>564</v>
      </c>
      <c r="F18" s="619" t="s">
        <v>51</v>
      </c>
      <c r="G18" s="648" t="s">
        <v>550</v>
      </c>
      <c r="H18" s="589" t="s">
        <v>532</v>
      </c>
      <c r="I18" s="589" t="s">
        <v>608</v>
      </c>
      <c r="J18" s="589" t="s">
        <v>531</v>
      </c>
      <c r="K18" s="589" t="s">
        <v>570</v>
      </c>
      <c r="L18" s="589" t="s">
        <v>575</v>
      </c>
      <c r="M18" s="589" t="s">
        <v>519</v>
      </c>
      <c r="N18" s="593">
        <v>25</v>
      </c>
      <c r="O18" s="599">
        <v>2000000</v>
      </c>
      <c r="P18" s="595">
        <v>1018130.7276799901</v>
      </c>
      <c r="Q18" s="593">
        <v>50</v>
      </c>
      <c r="R18" s="593">
        <v>2</v>
      </c>
      <c r="S18" s="595">
        <v>0.69232889482239324</v>
      </c>
      <c r="T18" s="595">
        <v>952992.17059636768</v>
      </c>
      <c r="U18" s="589">
        <v>23824804.264909197</v>
      </c>
      <c r="V18" s="589">
        <f t="shared" si="3"/>
        <v>23819388.681646723</v>
      </c>
      <c r="W18" s="709">
        <f>(V18/AVERAGE($U$24:$U$25)*100)</f>
        <v>6.9910552726706614</v>
      </c>
      <c r="X18" t="s">
        <v>863</v>
      </c>
      <c r="Y18">
        <v>4818000</v>
      </c>
      <c r="Z18">
        <v>77259000</v>
      </c>
      <c r="AA18" s="767">
        <v>6.2361666601949288</v>
      </c>
    </row>
    <row r="19" spans="1:27" x14ac:dyDescent="0.3">
      <c r="A19" s="616">
        <v>45229</v>
      </c>
      <c r="B19" s="617">
        <v>53</v>
      </c>
      <c r="C19" s="706" t="s">
        <v>548</v>
      </c>
      <c r="D19" s="618" t="s">
        <v>552</v>
      </c>
      <c r="E19" s="589" t="s">
        <v>564</v>
      </c>
      <c r="F19" s="619" t="s">
        <v>56</v>
      </c>
      <c r="G19" s="660" t="s">
        <v>551</v>
      </c>
      <c r="H19" s="589" t="s">
        <v>531</v>
      </c>
      <c r="I19" s="589" t="s">
        <v>607</v>
      </c>
      <c r="J19" s="589" t="s">
        <v>531</v>
      </c>
      <c r="K19" s="589" t="s">
        <v>570</v>
      </c>
      <c r="L19" s="589" t="s">
        <v>573</v>
      </c>
      <c r="M19" s="589" t="s">
        <v>519</v>
      </c>
      <c r="N19" s="593">
        <v>25</v>
      </c>
      <c r="O19" s="708" t="s">
        <v>0</v>
      </c>
      <c r="P19" s="595">
        <v>142.86366996887253</v>
      </c>
      <c r="Q19" s="593">
        <v>50</v>
      </c>
      <c r="R19" s="593">
        <v>2</v>
      </c>
      <c r="S19" s="595">
        <v>9.7147295578833324E-5</v>
      </c>
      <c r="T19" s="595">
        <v>133.72345538891523</v>
      </c>
      <c r="U19" s="589">
        <v>3343.0863847228807</v>
      </c>
      <c r="V19" s="589">
        <f t="shared" ref="V19:V23" si="4">U19-$U$19</f>
        <v>0</v>
      </c>
      <c r="W19" s="709" t="s">
        <v>0</v>
      </c>
      <c r="X19" t="e">
        <v>#N/A</v>
      </c>
      <c r="Y19" t="e">
        <v>#N/A</v>
      </c>
      <c r="Z19" t="e">
        <v>#N/A</v>
      </c>
      <c r="AA19" s="749" t="e">
        <v>#N/A</v>
      </c>
    </row>
    <row r="20" spans="1:27" x14ac:dyDescent="0.3">
      <c r="A20" s="616">
        <v>45229</v>
      </c>
      <c r="B20" s="617">
        <v>54</v>
      </c>
      <c r="C20" s="706" t="s">
        <v>548</v>
      </c>
      <c r="D20" s="618" t="s">
        <v>552</v>
      </c>
      <c r="E20" s="589" t="s">
        <v>564</v>
      </c>
      <c r="F20" s="619" t="s">
        <v>57</v>
      </c>
      <c r="G20" s="660" t="s">
        <v>551</v>
      </c>
      <c r="H20" s="589" t="s">
        <v>532</v>
      </c>
      <c r="I20" s="589" t="s">
        <v>608</v>
      </c>
      <c r="J20" s="589" t="s">
        <v>531</v>
      </c>
      <c r="K20" s="589" t="s">
        <v>570</v>
      </c>
      <c r="L20" s="589" t="s">
        <v>573</v>
      </c>
      <c r="M20" s="589" t="s">
        <v>519</v>
      </c>
      <c r="N20" s="593">
        <v>25</v>
      </c>
      <c r="O20" s="599">
        <v>2000000</v>
      </c>
      <c r="P20" s="595">
        <v>7866103.6435127789</v>
      </c>
      <c r="Q20" s="593">
        <v>50</v>
      </c>
      <c r="R20" s="593">
        <v>2</v>
      </c>
      <c r="S20" s="595">
        <v>5.3489504775886889</v>
      </c>
      <c r="T20" s="595">
        <v>7362841.5109807206</v>
      </c>
      <c r="U20" s="589">
        <v>184071037.77451804</v>
      </c>
      <c r="V20" s="589">
        <f>U20-$U$19</f>
        <v>184067694.68813333</v>
      </c>
      <c r="W20" s="709">
        <f>(V20/AVERAGE($U$24:$U$25)*100)</f>
        <v>54.024368327694837</v>
      </c>
      <c r="X20" t="s">
        <v>867</v>
      </c>
      <c r="Y20">
        <v>37545000</v>
      </c>
      <c r="Z20">
        <v>77258999.999999985</v>
      </c>
      <c r="AA20" s="767">
        <v>48.596280045043308</v>
      </c>
    </row>
    <row r="21" spans="1:27" x14ac:dyDescent="0.3">
      <c r="A21" s="616">
        <v>45229</v>
      </c>
      <c r="B21" s="617">
        <v>55</v>
      </c>
      <c r="C21" s="706" t="s">
        <v>548</v>
      </c>
      <c r="D21" s="618" t="s">
        <v>552</v>
      </c>
      <c r="E21" s="589" t="s">
        <v>564</v>
      </c>
      <c r="F21" s="619" t="s">
        <v>58</v>
      </c>
      <c r="G21" s="660" t="s">
        <v>551</v>
      </c>
      <c r="H21" s="589" t="s">
        <v>532</v>
      </c>
      <c r="I21" s="589" t="s">
        <v>608</v>
      </c>
      <c r="J21" s="589" t="s">
        <v>531</v>
      </c>
      <c r="K21" s="589" t="s">
        <v>570</v>
      </c>
      <c r="L21" s="589" t="s">
        <v>574</v>
      </c>
      <c r="M21" s="589" t="s">
        <v>519</v>
      </c>
      <c r="N21" s="593">
        <v>25</v>
      </c>
      <c r="O21" s="599">
        <v>2000000</v>
      </c>
      <c r="P21" s="595">
        <v>3202276.5443349164</v>
      </c>
      <c r="Q21" s="593">
        <v>50</v>
      </c>
      <c r="R21" s="593">
        <v>2</v>
      </c>
      <c r="S21" s="595">
        <v>2.1775480501477431</v>
      </c>
      <c r="T21" s="595">
        <v>2997399.4418079928</v>
      </c>
      <c r="U21" s="589">
        <v>74934986.045199811</v>
      </c>
      <c r="V21" s="589">
        <f t="shared" si="4"/>
        <v>74931642.958815083</v>
      </c>
      <c r="W21" s="709">
        <f>(V21/AVERAGE($U$24:$U$25)*100)</f>
        <v>21.992640726364932</v>
      </c>
      <c r="X21" t="s">
        <v>868</v>
      </c>
      <c r="Y21">
        <v>8676000</v>
      </c>
      <c r="Z21">
        <v>77258999.999999985</v>
      </c>
      <c r="AA21" s="767">
        <v>11.229759639653635</v>
      </c>
    </row>
    <row r="22" spans="1:27" x14ac:dyDescent="0.3">
      <c r="A22" s="616">
        <v>45229</v>
      </c>
      <c r="B22" s="617">
        <v>56</v>
      </c>
      <c r="C22" s="706" t="s">
        <v>548</v>
      </c>
      <c r="D22" s="618" t="s">
        <v>552</v>
      </c>
      <c r="E22" s="589" t="s">
        <v>564</v>
      </c>
      <c r="F22" s="619" t="s">
        <v>59</v>
      </c>
      <c r="G22" s="660" t="s">
        <v>551</v>
      </c>
      <c r="H22" s="589" t="s">
        <v>532</v>
      </c>
      <c r="I22" s="589" t="s">
        <v>608</v>
      </c>
      <c r="J22" s="589" t="s">
        <v>531</v>
      </c>
      <c r="K22" s="589" t="s">
        <v>570</v>
      </c>
      <c r="L22" s="589" t="s">
        <v>503</v>
      </c>
      <c r="M22" s="589" t="s">
        <v>519</v>
      </c>
      <c r="N22" s="593">
        <v>25</v>
      </c>
      <c r="O22" s="599">
        <v>2000000</v>
      </c>
      <c r="P22" s="595">
        <v>3158563.0121757891</v>
      </c>
      <c r="Q22" s="593">
        <v>50</v>
      </c>
      <c r="R22" s="593">
        <v>2</v>
      </c>
      <c r="S22" s="595">
        <v>2.1478228482795365</v>
      </c>
      <c r="T22" s="595">
        <v>2956482.6393147721</v>
      </c>
      <c r="U22" s="589">
        <v>73912065.982869297</v>
      </c>
      <c r="V22" s="589">
        <f t="shared" si="4"/>
        <v>73908722.896484569</v>
      </c>
      <c r="W22" s="709">
        <f>(V22/AVERAGE($U$24:$U$25)*100)</f>
        <v>21.69241090977075</v>
      </c>
      <c r="X22" t="s">
        <v>869</v>
      </c>
      <c r="Y22">
        <v>11388000</v>
      </c>
      <c r="Z22">
        <v>77259000</v>
      </c>
      <c r="AA22" s="767">
        <v>14.740030287733468</v>
      </c>
    </row>
    <row r="23" spans="1:27" x14ac:dyDescent="0.3">
      <c r="A23" s="616">
        <v>45229</v>
      </c>
      <c r="B23" s="617">
        <v>57</v>
      </c>
      <c r="C23" s="706" t="s">
        <v>548</v>
      </c>
      <c r="D23" s="618" t="s">
        <v>552</v>
      </c>
      <c r="E23" s="589" t="s">
        <v>564</v>
      </c>
      <c r="F23" s="619" t="s">
        <v>60</v>
      </c>
      <c r="G23" s="660" t="s">
        <v>551</v>
      </c>
      <c r="H23" s="589" t="s">
        <v>532</v>
      </c>
      <c r="I23" s="589" t="s">
        <v>608</v>
      </c>
      <c r="J23" s="589" t="s">
        <v>531</v>
      </c>
      <c r="K23" s="589" t="s">
        <v>570</v>
      </c>
      <c r="L23" s="589" t="s">
        <v>575</v>
      </c>
      <c r="M23" s="589" t="s">
        <v>519</v>
      </c>
      <c r="N23" s="593">
        <v>25</v>
      </c>
      <c r="O23" s="599">
        <v>2000000</v>
      </c>
      <c r="P23" s="595">
        <v>9155692.0181675684</v>
      </c>
      <c r="Q23" s="593">
        <v>50</v>
      </c>
      <c r="R23" s="593">
        <v>2</v>
      </c>
      <c r="S23" s="595">
        <v>6.225870572353946</v>
      </c>
      <c r="T23" s="595">
        <v>8569923.854068974</v>
      </c>
      <c r="U23" s="589">
        <v>214248096.35172433</v>
      </c>
      <c r="V23" s="589">
        <f t="shared" si="4"/>
        <v>214244753.26533961</v>
      </c>
      <c r="W23" s="709">
        <f>(V23/AVERAGE($U$24:$U$25)*100)</f>
        <v>62.881416982449998</v>
      </c>
      <c r="X23" t="s">
        <v>870</v>
      </c>
      <c r="Y23">
        <v>47610000</v>
      </c>
      <c r="Z23">
        <v>77259000</v>
      </c>
      <c r="AA23" s="767">
        <v>61.623888479012159</v>
      </c>
    </row>
    <row r="24" spans="1:27" x14ac:dyDescent="0.3">
      <c r="A24" s="616">
        <v>45229</v>
      </c>
      <c r="B24" s="617">
        <v>62</v>
      </c>
      <c r="C24" s="706" t="s">
        <v>548</v>
      </c>
      <c r="D24" s="618" t="s">
        <v>552</v>
      </c>
      <c r="E24" s="589" t="s">
        <v>564</v>
      </c>
      <c r="F24" s="619" t="s">
        <v>65</v>
      </c>
      <c r="G24" s="620" t="s">
        <v>0</v>
      </c>
      <c r="H24" s="589" t="s">
        <v>531</v>
      </c>
      <c r="I24" s="711" t="s">
        <v>593</v>
      </c>
      <c r="J24" s="589" t="s">
        <v>532</v>
      </c>
      <c r="K24" s="589" t="s">
        <v>570</v>
      </c>
      <c r="L24" s="589" t="s">
        <v>573</v>
      </c>
      <c r="M24" s="589" t="s">
        <v>519</v>
      </c>
      <c r="N24" s="593">
        <v>25</v>
      </c>
      <c r="O24" s="599">
        <v>2000000</v>
      </c>
      <c r="P24" s="595">
        <v>10328956.244485943</v>
      </c>
      <c r="Q24" s="593">
        <v>50</v>
      </c>
      <c r="R24" s="593">
        <v>2</v>
      </c>
      <c r="S24" s="595">
        <v>7.0236902462504407</v>
      </c>
      <c r="T24" s="595">
        <v>9668124.3025222402</v>
      </c>
      <c r="U24" s="589">
        <v>241703107.56305599</v>
      </c>
      <c r="V24" s="589" t="s">
        <v>0</v>
      </c>
      <c r="W24" s="709" t="s">
        <v>0</v>
      </c>
      <c r="X24" t="s">
        <v>874</v>
      </c>
      <c r="Y24">
        <v>0</v>
      </c>
      <c r="Z24">
        <v>77258999.999999985</v>
      </c>
      <c r="AA24" s="749">
        <v>0</v>
      </c>
    </row>
    <row r="25" spans="1:27" ht="16.2" thickBot="1" x14ac:dyDescent="0.35">
      <c r="A25" s="723">
        <v>45229</v>
      </c>
      <c r="B25" s="724">
        <v>63</v>
      </c>
      <c r="C25" s="725" t="s">
        <v>548</v>
      </c>
      <c r="D25" s="726" t="s">
        <v>552</v>
      </c>
      <c r="E25" s="608" t="s">
        <v>564</v>
      </c>
      <c r="F25" s="727" t="s">
        <v>66</v>
      </c>
      <c r="G25" s="728" t="s">
        <v>0</v>
      </c>
      <c r="H25" s="608" t="s">
        <v>531</v>
      </c>
      <c r="I25" s="729" t="s">
        <v>593</v>
      </c>
      <c r="J25" s="608" t="s">
        <v>532</v>
      </c>
      <c r="K25" s="608" t="s">
        <v>570</v>
      </c>
      <c r="L25" s="608" t="s">
        <v>574</v>
      </c>
      <c r="M25" s="608" t="s">
        <v>519</v>
      </c>
      <c r="N25" s="613">
        <v>25</v>
      </c>
      <c r="O25" s="611">
        <v>2000000</v>
      </c>
      <c r="P25" s="612">
        <v>18791090.961361483</v>
      </c>
      <c r="Q25" s="613">
        <v>50</v>
      </c>
      <c r="R25" s="613">
        <v>2</v>
      </c>
      <c r="S25" s="612">
        <v>12.777941853725808</v>
      </c>
      <c r="T25" s="612">
        <v>17588863.665816281</v>
      </c>
      <c r="U25" s="608">
        <v>439721591.64540702</v>
      </c>
      <c r="V25" s="608" t="s">
        <v>0</v>
      </c>
      <c r="W25" s="730" t="s">
        <v>0</v>
      </c>
      <c r="X25" t="s">
        <v>875</v>
      </c>
      <c r="Y25">
        <v>77258999.999999985</v>
      </c>
      <c r="Z25">
        <v>77258999.999999985</v>
      </c>
      <c r="AA25" s="749">
        <v>100</v>
      </c>
    </row>
    <row r="26" spans="1:27" x14ac:dyDescent="0.3">
      <c r="A26" s="635">
        <v>45295</v>
      </c>
      <c r="B26" s="636">
        <v>289</v>
      </c>
      <c r="C26" s="716" t="s">
        <v>548</v>
      </c>
      <c r="D26" s="637" t="s">
        <v>552</v>
      </c>
      <c r="E26" s="638" t="s">
        <v>555</v>
      </c>
      <c r="F26" s="639" t="s">
        <v>287</v>
      </c>
      <c r="G26" s="640" t="s">
        <v>550</v>
      </c>
      <c r="H26" s="638" t="s">
        <v>532</v>
      </c>
      <c r="I26" s="652" t="s">
        <v>608</v>
      </c>
      <c r="J26" s="652" t="s">
        <v>531</v>
      </c>
      <c r="K26" s="638" t="s">
        <v>570</v>
      </c>
      <c r="L26" s="638" t="s">
        <v>573</v>
      </c>
      <c r="M26" s="638" t="s">
        <v>519</v>
      </c>
      <c r="N26" s="644">
        <v>25</v>
      </c>
      <c r="O26" s="642">
        <v>200000</v>
      </c>
      <c r="P26" s="643">
        <v>46059.131953211414</v>
      </c>
      <c r="Q26" s="644">
        <v>50</v>
      </c>
      <c r="R26" s="644">
        <v>2</v>
      </c>
      <c r="S26" s="643">
        <v>3.1320209728183758E-2</v>
      </c>
      <c r="T26" s="643">
        <v>43112.334145828703</v>
      </c>
      <c r="U26" s="638">
        <v>1077808.3536457175</v>
      </c>
      <c r="V26" s="638" t="s">
        <v>0</v>
      </c>
      <c r="W26" s="714">
        <f t="shared" ref="W26:W33" si="5">(U26/AVERAGE($U$34:$U$41)*100)</f>
        <v>6.2755756126580025</v>
      </c>
      <c r="X26" t="s">
        <v>287</v>
      </c>
      <c r="Y26">
        <v>84530</v>
      </c>
      <c r="Z26">
        <v>2454450</v>
      </c>
      <c r="AA26" s="767">
        <v>3.443948746154943</v>
      </c>
    </row>
    <row r="27" spans="1:27" x14ac:dyDescent="0.3">
      <c r="A27" s="616">
        <v>45295</v>
      </c>
      <c r="B27" s="617">
        <v>290</v>
      </c>
      <c r="C27" s="718" t="s">
        <v>548</v>
      </c>
      <c r="D27" s="618" t="s">
        <v>552</v>
      </c>
      <c r="E27" s="589" t="s">
        <v>555</v>
      </c>
      <c r="F27" s="619" t="s">
        <v>288</v>
      </c>
      <c r="G27" s="648" t="s">
        <v>550</v>
      </c>
      <c r="H27" s="589" t="s">
        <v>532</v>
      </c>
      <c r="I27" s="658" t="s">
        <v>608</v>
      </c>
      <c r="J27" s="658" t="s">
        <v>531</v>
      </c>
      <c r="K27" s="589" t="s">
        <v>570</v>
      </c>
      <c r="L27" s="589" t="s">
        <v>574</v>
      </c>
      <c r="M27" s="589" t="s">
        <v>519</v>
      </c>
      <c r="N27" s="593">
        <v>25</v>
      </c>
      <c r="O27" s="599">
        <v>200000</v>
      </c>
      <c r="P27" s="595">
        <v>77496.34344387654</v>
      </c>
      <c r="Q27" s="593">
        <v>50</v>
      </c>
      <c r="R27" s="593">
        <v>2</v>
      </c>
      <c r="S27" s="595">
        <v>5.2697513541836043E-2</v>
      </c>
      <c r="T27" s="595">
        <v>72538.237520982133</v>
      </c>
      <c r="U27" s="589">
        <v>1813455.938024553</v>
      </c>
      <c r="V27" s="589" t="s">
        <v>0</v>
      </c>
      <c r="W27" s="709">
        <f t="shared" si="5"/>
        <v>10.558908567373717</v>
      </c>
      <c r="X27" t="s">
        <v>288</v>
      </c>
      <c r="Y27">
        <v>171510</v>
      </c>
      <c r="Z27">
        <v>2454450</v>
      </c>
      <c r="AA27" s="767">
        <v>6.9877161889629047</v>
      </c>
    </row>
    <row r="28" spans="1:27" x14ac:dyDescent="0.3">
      <c r="A28" s="616">
        <v>45295</v>
      </c>
      <c r="B28" s="617">
        <v>291</v>
      </c>
      <c r="C28" s="718" t="s">
        <v>548</v>
      </c>
      <c r="D28" s="618" t="s">
        <v>552</v>
      </c>
      <c r="E28" s="589" t="s">
        <v>555</v>
      </c>
      <c r="F28" s="619" t="s">
        <v>289</v>
      </c>
      <c r="G28" s="648" t="s">
        <v>550</v>
      </c>
      <c r="H28" s="589" t="s">
        <v>532</v>
      </c>
      <c r="I28" s="658" t="s">
        <v>608</v>
      </c>
      <c r="J28" s="658" t="s">
        <v>531</v>
      </c>
      <c r="K28" s="589" t="s">
        <v>570</v>
      </c>
      <c r="L28" s="589" t="s">
        <v>503</v>
      </c>
      <c r="M28" s="589" t="s">
        <v>519</v>
      </c>
      <c r="N28" s="593">
        <v>25</v>
      </c>
      <c r="O28" s="599">
        <v>200000</v>
      </c>
      <c r="P28" s="595">
        <v>15208.709178202571</v>
      </c>
      <c r="Q28" s="593">
        <v>50</v>
      </c>
      <c r="R28" s="593">
        <v>2</v>
      </c>
      <c r="S28" s="595">
        <v>1.0341922241177748E-2</v>
      </c>
      <c r="T28" s="595">
        <v>14235.677578193796</v>
      </c>
      <c r="U28" s="589">
        <v>355891.93945484486</v>
      </c>
      <c r="V28" s="589" t="s">
        <v>0</v>
      </c>
      <c r="W28" s="709">
        <f t="shared" si="5"/>
        <v>2.0721928610311404</v>
      </c>
      <c r="X28" t="s">
        <v>289</v>
      </c>
      <c r="Y28">
        <v>64379.999999999993</v>
      </c>
      <c r="Z28">
        <v>2454450</v>
      </c>
      <c r="AA28" s="767">
        <v>2.6229908940903255</v>
      </c>
    </row>
    <row r="29" spans="1:27" x14ac:dyDescent="0.3">
      <c r="A29" s="616">
        <v>45295</v>
      </c>
      <c r="B29" s="617">
        <v>292</v>
      </c>
      <c r="C29" s="718" t="s">
        <v>548</v>
      </c>
      <c r="D29" s="618" t="s">
        <v>552</v>
      </c>
      <c r="E29" s="589" t="s">
        <v>555</v>
      </c>
      <c r="F29" s="619" t="s">
        <v>290</v>
      </c>
      <c r="G29" s="648" t="s">
        <v>550</v>
      </c>
      <c r="H29" s="589" t="s">
        <v>532</v>
      </c>
      <c r="I29" s="658" t="s">
        <v>608</v>
      </c>
      <c r="J29" s="658" t="s">
        <v>531</v>
      </c>
      <c r="K29" s="589" t="s">
        <v>570</v>
      </c>
      <c r="L29" s="589" t="s">
        <v>575</v>
      </c>
      <c r="M29" s="589" t="s">
        <v>519</v>
      </c>
      <c r="N29" s="593">
        <v>25</v>
      </c>
      <c r="O29" s="599">
        <v>200000</v>
      </c>
      <c r="P29" s="595">
        <v>42250.941888624555</v>
      </c>
      <c r="Q29" s="593">
        <v>50</v>
      </c>
      <c r="R29" s="593">
        <v>2</v>
      </c>
      <c r="S29" s="595">
        <v>2.87306404842647E-2</v>
      </c>
      <c r="T29" s="595">
        <v>39547.786669726171</v>
      </c>
      <c r="U29" s="589">
        <v>988694.66674315429</v>
      </c>
      <c r="V29" s="589" t="s">
        <v>0</v>
      </c>
      <c r="W29" s="709">
        <f t="shared" si="5"/>
        <v>5.7567081550175763</v>
      </c>
      <c r="X29" t="s">
        <v>290</v>
      </c>
      <c r="Y29">
        <v>289900</v>
      </c>
      <c r="Z29">
        <v>2454450</v>
      </c>
      <c r="AA29" s="767">
        <v>11.81120006518772</v>
      </c>
    </row>
    <row r="30" spans="1:27" x14ac:dyDescent="0.3">
      <c r="A30" s="616">
        <v>45295</v>
      </c>
      <c r="B30" s="617">
        <v>293</v>
      </c>
      <c r="C30" s="718" t="s">
        <v>548</v>
      </c>
      <c r="D30" s="618" t="s">
        <v>552</v>
      </c>
      <c r="E30" s="589" t="s">
        <v>555</v>
      </c>
      <c r="F30" s="619" t="s">
        <v>291</v>
      </c>
      <c r="G30" s="660" t="s">
        <v>551</v>
      </c>
      <c r="H30" s="589" t="s">
        <v>532</v>
      </c>
      <c r="I30" s="658" t="s">
        <v>608</v>
      </c>
      <c r="J30" s="658" t="s">
        <v>531</v>
      </c>
      <c r="K30" s="589" t="s">
        <v>570</v>
      </c>
      <c r="L30" s="589" t="s">
        <v>573</v>
      </c>
      <c r="M30" s="589" t="s">
        <v>519</v>
      </c>
      <c r="N30" s="593">
        <v>25</v>
      </c>
      <c r="O30" s="599">
        <v>200000</v>
      </c>
      <c r="P30" s="595">
        <v>53409.646107232984</v>
      </c>
      <c r="Q30" s="593">
        <v>50</v>
      </c>
      <c r="R30" s="593">
        <v>2</v>
      </c>
      <c r="S30" s="595">
        <v>3.6318559352918431E-2</v>
      </c>
      <c r="T30" s="595">
        <v>49992.572850147706</v>
      </c>
      <c r="U30" s="589">
        <v>1249814.3212536927</v>
      </c>
      <c r="V30" s="589" t="s">
        <v>0</v>
      </c>
      <c r="W30" s="709">
        <f t="shared" si="5"/>
        <v>7.2770861798205484</v>
      </c>
      <c r="X30" t="s">
        <v>291</v>
      </c>
      <c r="Y30">
        <v>324330</v>
      </c>
      <c r="Z30">
        <v>2454450</v>
      </c>
      <c r="AA30" s="767">
        <v>13.213958320601357</v>
      </c>
    </row>
    <row r="31" spans="1:27" x14ac:dyDescent="0.3">
      <c r="A31" s="616">
        <v>45295</v>
      </c>
      <c r="B31" s="617">
        <v>294</v>
      </c>
      <c r="C31" s="718" t="s">
        <v>548</v>
      </c>
      <c r="D31" s="618" t="s">
        <v>552</v>
      </c>
      <c r="E31" s="589" t="s">
        <v>555</v>
      </c>
      <c r="F31" s="619" t="s">
        <v>292</v>
      </c>
      <c r="G31" s="660" t="s">
        <v>551</v>
      </c>
      <c r="H31" s="589" t="s">
        <v>532</v>
      </c>
      <c r="I31" s="658" t="s">
        <v>608</v>
      </c>
      <c r="J31" s="658" t="s">
        <v>531</v>
      </c>
      <c r="K31" s="589" t="s">
        <v>570</v>
      </c>
      <c r="L31" s="589" t="s">
        <v>574</v>
      </c>
      <c r="M31" s="589" t="s">
        <v>519</v>
      </c>
      <c r="N31" s="593">
        <v>25</v>
      </c>
      <c r="O31" s="599">
        <v>200000</v>
      </c>
      <c r="P31" s="595">
        <v>82242.212154622626</v>
      </c>
      <c r="Q31" s="593">
        <v>50</v>
      </c>
      <c r="R31" s="593">
        <v>2</v>
      </c>
      <c r="S31" s="595">
        <v>5.5924704265143385E-2</v>
      </c>
      <c r="T31" s="595">
        <v>76980.472296004911</v>
      </c>
      <c r="U31" s="589">
        <v>1924511.8074001225</v>
      </c>
      <c r="V31" s="589" t="s">
        <v>0</v>
      </c>
      <c r="W31" s="709">
        <f t="shared" si="5"/>
        <v>11.205535124997285</v>
      </c>
      <c r="X31" t="s">
        <v>292</v>
      </c>
      <c r="Y31">
        <v>760610</v>
      </c>
      <c r="Z31">
        <v>2454450</v>
      </c>
      <c r="AA31" s="767">
        <v>30.989019943368167</v>
      </c>
    </row>
    <row r="32" spans="1:27" x14ac:dyDescent="0.3">
      <c r="A32" s="616">
        <v>45295</v>
      </c>
      <c r="B32" s="617">
        <v>295</v>
      </c>
      <c r="C32" s="718" t="s">
        <v>548</v>
      </c>
      <c r="D32" s="618" t="s">
        <v>552</v>
      </c>
      <c r="E32" s="589" t="s">
        <v>555</v>
      </c>
      <c r="F32" s="619" t="s">
        <v>293</v>
      </c>
      <c r="G32" s="660" t="s">
        <v>551</v>
      </c>
      <c r="H32" s="589" t="s">
        <v>532</v>
      </c>
      <c r="I32" s="658" t="s">
        <v>608</v>
      </c>
      <c r="J32" s="658" t="s">
        <v>531</v>
      </c>
      <c r="K32" s="589" t="s">
        <v>570</v>
      </c>
      <c r="L32" s="589" t="s">
        <v>503</v>
      </c>
      <c r="M32" s="589" t="s">
        <v>519</v>
      </c>
      <c r="N32" s="593">
        <v>25</v>
      </c>
      <c r="O32" s="599">
        <v>200000</v>
      </c>
      <c r="P32" s="595">
        <v>13082.318468135274</v>
      </c>
      <c r="Q32" s="593">
        <v>50</v>
      </c>
      <c r="R32" s="593">
        <v>2</v>
      </c>
      <c r="S32" s="595">
        <v>8.8959765583319864E-3</v>
      </c>
      <c r="T32" s="595">
        <v>12245.330323926544</v>
      </c>
      <c r="U32" s="589">
        <v>306133.2580981637</v>
      </c>
      <c r="V32" s="589" t="s">
        <v>0</v>
      </c>
      <c r="W32" s="709">
        <f t="shared" si="5"/>
        <v>1.7824712549740287</v>
      </c>
      <c r="X32" t="s">
        <v>293</v>
      </c>
      <c r="Y32">
        <v>67450</v>
      </c>
      <c r="Z32">
        <v>2454450</v>
      </c>
      <c r="AA32" s="767">
        <v>2.7480698323453323</v>
      </c>
    </row>
    <row r="33" spans="1:27" x14ac:dyDescent="0.3">
      <c r="A33" s="616">
        <v>45295</v>
      </c>
      <c r="B33" s="617">
        <v>296</v>
      </c>
      <c r="C33" s="718" t="s">
        <v>548</v>
      </c>
      <c r="D33" s="618" t="s">
        <v>552</v>
      </c>
      <c r="E33" s="589" t="s">
        <v>555</v>
      </c>
      <c r="F33" s="619" t="s">
        <v>294</v>
      </c>
      <c r="G33" s="660" t="s">
        <v>551</v>
      </c>
      <c r="H33" s="589" t="s">
        <v>532</v>
      </c>
      <c r="I33" s="658" t="s">
        <v>608</v>
      </c>
      <c r="J33" s="658" t="s">
        <v>531</v>
      </c>
      <c r="K33" s="589" t="s">
        <v>570</v>
      </c>
      <c r="L33" s="589" t="s">
        <v>575</v>
      </c>
      <c r="M33" s="589" t="s">
        <v>519</v>
      </c>
      <c r="N33" s="593">
        <v>25</v>
      </c>
      <c r="O33" s="599">
        <v>200000</v>
      </c>
      <c r="P33" s="595">
        <v>33457.135271256229</v>
      </c>
      <c r="Q33" s="593">
        <v>50</v>
      </c>
      <c r="R33" s="593">
        <v>2</v>
      </c>
      <c r="S33" s="595">
        <v>2.2750851984454232E-2</v>
      </c>
      <c r="T33" s="595">
        <v>31316.5953027914</v>
      </c>
      <c r="U33" s="589">
        <v>782914.882569785</v>
      </c>
      <c r="V33" s="589" t="s">
        <v>0</v>
      </c>
      <c r="W33" s="709">
        <f t="shared" si="5"/>
        <v>4.5585483979807417</v>
      </c>
      <c r="X33" t="s">
        <v>294</v>
      </c>
      <c r="Y33">
        <v>101980</v>
      </c>
      <c r="Z33">
        <v>2454450</v>
      </c>
      <c r="AA33" s="767">
        <v>4.1549023202754176</v>
      </c>
    </row>
    <row r="34" spans="1:27" x14ac:dyDescent="0.3">
      <c r="A34" s="616">
        <v>45295</v>
      </c>
      <c r="B34" s="617">
        <v>297</v>
      </c>
      <c r="C34" s="718" t="s">
        <v>548</v>
      </c>
      <c r="D34" s="618" t="s">
        <v>552</v>
      </c>
      <c r="E34" s="589" t="s">
        <v>555</v>
      </c>
      <c r="F34" s="619" t="s">
        <v>295</v>
      </c>
      <c r="G34" s="589" t="s">
        <v>0</v>
      </c>
      <c r="H34" s="589" t="s">
        <v>531</v>
      </c>
      <c r="I34" s="589" t="s">
        <v>593</v>
      </c>
      <c r="J34" s="589" t="s">
        <v>531</v>
      </c>
      <c r="K34" s="589" t="s">
        <v>570</v>
      </c>
      <c r="L34" s="589" t="s">
        <v>573</v>
      </c>
      <c r="M34" s="589" t="s">
        <v>519</v>
      </c>
      <c r="N34" s="593" t="s">
        <v>0</v>
      </c>
      <c r="O34" s="599">
        <v>200000</v>
      </c>
      <c r="P34" s="595">
        <v>868237.14609074581</v>
      </c>
      <c r="Q34" s="593">
        <v>50</v>
      </c>
      <c r="R34" s="593">
        <v>2</v>
      </c>
      <c r="S34" s="595">
        <v>0.59040125934170717</v>
      </c>
      <c r="T34" s="595">
        <v>812688.56734229124</v>
      </c>
      <c r="U34" s="589">
        <v>20317214.183557279</v>
      </c>
      <c r="V34" s="589" t="s">
        <v>0</v>
      </c>
      <c r="W34" s="709" t="s">
        <v>0</v>
      </c>
      <c r="X34" t="s">
        <v>295</v>
      </c>
      <c r="Y34">
        <v>1266900</v>
      </c>
      <c r="Z34">
        <v>2454450</v>
      </c>
      <c r="AA34" s="749">
        <v>51.616451750901426</v>
      </c>
    </row>
    <row r="35" spans="1:27" x14ac:dyDescent="0.3">
      <c r="A35" s="616">
        <v>45295</v>
      </c>
      <c r="B35" s="617">
        <v>298</v>
      </c>
      <c r="C35" s="718" t="s">
        <v>548</v>
      </c>
      <c r="D35" s="618" t="s">
        <v>552</v>
      </c>
      <c r="E35" s="589" t="s">
        <v>555</v>
      </c>
      <c r="F35" s="619" t="s">
        <v>296</v>
      </c>
      <c r="G35" s="589" t="s">
        <v>0</v>
      </c>
      <c r="H35" s="589" t="s">
        <v>531</v>
      </c>
      <c r="I35" s="589" t="s">
        <v>593</v>
      </c>
      <c r="J35" s="589" t="s">
        <v>531</v>
      </c>
      <c r="K35" s="589" t="s">
        <v>570</v>
      </c>
      <c r="L35" s="589" t="s">
        <v>574</v>
      </c>
      <c r="M35" s="589" t="s">
        <v>519</v>
      </c>
      <c r="N35" s="593" t="s">
        <v>0</v>
      </c>
      <c r="O35" s="599">
        <v>200000</v>
      </c>
      <c r="P35" s="595">
        <v>688956.17921536986</v>
      </c>
      <c r="Q35" s="593">
        <v>50</v>
      </c>
      <c r="R35" s="593">
        <v>2</v>
      </c>
      <c r="S35" s="595">
        <v>0.46849020186645152</v>
      </c>
      <c r="T35" s="595">
        <v>644877.74195005221</v>
      </c>
      <c r="U35" s="589">
        <v>16121943.548751306</v>
      </c>
      <c r="V35" s="589" t="s">
        <v>0</v>
      </c>
      <c r="W35" s="709" t="s">
        <v>0</v>
      </c>
      <c r="X35" t="s">
        <v>296</v>
      </c>
      <c r="Y35">
        <v>1034100</v>
      </c>
      <c r="Z35">
        <v>2454450</v>
      </c>
      <c r="AA35" s="749">
        <v>42.131638452606488</v>
      </c>
    </row>
    <row r="36" spans="1:27" x14ac:dyDescent="0.3">
      <c r="A36" s="616">
        <v>45295</v>
      </c>
      <c r="B36" s="617">
        <v>299</v>
      </c>
      <c r="C36" s="718" t="s">
        <v>548</v>
      </c>
      <c r="D36" s="618" t="s">
        <v>552</v>
      </c>
      <c r="E36" s="589" t="s">
        <v>555</v>
      </c>
      <c r="F36" s="619" t="s">
        <v>297</v>
      </c>
      <c r="G36" s="589" t="s">
        <v>0</v>
      </c>
      <c r="H36" s="589" t="s">
        <v>531</v>
      </c>
      <c r="I36" s="589" t="s">
        <v>593</v>
      </c>
      <c r="J36" s="589" t="s">
        <v>531</v>
      </c>
      <c r="K36" s="589" t="s">
        <v>570</v>
      </c>
      <c r="L36" s="589" t="s">
        <v>503</v>
      </c>
      <c r="M36" s="589" t="s">
        <v>519</v>
      </c>
      <c r="N36" s="593" t="s">
        <v>0</v>
      </c>
      <c r="O36" s="599">
        <v>200000</v>
      </c>
      <c r="P36" s="595">
        <v>337772.76029995689</v>
      </c>
      <c r="Q36" s="593">
        <v>50</v>
      </c>
      <c r="R36" s="593">
        <v>2</v>
      </c>
      <c r="S36" s="595">
        <v>0.22968547700397068</v>
      </c>
      <c r="T36" s="595">
        <v>316162.53910741187</v>
      </c>
      <c r="U36" s="589">
        <v>7904063.477685296</v>
      </c>
      <c r="V36" s="589" t="s">
        <v>0</v>
      </c>
      <c r="W36" s="709" t="s">
        <v>0</v>
      </c>
      <c r="X36" t="s">
        <v>297</v>
      </c>
      <c r="Y36">
        <v>580200</v>
      </c>
      <c r="Z36">
        <v>2454450</v>
      </c>
      <c r="AA36" s="749">
        <v>23.638697060441238</v>
      </c>
    </row>
    <row r="37" spans="1:27" x14ac:dyDescent="0.3">
      <c r="A37" s="616">
        <v>45295</v>
      </c>
      <c r="B37" s="617">
        <v>300</v>
      </c>
      <c r="C37" s="718" t="s">
        <v>548</v>
      </c>
      <c r="D37" s="618" t="s">
        <v>552</v>
      </c>
      <c r="E37" s="589" t="s">
        <v>555</v>
      </c>
      <c r="F37" s="619" t="s">
        <v>298</v>
      </c>
      <c r="G37" s="589" t="s">
        <v>0</v>
      </c>
      <c r="H37" s="589" t="s">
        <v>531</v>
      </c>
      <c r="I37" s="589" t="s">
        <v>593</v>
      </c>
      <c r="J37" s="589" t="s">
        <v>531</v>
      </c>
      <c r="K37" s="589" t="s">
        <v>570</v>
      </c>
      <c r="L37" s="589" t="s">
        <v>575</v>
      </c>
      <c r="M37" s="589" t="s">
        <v>519</v>
      </c>
      <c r="N37" s="593" t="s">
        <v>0</v>
      </c>
      <c r="O37" s="599">
        <v>200000</v>
      </c>
      <c r="P37" s="595">
        <v>705534.22574553813</v>
      </c>
      <c r="Q37" s="593">
        <v>50</v>
      </c>
      <c r="R37" s="593">
        <v>2</v>
      </c>
      <c r="S37" s="595">
        <v>0.47976327350696596</v>
      </c>
      <c r="T37" s="595">
        <v>660395.14862240863</v>
      </c>
      <c r="U37" s="589">
        <v>16509878.715560218</v>
      </c>
      <c r="V37" s="589" t="s">
        <v>0</v>
      </c>
      <c r="W37" s="709" t="s">
        <v>0</v>
      </c>
      <c r="X37" t="s">
        <v>298</v>
      </c>
      <c r="Y37">
        <v>1538400</v>
      </c>
      <c r="Z37">
        <v>2454450</v>
      </c>
      <c r="AA37" s="749">
        <v>62.677993033062393</v>
      </c>
    </row>
    <row r="38" spans="1:27" x14ac:dyDescent="0.3">
      <c r="A38" s="616">
        <v>45295</v>
      </c>
      <c r="B38" s="617">
        <v>301</v>
      </c>
      <c r="C38" s="718" t="s">
        <v>548</v>
      </c>
      <c r="D38" s="618" t="s">
        <v>552</v>
      </c>
      <c r="E38" s="589" t="s">
        <v>555</v>
      </c>
      <c r="F38" s="619" t="s">
        <v>299</v>
      </c>
      <c r="G38" s="589" t="s">
        <v>0</v>
      </c>
      <c r="H38" s="589" t="s">
        <v>531</v>
      </c>
      <c r="I38" s="589" t="s">
        <v>593</v>
      </c>
      <c r="J38" s="589" t="s">
        <v>531</v>
      </c>
      <c r="K38" s="589" t="s">
        <v>570</v>
      </c>
      <c r="L38" s="589" t="s">
        <v>573</v>
      </c>
      <c r="M38" s="589" t="s">
        <v>519</v>
      </c>
      <c r="N38" s="593" t="s">
        <v>0</v>
      </c>
      <c r="O38" s="599">
        <v>200000</v>
      </c>
      <c r="P38" s="595">
        <v>738533.23027293407</v>
      </c>
      <c r="Q38" s="593">
        <v>50</v>
      </c>
      <c r="R38" s="593">
        <v>2</v>
      </c>
      <c r="S38" s="595">
        <v>0.50220259658559518</v>
      </c>
      <c r="T38" s="595">
        <v>691282.92373527889</v>
      </c>
      <c r="U38" s="589">
        <v>17282073.093381971</v>
      </c>
      <c r="V38" s="589" t="s">
        <v>0</v>
      </c>
      <c r="W38" s="709" t="s">
        <v>0</v>
      </c>
      <c r="X38" t="s">
        <v>299</v>
      </c>
      <c r="Y38">
        <v>3264900</v>
      </c>
      <c r="Z38">
        <v>2454450</v>
      </c>
      <c r="AA38" s="749">
        <v>133.01961742956669</v>
      </c>
    </row>
    <row r="39" spans="1:27" x14ac:dyDescent="0.3">
      <c r="A39" s="616">
        <v>45295</v>
      </c>
      <c r="B39" s="617">
        <v>302</v>
      </c>
      <c r="C39" s="718" t="s">
        <v>548</v>
      </c>
      <c r="D39" s="618" t="s">
        <v>552</v>
      </c>
      <c r="E39" s="589" t="s">
        <v>555</v>
      </c>
      <c r="F39" s="619" t="s">
        <v>300</v>
      </c>
      <c r="G39" s="589" t="s">
        <v>0</v>
      </c>
      <c r="H39" s="589" t="s">
        <v>531</v>
      </c>
      <c r="I39" s="589" t="s">
        <v>593</v>
      </c>
      <c r="J39" s="589" t="s">
        <v>531</v>
      </c>
      <c r="K39" s="589" t="s">
        <v>570</v>
      </c>
      <c r="L39" s="589" t="s">
        <v>574</v>
      </c>
      <c r="M39" s="589" t="s">
        <v>519</v>
      </c>
      <c r="N39" s="593" t="s">
        <v>0</v>
      </c>
      <c r="O39" s="599">
        <v>200000</v>
      </c>
      <c r="P39" s="595">
        <v>988111.85551523883</v>
      </c>
      <c r="Q39" s="593">
        <v>50</v>
      </c>
      <c r="R39" s="593">
        <v>2</v>
      </c>
      <c r="S39" s="595">
        <v>0.67191606175036245</v>
      </c>
      <c r="T39" s="595">
        <v>924893.86321266927</v>
      </c>
      <c r="U39" s="589">
        <v>23122346.58031673</v>
      </c>
      <c r="V39" s="589" t="s">
        <v>0</v>
      </c>
      <c r="W39" s="709" t="s">
        <v>0</v>
      </c>
      <c r="X39" t="s">
        <v>300</v>
      </c>
      <c r="Y39">
        <v>7305300</v>
      </c>
      <c r="Z39">
        <v>2454450</v>
      </c>
      <c r="AA39" s="749">
        <v>297.63490802420097</v>
      </c>
    </row>
    <row r="40" spans="1:27" x14ac:dyDescent="0.3">
      <c r="A40" s="616">
        <v>45295</v>
      </c>
      <c r="B40" s="617">
        <v>303</v>
      </c>
      <c r="C40" s="718" t="s">
        <v>548</v>
      </c>
      <c r="D40" s="618" t="s">
        <v>552</v>
      </c>
      <c r="E40" s="589" t="s">
        <v>555</v>
      </c>
      <c r="F40" s="619" t="s">
        <v>301</v>
      </c>
      <c r="G40" s="589" t="s">
        <v>0</v>
      </c>
      <c r="H40" s="589" t="s">
        <v>531</v>
      </c>
      <c r="I40" s="589" t="s">
        <v>593</v>
      </c>
      <c r="J40" s="589" t="s">
        <v>531</v>
      </c>
      <c r="K40" s="589" t="s">
        <v>570</v>
      </c>
      <c r="L40" s="589" t="s">
        <v>503</v>
      </c>
      <c r="M40" s="589" t="s">
        <v>519</v>
      </c>
      <c r="N40" s="593" t="s">
        <v>0</v>
      </c>
      <c r="O40" s="599">
        <v>200000</v>
      </c>
      <c r="P40" s="595">
        <v>922147.26390670007</v>
      </c>
      <c r="Q40" s="593">
        <v>50</v>
      </c>
      <c r="R40" s="593">
        <v>2</v>
      </c>
      <c r="S40" s="595">
        <v>0.62706013945655603</v>
      </c>
      <c r="T40" s="595">
        <v>863149.5924324604</v>
      </c>
      <c r="U40" s="589">
        <v>21578739.810811505</v>
      </c>
      <c r="V40" s="589" t="s">
        <v>0</v>
      </c>
      <c r="W40" s="709" t="s">
        <v>0</v>
      </c>
      <c r="X40" t="s">
        <v>301</v>
      </c>
      <c r="Y40">
        <v>2328300</v>
      </c>
      <c r="Z40">
        <v>2454450</v>
      </c>
      <c r="AA40" s="749">
        <v>94.860355680498685</v>
      </c>
    </row>
    <row r="41" spans="1:27" ht="16.2" thickBot="1" x14ac:dyDescent="0.35">
      <c r="A41" s="622">
        <v>45295</v>
      </c>
      <c r="B41" s="623">
        <v>304</v>
      </c>
      <c r="C41" s="731" t="s">
        <v>548</v>
      </c>
      <c r="D41" s="624" t="s">
        <v>552</v>
      </c>
      <c r="E41" s="625" t="s">
        <v>555</v>
      </c>
      <c r="F41" s="626" t="s">
        <v>302</v>
      </c>
      <c r="G41" s="625" t="s">
        <v>0</v>
      </c>
      <c r="H41" s="625" t="s">
        <v>531</v>
      </c>
      <c r="I41" s="625" t="s">
        <v>593</v>
      </c>
      <c r="J41" s="625" t="s">
        <v>531</v>
      </c>
      <c r="K41" s="625" t="s">
        <v>570</v>
      </c>
      <c r="L41" s="625" t="s">
        <v>575</v>
      </c>
      <c r="M41" s="625" t="s">
        <v>519</v>
      </c>
      <c r="N41" s="631" t="s">
        <v>0</v>
      </c>
      <c r="O41" s="715">
        <v>200000</v>
      </c>
      <c r="P41" s="632">
        <v>622249.30368534639</v>
      </c>
      <c r="Q41" s="631">
        <v>50</v>
      </c>
      <c r="R41" s="631">
        <v>2</v>
      </c>
      <c r="S41" s="632">
        <v>0.42312952650603558</v>
      </c>
      <c r="T41" s="632">
        <v>582438.67751879001</v>
      </c>
      <c r="U41" s="625">
        <v>14560966.93796975</v>
      </c>
      <c r="V41" s="625" t="s">
        <v>0</v>
      </c>
      <c r="W41" s="712" t="s">
        <v>0</v>
      </c>
      <c r="X41" t="s">
        <v>302</v>
      </c>
      <c r="Y41">
        <v>2317500</v>
      </c>
      <c r="Z41">
        <v>2454450</v>
      </c>
      <c r="AA41" s="749">
        <v>94.420338568722116</v>
      </c>
    </row>
  </sheetData>
  <autoFilter ref="A1:W41" xr:uid="{8D8AE8A1-909A-644D-BA11-E7674007DD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BEE5-B935-1B45-A8DE-16542380869D}">
  <dimension ref="A1:AA17"/>
  <sheetViews>
    <sheetView workbookViewId="0">
      <pane ySplit="1" topLeftCell="A2" activePane="bottomLeft" state="frozen"/>
      <selection pane="bottomLeft" activeCell="Z24" sqref="Z24"/>
    </sheetView>
  </sheetViews>
  <sheetFormatPr defaultColWidth="10.796875" defaultRowHeight="15.6" x14ac:dyDescent="0.3"/>
  <cols>
    <col min="1" max="1" width="10.5" style="697" bestFit="1" customWidth="1"/>
    <col min="2" max="2" width="14.5" style="697" bestFit="1" customWidth="1"/>
    <col min="3" max="3" width="15.5" style="697" bestFit="1" customWidth="1"/>
    <col min="4" max="4" width="8.19921875" style="697" bestFit="1" customWidth="1"/>
    <col min="5" max="5" width="8.69921875" style="697" bestFit="1" customWidth="1"/>
    <col min="6" max="6" width="17.19921875" style="697" customWidth="1"/>
    <col min="7" max="7" width="18" style="697" customWidth="1"/>
    <col min="8" max="8" width="0" style="697" hidden="1" customWidth="1"/>
    <col min="9" max="9" width="18.5" style="697" bestFit="1" customWidth="1"/>
    <col min="10" max="10" width="11.796875" style="697" hidden="1" customWidth="1"/>
    <col min="11" max="11" width="11.5" style="697" hidden="1" customWidth="1"/>
    <col min="12" max="12" width="11.296875" style="697" hidden="1" customWidth="1"/>
    <col min="13" max="13" width="14.69921875" style="697" hidden="1" customWidth="1"/>
    <col min="14" max="14" width="14.19921875" style="697" hidden="1" customWidth="1"/>
    <col min="15" max="15" width="13.69921875" style="697" bestFit="1" customWidth="1"/>
    <col min="16" max="16" width="14.5" style="697" hidden="1" customWidth="1"/>
    <col min="17" max="17" width="15.796875" style="697" hidden="1" customWidth="1"/>
    <col min="18" max="18" width="12.796875" style="697" hidden="1" customWidth="1"/>
    <col min="19" max="19" width="0.19921875" style="697" customWidth="1"/>
    <col min="20" max="20" width="14.296875" style="697" bestFit="1" customWidth="1"/>
    <col min="21" max="22" width="20.796875" style="697" customWidth="1"/>
    <col min="23" max="23" width="12.19921875" style="721" customWidth="1"/>
    <col min="24" max="26" width="10.796875" style="697"/>
    <col min="27" max="27" width="11.69921875" style="697" bestFit="1" customWidth="1"/>
    <col min="28" max="16384" width="10.796875" style="697"/>
  </cols>
  <sheetData>
    <row r="1" spans="1:27" ht="42" customHeight="1" thickBot="1" x14ac:dyDescent="0.35">
      <c r="A1" s="698" t="s">
        <v>3</v>
      </c>
      <c r="B1" s="699" t="s">
        <v>579</v>
      </c>
      <c r="C1" s="700" t="s">
        <v>578</v>
      </c>
      <c r="D1" s="700" t="s">
        <v>489</v>
      </c>
      <c r="E1" s="700" t="s">
        <v>492</v>
      </c>
      <c r="F1" s="700" t="s">
        <v>580</v>
      </c>
      <c r="G1" s="700" t="s">
        <v>494</v>
      </c>
      <c r="H1" s="700" t="s">
        <v>772</v>
      </c>
      <c r="I1" s="700" t="s">
        <v>516</v>
      </c>
      <c r="J1" s="700" t="s">
        <v>594</v>
      </c>
      <c r="K1" s="700" t="s">
        <v>513</v>
      </c>
      <c r="L1" s="700" t="s">
        <v>493</v>
      </c>
      <c r="M1" s="700" t="s">
        <v>582</v>
      </c>
      <c r="N1" s="701" t="s">
        <v>540</v>
      </c>
      <c r="O1" s="702" t="s">
        <v>490</v>
      </c>
      <c r="P1" s="702" t="s">
        <v>590</v>
      </c>
      <c r="Q1" s="701" t="s">
        <v>591</v>
      </c>
      <c r="R1" s="701" t="s">
        <v>592</v>
      </c>
      <c r="S1" s="702" t="s">
        <v>600</v>
      </c>
      <c r="T1" s="702" t="s">
        <v>604</v>
      </c>
      <c r="U1" s="702" t="s">
        <v>605</v>
      </c>
      <c r="V1" s="702" t="s">
        <v>773</v>
      </c>
      <c r="W1" s="701" t="s">
        <v>757</v>
      </c>
      <c r="X1" s="768" t="s">
        <v>837</v>
      </c>
      <c r="Y1" s="769" t="s">
        <v>829</v>
      </c>
      <c r="Z1" s="770" t="s">
        <v>841</v>
      </c>
      <c r="AA1" s="769" t="s">
        <v>757</v>
      </c>
    </row>
    <row r="2" spans="1:27" x14ac:dyDescent="0.3">
      <c r="A2" s="635">
        <v>45295</v>
      </c>
      <c r="B2" s="636">
        <v>281</v>
      </c>
      <c r="C2" s="716" t="s">
        <v>548</v>
      </c>
      <c r="D2" s="637" t="s">
        <v>552</v>
      </c>
      <c r="E2" s="638" t="s">
        <v>555</v>
      </c>
      <c r="F2" s="639" t="s">
        <v>279</v>
      </c>
      <c r="G2" s="717" t="s">
        <v>1</v>
      </c>
      <c r="H2" s="638" t="s">
        <v>532</v>
      </c>
      <c r="I2" s="638" t="s">
        <v>608</v>
      </c>
      <c r="J2" s="638" t="s">
        <v>531</v>
      </c>
      <c r="K2" s="638" t="s">
        <v>570</v>
      </c>
      <c r="L2" s="638" t="s">
        <v>573</v>
      </c>
      <c r="M2" s="638" t="s">
        <v>519</v>
      </c>
      <c r="N2" s="644">
        <v>25</v>
      </c>
      <c r="O2" s="642">
        <v>200000</v>
      </c>
      <c r="P2" s="643">
        <v>2842.7820448458933</v>
      </c>
      <c r="Q2" s="644">
        <v>50</v>
      </c>
      <c r="R2" s="644">
        <v>2</v>
      </c>
      <c r="S2" s="643">
        <v>1.9330917904952075E-3</v>
      </c>
      <c r="T2" s="643">
        <v>2660.9048895159017</v>
      </c>
      <c r="U2" s="638">
        <v>66522.622237897551</v>
      </c>
      <c r="V2" s="638" t="s">
        <v>0</v>
      </c>
      <c r="W2" s="714">
        <f t="shared" ref="W2:W9" si="0">(U2/AVERAGE($U$10:$U$17)*100)</f>
        <v>0.38733021913785898</v>
      </c>
      <c r="X2" t="s">
        <v>279</v>
      </c>
      <c r="Y2">
        <v>17569</v>
      </c>
      <c r="Z2">
        <v>2454450</v>
      </c>
      <c r="AA2" s="767">
        <v>0.71580191081505018</v>
      </c>
    </row>
    <row r="3" spans="1:27" x14ac:dyDescent="0.3">
      <c r="A3" s="616">
        <v>45295</v>
      </c>
      <c r="B3" s="617">
        <v>282</v>
      </c>
      <c r="C3" s="718" t="s">
        <v>548</v>
      </c>
      <c r="D3" s="618" t="s">
        <v>552</v>
      </c>
      <c r="E3" s="589" t="s">
        <v>555</v>
      </c>
      <c r="F3" s="619" t="s">
        <v>280</v>
      </c>
      <c r="G3" s="719" t="s">
        <v>1</v>
      </c>
      <c r="H3" s="589" t="s">
        <v>532</v>
      </c>
      <c r="I3" s="658" t="s">
        <v>608</v>
      </c>
      <c r="J3" s="658" t="s">
        <v>531</v>
      </c>
      <c r="K3" s="589" t="s">
        <v>570</v>
      </c>
      <c r="L3" s="589" t="s">
        <v>574</v>
      </c>
      <c r="M3" s="589" t="s">
        <v>519</v>
      </c>
      <c r="N3" s="593">
        <v>25</v>
      </c>
      <c r="O3" s="599">
        <v>200000</v>
      </c>
      <c r="P3" s="595">
        <v>2120.9607263672647</v>
      </c>
      <c r="Q3" s="593">
        <v>50</v>
      </c>
      <c r="R3" s="593">
        <v>2</v>
      </c>
      <c r="S3" s="595">
        <v>1.44225329392974E-3</v>
      </c>
      <c r="T3" s="595">
        <v>1985.264673207754</v>
      </c>
      <c r="U3" s="589">
        <v>49631.616830193852</v>
      </c>
      <c r="V3" s="589" t="s">
        <v>0</v>
      </c>
      <c r="W3" s="709">
        <f t="shared" si="0"/>
        <v>0.28898176855171431</v>
      </c>
      <c r="X3" t="s">
        <v>280</v>
      </c>
      <c r="Y3">
        <v>6693.0000000000009</v>
      </c>
      <c r="Z3">
        <v>2454450</v>
      </c>
      <c r="AA3" s="767">
        <v>0.27268838232597942</v>
      </c>
    </row>
    <row r="4" spans="1:27" x14ac:dyDescent="0.3">
      <c r="A4" s="616">
        <v>45295</v>
      </c>
      <c r="B4" s="617">
        <v>283</v>
      </c>
      <c r="C4" s="718" t="s">
        <v>548</v>
      </c>
      <c r="D4" s="618" t="s">
        <v>552</v>
      </c>
      <c r="E4" s="589" t="s">
        <v>555</v>
      </c>
      <c r="F4" s="619" t="s">
        <v>281</v>
      </c>
      <c r="G4" s="719" t="s">
        <v>1</v>
      </c>
      <c r="H4" s="589" t="s">
        <v>532</v>
      </c>
      <c r="I4" s="658" t="s">
        <v>608</v>
      </c>
      <c r="J4" s="658" t="s">
        <v>531</v>
      </c>
      <c r="K4" s="589" t="s">
        <v>570</v>
      </c>
      <c r="L4" s="589" t="s">
        <v>503</v>
      </c>
      <c r="M4" s="589" t="s">
        <v>519</v>
      </c>
      <c r="N4" s="593">
        <v>25</v>
      </c>
      <c r="O4" s="599">
        <v>200000</v>
      </c>
      <c r="P4" s="595">
        <v>8198.0845842436574</v>
      </c>
      <c r="Q4" s="593">
        <v>50</v>
      </c>
      <c r="R4" s="593">
        <v>2</v>
      </c>
      <c r="S4" s="595">
        <v>5.5746975172856874E-3</v>
      </c>
      <c r="T4" s="595">
        <v>7673.5827829042864</v>
      </c>
      <c r="U4" s="589">
        <v>191839.56957260714</v>
      </c>
      <c r="V4" s="589" t="s">
        <v>0</v>
      </c>
      <c r="W4" s="709">
        <f t="shared" si="0"/>
        <v>1.1169923857802946</v>
      </c>
      <c r="X4" t="s">
        <v>281</v>
      </c>
      <c r="Y4">
        <v>17739</v>
      </c>
      <c r="Z4">
        <v>2454450</v>
      </c>
      <c r="AA4" s="767">
        <v>0.72272810609301474</v>
      </c>
    </row>
    <row r="5" spans="1:27" x14ac:dyDescent="0.3">
      <c r="A5" s="616">
        <v>45295</v>
      </c>
      <c r="B5" s="617">
        <v>284</v>
      </c>
      <c r="C5" s="718" t="s">
        <v>548</v>
      </c>
      <c r="D5" s="618" t="s">
        <v>552</v>
      </c>
      <c r="E5" s="589" t="s">
        <v>555</v>
      </c>
      <c r="F5" s="619" t="s">
        <v>282</v>
      </c>
      <c r="G5" s="719" t="s">
        <v>1</v>
      </c>
      <c r="H5" s="589" t="s">
        <v>532</v>
      </c>
      <c r="I5" s="658" t="s">
        <v>608</v>
      </c>
      <c r="J5" s="658" t="s">
        <v>531</v>
      </c>
      <c r="K5" s="589" t="s">
        <v>570</v>
      </c>
      <c r="L5" s="589" t="s">
        <v>575</v>
      </c>
      <c r="M5" s="589" t="s">
        <v>519</v>
      </c>
      <c r="N5" s="593">
        <v>25</v>
      </c>
      <c r="O5" s="599">
        <v>200000</v>
      </c>
      <c r="P5" s="595">
        <v>4340.5499865184402</v>
      </c>
      <c r="Q5" s="593">
        <v>50</v>
      </c>
      <c r="R5" s="593">
        <v>2</v>
      </c>
      <c r="S5" s="595">
        <v>2.9515739908325396E-3</v>
      </c>
      <c r="T5" s="595">
        <v>4062.847766769687</v>
      </c>
      <c r="U5" s="589">
        <v>101571.19416924217</v>
      </c>
      <c r="V5" s="589" t="s">
        <v>0</v>
      </c>
      <c r="W5" s="709">
        <f t="shared" si="0"/>
        <v>0.59140171526873331</v>
      </c>
      <c r="X5" t="s">
        <v>282</v>
      </c>
      <c r="Y5">
        <v>28670</v>
      </c>
      <c r="Z5">
        <v>2454450</v>
      </c>
      <c r="AA5" s="767">
        <v>1.168082462466133</v>
      </c>
    </row>
    <row r="6" spans="1:27" x14ac:dyDescent="0.3">
      <c r="A6" s="616">
        <v>45295</v>
      </c>
      <c r="B6" s="617">
        <v>285</v>
      </c>
      <c r="C6" s="718" t="s">
        <v>548</v>
      </c>
      <c r="D6" s="618" t="s">
        <v>552</v>
      </c>
      <c r="E6" s="589" t="s">
        <v>555</v>
      </c>
      <c r="F6" s="619" t="s">
        <v>283</v>
      </c>
      <c r="G6" s="720" t="s">
        <v>2</v>
      </c>
      <c r="H6" s="589" t="s">
        <v>532</v>
      </c>
      <c r="I6" s="658" t="s">
        <v>608</v>
      </c>
      <c r="J6" s="658" t="s">
        <v>531</v>
      </c>
      <c r="K6" s="589" t="s">
        <v>570</v>
      </c>
      <c r="L6" s="589" t="s">
        <v>573</v>
      </c>
      <c r="M6" s="589" t="s">
        <v>519</v>
      </c>
      <c r="N6" s="593">
        <v>25</v>
      </c>
      <c r="O6" s="599">
        <v>200000</v>
      </c>
      <c r="P6" s="595">
        <v>112597.34137930653</v>
      </c>
      <c r="Q6" s="593">
        <v>50</v>
      </c>
      <c r="R6" s="593">
        <v>2</v>
      </c>
      <c r="S6" s="595">
        <v>7.6566192137928438E-2</v>
      </c>
      <c r="T6" s="595">
        <v>105393.52349079923</v>
      </c>
      <c r="U6" s="589">
        <v>2634838.0872699809</v>
      </c>
      <c r="V6" s="589" t="s">
        <v>0</v>
      </c>
      <c r="W6" s="709">
        <f t="shared" si="0"/>
        <v>15.341433927324291</v>
      </c>
      <c r="X6" t="s">
        <v>283</v>
      </c>
      <c r="Y6">
        <v>813880</v>
      </c>
      <c r="Z6">
        <v>2454450</v>
      </c>
      <c r="AA6" s="767">
        <v>33.15936360488093</v>
      </c>
    </row>
    <row r="7" spans="1:27" x14ac:dyDescent="0.3">
      <c r="A7" s="616">
        <v>45295</v>
      </c>
      <c r="B7" s="617">
        <v>286</v>
      </c>
      <c r="C7" s="718" t="s">
        <v>548</v>
      </c>
      <c r="D7" s="618" t="s">
        <v>552</v>
      </c>
      <c r="E7" s="589" t="s">
        <v>555</v>
      </c>
      <c r="F7" s="619" t="s">
        <v>284</v>
      </c>
      <c r="G7" s="720" t="s">
        <v>2</v>
      </c>
      <c r="H7" s="589" t="s">
        <v>532</v>
      </c>
      <c r="I7" s="658" t="s">
        <v>608</v>
      </c>
      <c r="J7" s="658" t="s">
        <v>531</v>
      </c>
      <c r="K7" s="589" t="s">
        <v>570</v>
      </c>
      <c r="L7" s="589" t="s">
        <v>574</v>
      </c>
      <c r="M7" s="589" t="s">
        <v>519</v>
      </c>
      <c r="N7" s="593">
        <v>25</v>
      </c>
      <c r="O7" s="599">
        <v>200000</v>
      </c>
      <c r="P7" s="595">
        <v>11324.042360114414</v>
      </c>
      <c r="Q7" s="593">
        <v>50</v>
      </c>
      <c r="R7" s="593">
        <v>2</v>
      </c>
      <c r="S7" s="595">
        <v>7.7003488048778016E-3</v>
      </c>
      <c r="T7" s="595">
        <v>10599.546222597271</v>
      </c>
      <c r="U7" s="589">
        <v>264988.6555649318</v>
      </c>
      <c r="V7" s="589" t="s">
        <v>0</v>
      </c>
      <c r="W7" s="709">
        <f t="shared" si="0"/>
        <v>1.5429054143710428</v>
      </c>
      <c r="X7" t="s">
        <v>284</v>
      </c>
      <c r="Y7">
        <v>50690</v>
      </c>
      <c r="Z7">
        <v>2454450</v>
      </c>
      <c r="AA7" s="767">
        <v>2.0652284625883599</v>
      </c>
    </row>
    <row r="8" spans="1:27" x14ac:dyDescent="0.3">
      <c r="A8" s="616">
        <v>45295</v>
      </c>
      <c r="B8" s="617">
        <v>287</v>
      </c>
      <c r="C8" s="718" t="s">
        <v>548</v>
      </c>
      <c r="D8" s="618" t="s">
        <v>552</v>
      </c>
      <c r="E8" s="589" t="s">
        <v>555</v>
      </c>
      <c r="F8" s="619" t="s">
        <v>285</v>
      </c>
      <c r="G8" s="720" t="s">
        <v>2</v>
      </c>
      <c r="H8" s="589" t="s">
        <v>532</v>
      </c>
      <c r="I8" s="658" t="s">
        <v>608</v>
      </c>
      <c r="J8" s="658" t="s">
        <v>531</v>
      </c>
      <c r="K8" s="589" t="s">
        <v>570</v>
      </c>
      <c r="L8" s="589" t="s">
        <v>503</v>
      </c>
      <c r="M8" s="589" t="s">
        <v>519</v>
      </c>
      <c r="N8" s="593">
        <v>25</v>
      </c>
      <c r="O8" s="599">
        <v>200000</v>
      </c>
      <c r="P8" s="595">
        <v>98492.666065809506</v>
      </c>
      <c r="Q8" s="593">
        <v>50</v>
      </c>
      <c r="R8" s="593">
        <v>2</v>
      </c>
      <c r="S8" s="595">
        <v>6.6975012924750471E-2</v>
      </c>
      <c r="T8" s="595">
        <v>92191.245259598072</v>
      </c>
      <c r="U8" s="589">
        <v>2304781.1314899521</v>
      </c>
      <c r="V8" s="589" t="s">
        <v>0</v>
      </c>
      <c r="W8" s="709">
        <f t="shared" si="0"/>
        <v>13.419666133008107</v>
      </c>
      <c r="X8" t="s">
        <v>285</v>
      </c>
      <c r="Y8">
        <v>277750</v>
      </c>
      <c r="Z8">
        <v>2454450</v>
      </c>
      <c r="AA8" s="767">
        <v>11.316180814439079</v>
      </c>
    </row>
    <row r="9" spans="1:27" x14ac:dyDescent="0.3">
      <c r="A9" s="616">
        <v>45295</v>
      </c>
      <c r="B9" s="617">
        <v>288</v>
      </c>
      <c r="C9" s="718" t="s">
        <v>548</v>
      </c>
      <c r="D9" s="618" t="s">
        <v>552</v>
      </c>
      <c r="E9" s="589" t="s">
        <v>555</v>
      </c>
      <c r="F9" s="619" t="s">
        <v>286</v>
      </c>
      <c r="G9" s="720" t="s">
        <v>2</v>
      </c>
      <c r="H9" s="589" t="s">
        <v>532</v>
      </c>
      <c r="I9" s="658" t="s">
        <v>608</v>
      </c>
      <c r="J9" s="658" t="s">
        <v>531</v>
      </c>
      <c r="K9" s="589" t="s">
        <v>570</v>
      </c>
      <c r="L9" s="589" t="s">
        <v>575</v>
      </c>
      <c r="M9" s="589" t="s">
        <v>519</v>
      </c>
      <c r="N9" s="593">
        <v>25</v>
      </c>
      <c r="O9" s="599">
        <v>200000</v>
      </c>
      <c r="P9" s="595">
        <v>157860.23074308518</v>
      </c>
      <c r="Q9" s="593">
        <v>50</v>
      </c>
      <c r="R9" s="593">
        <v>2</v>
      </c>
      <c r="S9" s="595">
        <v>0.10734495690529793</v>
      </c>
      <c r="T9" s="595">
        <v>147760.55751652067</v>
      </c>
      <c r="U9" s="589">
        <v>3694013.9379130164</v>
      </c>
      <c r="V9" s="589" t="s">
        <v>0</v>
      </c>
      <c r="W9" s="709">
        <f t="shared" si="0"/>
        <v>21.508521160716267</v>
      </c>
      <c r="X9" t="s">
        <v>286</v>
      </c>
      <c r="Y9">
        <v>428450</v>
      </c>
      <c r="Z9">
        <v>2454450</v>
      </c>
      <c r="AA9" s="767">
        <v>17.4560492167288</v>
      </c>
    </row>
    <row r="10" spans="1:27" x14ac:dyDescent="0.3">
      <c r="A10" s="616">
        <v>45295</v>
      </c>
      <c r="B10" s="617">
        <v>297</v>
      </c>
      <c r="C10" s="718" t="s">
        <v>548</v>
      </c>
      <c r="D10" s="618" t="s">
        <v>552</v>
      </c>
      <c r="E10" s="589" t="s">
        <v>555</v>
      </c>
      <c r="F10" s="619" t="s">
        <v>295</v>
      </c>
      <c r="G10" s="620" t="s">
        <v>0</v>
      </c>
      <c r="H10" s="589" t="s">
        <v>531</v>
      </c>
      <c r="I10" s="722" t="s">
        <v>593</v>
      </c>
      <c r="J10" s="589" t="s">
        <v>531</v>
      </c>
      <c r="K10" s="589" t="s">
        <v>570</v>
      </c>
      <c r="L10" s="589" t="s">
        <v>573</v>
      </c>
      <c r="M10" s="589" t="s">
        <v>519</v>
      </c>
      <c r="N10" s="593" t="s">
        <v>0</v>
      </c>
      <c r="O10" s="599">
        <v>200000</v>
      </c>
      <c r="P10" s="595">
        <v>868237.14609074581</v>
      </c>
      <c r="Q10" s="593">
        <v>50</v>
      </c>
      <c r="R10" s="593">
        <v>2</v>
      </c>
      <c r="S10" s="595">
        <v>0.59040125934170717</v>
      </c>
      <c r="T10" s="595">
        <v>812688.56734229124</v>
      </c>
      <c r="U10" s="589">
        <v>20317214.183557279</v>
      </c>
      <c r="V10" s="589" t="s">
        <v>0</v>
      </c>
      <c r="W10" s="709" t="s">
        <v>0</v>
      </c>
      <c r="X10" t="s">
        <v>295</v>
      </c>
      <c r="Y10">
        <v>1266900</v>
      </c>
      <c r="Z10">
        <v>2454450</v>
      </c>
      <c r="AA10" s="749">
        <v>51.616451750901426</v>
      </c>
    </row>
    <row r="11" spans="1:27" x14ac:dyDescent="0.3">
      <c r="A11" s="616">
        <v>45295</v>
      </c>
      <c r="B11" s="617">
        <v>298</v>
      </c>
      <c r="C11" s="718" t="s">
        <v>548</v>
      </c>
      <c r="D11" s="618" t="s">
        <v>552</v>
      </c>
      <c r="E11" s="589" t="s">
        <v>555</v>
      </c>
      <c r="F11" s="619" t="s">
        <v>296</v>
      </c>
      <c r="G11" s="620" t="s">
        <v>0</v>
      </c>
      <c r="H11" s="589" t="s">
        <v>531</v>
      </c>
      <c r="I11" s="722" t="s">
        <v>593</v>
      </c>
      <c r="J11" s="589" t="s">
        <v>531</v>
      </c>
      <c r="K11" s="589" t="s">
        <v>570</v>
      </c>
      <c r="L11" s="589" t="s">
        <v>574</v>
      </c>
      <c r="M11" s="589" t="s">
        <v>519</v>
      </c>
      <c r="N11" s="593" t="s">
        <v>0</v>
      </c>
      <c r="O11" s="599">
        <v>200000</v>
      </c>
      <c r="P11" s="595">
        <v>688956.17921536986</v>
      </c>
      <c r="Q11" s="593">
        <v>50</v>
      </c>
      <c r="R11" s="593">
        <v>2</v>
      </c>
      <c r="S11" s="595">
        <v>0.46849020186645152</v>
      </c>
      <c r="T11" s="595">
        <v>644877.74195005221</v>
      </c>
      <c r="U11" s="589">
        <v>16121943.548751306</v>
      </c>
      <c r="V11" s="589" t="s">
        <v>0</v>
      </c>
      <c r="W11" s="709" t="s">
        <v>0</v>
      </c>
      <c r="X11" t="s">
        <v>296</v>
      </c>
      <c r="Y11">
        <v>1034100</v>
      </c>
      <c r="Z11">
        <v>2454450</v>
      </c>
      <c r="AA11" s="749">
        <v>42.131638452606488</v>
      </c>
    </row>
    <row r="12" spans="1:27" x14ac:dyDescent="0.3">
      <c r="A12" s="616">
        <v>45295</v>
      </c>
      <c r="B12" s="617">
        <v>299</v>
      </c>
      <c r="C12" s="718" t="s">
        <v>548</v>
      </c>
      <c r="D12" s="618" t="s">
        <v>552</v>
      </c>
      <c r="E12" s="589" t="s">
        <v>555</v>
      </c>
      <c r="F12" s="619" t="s">
        <v>297</v>
      </c>
      <c r="G12" s="620" t="s">
        <v>0</v>
      </c>
      <c r="H12" s="589" t="s">
        <v>531</v>
      </c>
      <c r="I12" s="722" t="s">
        <v>593</v>
      </c>
      <c r="J12" s="589" t="s">
        <v>531</v>
      </c>
      <c r="K12" s="589" t="s">
        <v>570</v>
      </c>
      <c r="L12" s="589" t="s">
        <v>503</v>
      </c>
      <c r="M12" s="589" t="s">
        <v>519</v>
      </c>
      <c r="N12" s="593" t="s">
        <v>0</v>
      </c>
      <c r="O12" s="599">
        <v>200000</v>
      </c>
      <c r="P12" s="595">
        <v>337772.76029995689</v>
      </c>
      <c r="Q12" s="593">
        <v>50</v>
      </c>
      <c r="R12" s="593">
        <v>2</v>
      </c>
      <c r="S12" s="595">
        <v>0.22968547700397068</v>
      </c>
      <c r="T12" s="595">
        <v>316162.53910741187</v>
      </c>
      <c r="U12" s="589">
        <v>7904063.477685296</v>
      </c>
      <c r="V12" s="589" t="s">
        <v>0</v>
      </c>
      <c r="W12" s="709" t="s">
        <v>0</v>
      </c>
      <c r="X12" t="s">
        <v>297</v>
      </c>
      <c r="Y12">
        <v>580200</v>
      </c>
      <c r="Z12">
        <v>2454450</v>
      </c>
      <c r="AA12" s="749">
        <v>23.638697060441238</v>
      </c>
    </row>
    <row r="13" spans="1:27" x14ac:dyDescent="0.3">
      <c r="A13" s="616">
        <v>45295</v>
      </c>
      <c r="B13" s="617">
        <v>300</v>
      </c>
      <c r="C13" s="718" t="s">
        <v>548</v>
      </c>
      <c r="D13" s="618" t="s">
        <v>552</v>
      </c>
      <c r="E13" s="589" t="s">
        <v>555</v>
      </c>
      <c r="F13" s="619" t="s">
        <v>298</v>
      </c>
      <c r="G13" s="620" t="s">
        <v>0</v>
      </c>
      <c r="H13" s="589" t="s">
        <v>531</v>
      </c>
      <c r="I13" s="722" t="s">
        <v>593</v>
      </c>
      <c r="J13" s="589" t="s">
        <v>531</v>
      </c>
      <c r="K13" s="589" t="s">
        <v>570</v>
      </c>
      <c r="L13" s="589" t="s">
        <v>575</v>
      </c>
      <c r="M13" s="589" t="s">
        <v>519</v>
      </c>
      <c r="N13" s="593" t="s">
        <v>0</v>
      </c>
      <c r="O13" s="599">
        <v>200000</v>
      </c>
      <c r="P13" s="595">
        <v>705534.22574553813</v>
      </c>
      <c r="Q13" s="593">
        <v>50</v>
      </c>
      <c r="R13" s="593">
        <v>2</v>
      </c>
      <c r="S13" s="595">
        <v>0.47976327350696596</v>
      </c>
      <c r="T13" s="595">
        <v>660395.14862240863</v>
      </c>
      <c r="U13" s="589">
        <v>16509878.715560218</v>
      </c>
      <c r="V13" s="589" t="s">
        <v>0</v>
      </c>
      <c r="W13" s="709" t="s">
        <v>0</v>
      </c>
      <c r="X13" t="s">
        <v>298</v>
      </c>
      <c r="Y13">
        <v>1538400</v>
      </c>
      <c r="Z13">
        <v>2454450</v>
      </c>
      <c r="AA13" s="749">
        <v>62.677993033062393</v>
      </c>
    </row>
    <row r="14" spans="1:27" x14ac:dyDescent="0.3">
      <c r="A14" s="616">
        <v>45295</v>
      </c>
      <c r="B14" s="617">
        <v>301</v>
      </c>
      <c r="C14" s="718" t="s">
        <v>548</v>
      </c>
      <c r="D14" s="618" t="s">
        <v>552</v>
      </c>
      <c r="E14" s="589" t="s">
        <v>555</v>
      </c>
      <c r="F14" s="619" t="s">
        <v>299</v>
      </c>
      <c r="G14" s="620" t="s">
        <v>0</v>
      </c>
      <c r="H14" s="589" t="s">
        <v>531</v>
      </c>
      <c r="I14" s="722" t="s">
        <v>593</v>
      </c>
      <c r="J14" s="589" t="s">
        <v>531</v>
      </c>
      <c r="K14" s="589" t="s">
        <v>570</v>
      </c>
      <c r="L14" s="589" t="s">
        <v>573</v>
      </c>
      <c r="M14" s="589" t="s">
        <v>519</v>
      </c>
      <c r="N14" s="593" t="s">
        <v>0</v>
      </c>
      <c r="O14" s="599">
        <v>200000</v>
      </c>
      <c r="P14" s="595">
        <v>738533.23027293407</v>
      </c>
      <c r="Q14" s="593">
        <v>50</v>
      </c>
      <c r="R14" s="593">
        <v>2</v>
      </c>
      <c r="S14" s="595">
        <v>0.50220259658559518</v>
      </c>
      <c r="T14" s="595">
        <v>691282.92373527889</v>
      </c>
      <c r="U14" s="589">
        <v>17282073.093381971</v>
      </c>
      <c r="V14" s="589" t="s">
        <v>0</v>
      </c>
      <c r="W14" s="709" t="s">
        <v>0</v>
      </c>
      <c r="X14" t="s">
        <v>299</v>
      </c>
      <c r="Y14">
        <v>3264900</v>
      </c>
      <c r="Z14">
        <v>2454450</v>
      </c>
      <c r="AA14" s="749">
        <v>133.01961742956669</v>
      </c>
    </row>
    <row r="15" spans="1:27" x14ac:dyDescent="0.3">
      <c r="A15" s="616">
        <v>45295</v>
      </c>
      <c r="B15" s="617">
        <v>302</v>
      </c>
      <c r="C15" s="718" t="s">
        <v>548</v>
      </c>
      <c r="D15" s="618" t="s">
        <v>552</v>
      </c>
      <c r="E15" s="589" t="s">
        <v>555</v>
      </c>
      <c r="F15" s="619" t="s">
        <v>300</v>
      </c>
      <c r="G15" s="620" t="s">
        <v>0</v>
      </c>
      <c r="H15" s="589" t="s">
        <v>531</v>
      </c>
      <c r="I15" s="722" t="s">
        <v>593</v>
      </c>
      <c r="J15" s="589" t="s">
        <v>531</v>
      </c>
      <c r="K15" s="589" t="s">
        <v>570</v>
      </c>
      <c r="L15" s="589" t="s">
        <v>574</v>
      </c>
      <c r="M15" s="589" t="s">
        <v>519</v>
      </c>
      <c r="N15" s="593" t="s">
        <v>0</v>
      </c>
      <c r="O15" s="599">
        <v>200000</v>
      </c>
      <c r="P15" s="595">
        <v>988111.85551523883</v>
      </c>
      <c r="Q15" s="593">
        <v>50</v>
      </c>
      <c r="R15" s="593">
        <v>2</v>
      </c>
      <c r="S15" s="595">
        <v>0.67191606175036245</v>
      </c>
      <c r="T15" s="595">
        <v>924893.86321266927</v>
      </c>
      <c r="U15" s="589">
        <v>23122346.58031673</v>
      </c>
      <c r="V15" s="589" t="s">
        <v>0</v>
      </c>
      <c r="W15" s="709" t="s">
        <v>0</v>
      </c>
      <c r="X15" t="s">
        <v>300</v>
      </c>
      <c r="Y15">
        <v>7305300</v>
      </c>
      <c r="Z15">
        <v>2454450</v>
      </c>
      <c r="AA15" s="749">
        <v>297.63490802420097</v>
      </c>
    </row>
    <row r="16" spans="1:27" x14ac:dyDescent="0.3">
      <c r="A16" s="616">
        <v>45295</v>
      </c>
      <c r="B16" s="617">
        <v>303</v>
      </c>
      <c r="C16" s="718" t="s">
        <v>548</v>
      </c>
      <c r="D16" s="618" t="s">
        <v>552</v>
      </c>
      <c r="E16" s="589" t="s">
        <v>555</v>
      </c>
      <c r="F16" s="619" t="s">
        <v>301</v>
      </c>
      <c r="G16" s="620" t="s">
        <v>0</v>
      </c>
      <c r="H16" s="589" t="s">
        <v>531</v>
      </c>
      <c r="I16" s="722" t="s">
        <v>593</v>
      </c>
      <c r="J16" s="589" t="s">
        <v>531</v>
      </c>
      <c r="K16" s="589" t="s">
        <v>570</v>
      </c>
      <c r="L16" s="589" t="s">
        <v>503</v>
      </c>
      <c r="M16" s="589" t="s">
        <v>519</v>
      </c>
      <c r="N16" s="593" t="s">
        <v>0</v>
      </c>
      <c r="O16" s="599">
        <v>200000</v>
      </c>
      <c r="P16" s="595">
        <v>922147.26390670007</v>
      </c>
      <c r="Q16" s="593">
        <v>50</v>
      </c>
      <c r="R16" s="593">
        <v>2</v>
      </c>
      <c r="S16" s="595">
        <v>0.62706013945655603</v>
      </c>
      <c r="T16" s="595">
        <v>863149.5924324604</v>
      </c>
      <c r="U16" s="589">
        <v>21578739.810811505</v>
      </c>
      <c r="V16" s="589" t="s">
        <v>0</v>
      </c>
      <c r="W16" s="709" t="s">
        <v>0</v>
      </c>
      <c r="X16" t="s">
        <v>301</v>
      </c>
      <c r="Y16">
        <v>2328300</v>
      </c>
      <c r="Z16">
        <v>2454450</v>
      </c>
      <c r="AA16" s="749">
        <v>94.860355680498685</v>
      </c>
    </row>
    <row r="17" spans="1:27" ht="16.2" thickBot="1" x14ac:dyDescent="0.35">
      <c r="A17" s="622">
        <v>45295</v>
      </c>
      <c r="B17" s="623">
        <v>304</v>
      </c>
      <c r="C17" s="731" t="s">
        <v>548</v>
      </c>
      <c r="D17" s="624" t="s">
        <v>552</v>
      </c>
      <c r="E17" s="625" t="s">
        <v>555</v>
      </c>
      <c r="F17" s="626" t="s">
        <v>302</v>
      </c>
      <c r="G17" s="627" t="s">
        <v>0</v>
      </c>
      <c r="H17" s="625" t="s">
        <v>531</v>
      </c>
      <c r="I17" s="732" t="s">
        <v>593</v>
      </c>
      <c r="J17" s="625" t="s">
        <v>531</v>
      </c>
      <c r="K17" s="625" t="s">
        <v>570</v>
      </c>
      <c r="L17" s="625" t="s">
        <v>575</v>
      </c>
      <c r="M17" s="625" t="s">
        <v>519</v>
      </c>
      <c r="N17" s="631" t="s">
        <v>0</v>
      </c>
      <c r="O17" s="715">
        <v>200000</v>
      </c>
      <c r="P17" s="632">
        <v>622249.30368534639</v>
      </c>
      <c r="Q17" s="631">
        <v>50</v>
      </c>
      <c r="R17" s="631">
        <v>2</v>
      </c>
      <c r="S17" s="632">
        <v>0.42312952650603558</v>
      </c>
      <c r="T17" s="632">
        <v>582438.67751879001</v>
      </c>
      <c r="U17" s="625">
        <v>14560966.93796975</v>
      </c>
      <c r="V17" s="625" t="s">
        <v>0</v>
      </c>
      <c r="W17" s="712" t="s">
        <v>0</v>
      </c>
      <c r="X17" t="s">
        <v>302</v>
      </c>
      <c r="Y17">
        <v>2317500</v>
      </c>
      <c r="Z17">
        <v>2454450</v>
      </c>
      <c r="AA17" s="749">
        <v>94.420338568722116</v>
      </c>
    </row>
  </sheetData>
  <autoFilter ref="A1:W17" xr:uid="{8D8AE8A1-909A-644D-BA11-E7674007DD5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9AD6-18BC-0F48-8B3E-9A435407622B}">
  <dimension ref="A1:AF89"/>
  <sheetViews>
    <sheetView topLeftCell="S1" workbookViewId="0">
      <selection activeCell="AF9" sqref="AF9"/>
    </sheetView>
  </sheetViews>
  <sheetFormatPr defaultColWidth="11.19921875" defaultRowHeight="15.6" x14ac:dyDescent="0.3"/>
  <cols>
    <col min="1" max="1" width="10.5" bestFit="1" customWidth="1"/>
    <col min="2" max="2" width="14.5" bestFit="1" customWidth="1"/>
    <col min="3" max="3" width="15.19921875" customWidth="1"/>
    <col min="5" max="5" width="18.19921875" customWidth="1"/>
    <col min="6" max="6" width="18.796875" customWidth="1"/>
    <col min="8" max="8" width="19.19921875" customWidth="1"/>
    <col min="9" max="9" width="17.19921875" customWidth="1"/>
    <col min="10" max="11" width="17.796875" customWidth="1"/>
    <col min="12" max="12" width="15.69921875" customWidth="1"/>
    <col min="13" max="13" width="16.19921875" customWidth="1"/>
    <col min="14" max="14" width="23.69921875" customWidth="1"/>
    <col min="15" max="15" width="13.796875" customWidth="1"/>
    <col min="18" max="18" width="19.796875" customWidth="1"/>
    <col min="19" max="19" width="23.296875" customWidth="1"/>
    <col min="20" max="20" width="20.19921875" customWidth="1"/>
    <col min="21" max="21" width="15" customWidth="1"/>
    <col min="22" max="22" width="17.5" customWidth="1"/>
    <col min="23" max="23" width="18.296875" customWidth="1"/>
    <col min="24" max="24" width="20.5" customWidth="1"/>
    <col min="25" max="25" width="23.19921875" customWidth="1"/>
    <col min="27" max="27" width="23.5" bestFit="1" customWidth="1"/>
    <col min="32" max="32" width="34" customWidth="1"/>
  </cols>
  <sheetData>
    <row r="1" spans="1:32" ht="31.8" thickBot="1" x14ac:dyDescent="0.35">
      <c r="A1" s="143" t="s">
        <v>3</v>
      </c>
      <c r="B1" s="559" t="s">
        <v>579</v>
      </c>
      <c r="C1" s="558" t="s">
        <v>578</v>
      </c>
      <c r="D1" s="558" t="s">
        <v>489</v>
      </c>
      <c r="E1" s="558" t="s">
        <v>586</v>
      </c>
      <c r="F1" s="558" t="s">
        <v>587</v>
      </c>
      <c r="G1" s="560" t="s">
        <v>492</v>
      </c>
      <c r="H1" s="558" t="s">
        <v>580</v>
      </c>
      <c r="I1" s="560" t="s">
        <v>516</v>
      </c>
      <c r="J1" s="558" t="s">
        <v>494</v>
      </c>
      <c r="K1" s="560" t="s">
        <v>515</v>
      </c>
      <c r="L1" s="558" t="s">
        <v>4</v>
      </c>
      <c r="M1" s="560" t="s">
        <v>594</v>
      </c>
      <c r="N1" s="560" t="s">
        <v>581</v>
      </c>
      <c r="O1" s="560" t="s">
        <v>513</v>
      </c>
      <c r="P1" s="560" t="s">
        <v>493</v>
      </c>
      <c r="Q1" s="560" t="s">
        <v>495</v>
      </c>
      <c r="R1" s="112" t="s">
        <v>582</v>
      </c>
      <c r="S1" s="174" t="s">
        <v>583</v>
      </c>
      <c r="T1" s="192" t="s">
        <v>540</v>
      </c>
      <c r="U1" s="561" t="s">
        <v>491</v>
      </c>
      <c r="V1" s="390" t="s">
        <v>490</v>
      </c>
      <c r="W1" s="562" t="s">
        <v>590</v>
      </c>
      <c r="X1" s="413" t="s">
        <v>604</v>
      </c>
      <c r="Y1" s="288" t="s">
        <v>605</v>
      </c>
      <c r="Z1" s="413" t="s">
        <v>643</v>
      </c>
      <c r="AA1" s="414" t="s">
        <v>609</v>
      </c>
      <c r="AB1" s="93" t="s">
        <v>837</v>
      </c>
      <c r="AC1" s="769" t="s">
        <v>825</v>
      </c>
      <c r="AD1" s="769" t="s">
        <v>826</v>
      </c>
      <c r="AE1" s="769" t="s">
        <v>828</v>
      </c>
      <c r="AF1" s="769" t="s">
        <v>829</v>
      </c>
    </row>
    <row r="2" spans="1:32" x14ac:dyDescent="0.3">
      <c r="A2" s="144">
        <v>45271</v>
      </c>
      <c r="B2" s="188">
        <v>162</v>
      </c>
      <c r="C2" s="77" t="s">
        <v>544</v>
      </c>
      <c r="D2" s="76" t="s">
        <v>552</v>
      </c>
      <c r="E2" s="75" t="s">
        <v>588</v>
      </c>
      <c r="F2" s="75" t="s">
        <v>584</v>
      </c>
      <c r="G2" s="75" t="s">
        <v>567</v>
      </c>
      <c r="H2" s="131" t="s">
        <v>164</v>
      </c>
      <c r="I2" s="75" t="s">
        <v>527</v>
      </c>
      <c r="J2" s="45" t="s">
        <v>550</v>
      </c>
      <c r="K2" s="75" t="s">
        <v>532</v>
      </c>
      <c r="L2" s="75" t="s">
        <v>608</v>
      </c>
      <c r="M2" s="75" t="s">
        <v>531</v>
      </c>
      <c r="N2" s="75" t="s">
        <v>531</v>
      </c>
      <c r="O2" s="75" t="s">
        <v>571</v>
      </c>
      <c r="P2" s="75" t="s">
        <v>573</v>
      </c>
      <c r="Q2" s="89" t="s">
        <v>496</v>
      </c>
      <c r="R2" s="117" t="s">
        <v>519</v>
      </c>
      <c r="S2" s="173">
        <v>100</v>
      </c>
      <c r="T2" s="164">
        <v>25</v>
      </c>
      <c r="U2" s="89" t="s">
        <v>0</v>
      </c>
      <c r="V2" s="164" t="s">
        <v>0</v>
      </c>
      <c r="W2" s="209">
        <v>497.15317085759165</v>
      </c>
      <c r="X2" s="209">
        <v>465.34601749428634</v>
      </c>
      <c r="Y2" s="206">
        <v>11633.650437357159</v>
      </c>
      <c r="Z2" s="117" t="s">
        <v>659</v>
      </c>
      <c r="AA2" s="404" t="s">
        <v>639</v>
      </c>
      <c r="AB2" t="s">
        <v>164</v>
      </c>
      <c r="AC2">
        <v>7.8</v>
      </c>
      <c r="AD2">
        <v>47.1</v>
      </c>
      <c r="AE2">
        <v>1</v>
      </c>
      <c r="AF2" s="755">
        <v>2355</v>
      </c>
    </row>
    <row r="3" spans="1:32" x14ac:dyDescent="0.3">
      <c r="A3" s="145">
        <v>45271</v>
      </c>
      <c r="B3" s="189">
        <v>163</v>
      </c>
      <c r="C3" s="11" t="s">
        <v>544</v>
      </c>
      <c r="D3" s="10" t="s">
        <v>552</v>
      </c>
      <c r="E3" s="2" t="s">
        <v>588</v>
      </c>
      <c r="F3" s="2" t="s">
        <v>584</v>
      </c>
      <c r="G3" s="2" t="s">
        <v>567</v>
      </c>
      <c r="H3" s="14" t="s">
        <v>165</v>
      </c>
      <c r="I3" s="2" t="s">
        <v>527</v>
      </c>
      <c r="J3" s="15" t="s">
        <v>550</v>
      </c>
      <c r="K3" s="2" t="s">
        <v>532</v>
      </c>
      <c r="L3" s="2" t="s">
        <v>608</v>
      </c>
      <c r="M3" s="2" t="s">
        <v>531</v>
      </c>
      <c r="N3" s="2" t="s">
        <v>531</v>
      </c>
      <c r="O3" s="2" t="s">
        <v>571</v>
      </c>
      <c r="P3" s="2" t="s">
        <v>573</v>
      </c>
      <c r="Q3" s="67" t="s">
        <v>497</v>
      </c>
      <c r="R3" s="110" t="s">
        <v>519</v>
      </c>
      <c r="S3" s="172">
        <v>100</v>
      </c>
      <c r="T3" s="165">
        <v>25</v>
      </c>
      <c r="U3" s="67" t="s">
        <v>0</v>
      </c>
      <c r="V3" s="165" t="s">
        <v>0</v>
      </c>
      <c r="W3" s="208">
        <v>720.66040978847525</v>
      </c>
      <c r="X3" s="208">
        <v>674.55358090621417</v>
      </c>
      <c r="Y3" s="206">
        <v>16863.839522655355</v>
      </c>
      <c r="Z3" s="117" t="s">
        <v>659</v>
      </c>
      <c r="AA3" s="393" t="s">
        <v>639</v>
      </c>
      <c r="AB3" t="s">
        <v>165</v>
      </c>
      <c r="AC3">
        <v>12.5</v>
      </c>
      <c r="AD3">
        <v>74.900000000000006</v>
      </c>
      <c r="AE3">
        <v>1</v>
      </c>
      <c r="AF3" s="755">
        <v>3745.0000000000005</v>
      </c>
    </row>
    <row r="4" spans="1:32" x14ac:dyDescent="0.3">
      <c r="A4" s="145">
        <v>45271</v>
      </c>
      <c r="B4" s="189">
        <v>164</v>
      </c>
      <c r="C4" s="11" t="s">
        <v>544</v>
      </c>
      <c r="D4" s="10" t="s">
        <v>552</v>
      </c>
      <c r="E4" s="2" t="s">
        <v>588</v>
      </c>
      <c r="F4" s="2" t="s">
        <v>584</v>
      </c>
      <c r="G4" s="2" t="s">
        <v>567</v>
      </c>
      <c r="H4" s="14" t="s">
        <v>166</v>
      </c>
      <c r="I4" s="2" t="s">
        <v>527</v>
      </c>
      <c r="J4" s="15" t="s">
        <v>550</v>
      </c>
      <c r="K4" s="2" t="s">
        <v>532</v>
      </c>
      <c r="L4" s="2" t="s">
        <v>608</v>
      </c>
      <c r="M4" s="2" t="s">
        <v>531</v>
      </c>
      <c r="N4" s="2" t="s">
        <v>531</v>
      </c>
      <c r="O4" s="2" t="s">
        <v>571</v>
      </c>
      <c r="P4" s="2" t="s">
        <v>573</v>
      </c>
      <c r="Q4" s="67" t="s">
        <v>498</v>
      </c>
      <c r="R4" s="110" t="s">
        <v>519</v>
      </c>
      <c r="S4" s="172">
        <v>100</v>
      </c>
      <c r="T4" s="165">
        <v>25</v>
      </c>
      <c r="U4" s="67" t="s">
        <v>0</v>
      </c>
      <c r="V4" s="165" t="s">
        <v>0</v>
      </c>
      <c r="W4" s="208">
        <v>506.76801785738803</v>
      </c>
      <c r="X4" s="208">
        <v>474.34572024676811</v>
      </c>
      <c r="Y4" s="206">
        <v>11858.643006169204</v>
      </c>
      <c r="Z4" s="117" t="s">
        <v>659</v>
      </c>
      <c r="AA4" s="393" t="s">
        <v>639</v>
      </c>
      <c r="AB4" t="s">
        <v>166</v>
      </c>
      <c r="AC4">
        <v>5</v>
      </c>
      <c r="AD4">
        <v>30</v>
      </c>
      <c r="AE4">
        <v>1</v>
      </c>
      <c r="AF4" s="755">
        <v>1500</v>
      </c>
    </row>
    <row r="5" spans="1:32" x14ac:dyDescent="0.3">
      <c r="A5" s="145">
        <v>45271</v>
      </c>
      <c r="B5" s="189">
        <v>165</v>
      </c>
      <c r="C5" s="11" t="s">
        <v>544</v>
      </c>
      <c r="D5" s="10" t="s">
        <v>552</v>
      </c>
      <c r="E5" s="2" t="s">
        <v>588</v>
      </c>
      <c r="F5" s="2" t="s">
        <v>584</v>
      </c>
      <c r="G5" s="2" t="s">
        <v>567</v>
      </c>
      <c r="H5" s="14" t="s">
        <v>167</v>
      </c>
      <c r="I5" s="2" t="s">
        <v>527</v>
      </c>
      <c r="J5" s="15" t="s">
        <v>550</v>
      </c>
      <c r="K5" s="2" t="s">
        <v>532</v>
      </c>
      <c r="L5" s="2" t="s">
        <v>608</v>
      </c>
      <c r="M5" s="2" t="s">
        <v>531</v>
      </c>
      <c r="N5" s="2" t="s">
        <v>531</v>
      </c>
      <c r="O5" s="2" t="s">
        <v>571</v>
      </c>
      <c r="P5" s="2" t="s">
        <v>573</v>
      </c>
      <c r="Q5" s="67" t="s">
        <v>499</v>
      </c>
      <c r="R5" s="110" t="s">
        <v>519</v>
      </c>
      <c r="S5" s="172">
        <v>100</v>
      </c>
      <c r="T5" s="165">
        <v>25</v>
      </c>
      <c r="U5" s="67" t="s">
        <v>0</v>
      </c>
      <c r="V5" s="165" t="s">
        <v>0</v>
      </c>
      <c r="W5" s="208">
        <v>1410.5103773122657</v>
      </c>
      <c r="X5" s="208">
        <v>1320.2679278588835</v>
      </c>
      <c r="Y5" s="206">
        <v>33006.698196472091</v>
      </c>
      <c r="Z5" s="117" t="s">
        <v>659</v>
      </c>
      <c r="AA5" s="393" t="s">
        <v>639</v>
      </c>
      <c r="AB5" t="s">
        <v>167</v>
      </c>
      <c r="AC5">
        <v>25.1</v>
      </c>
      <c r="AD5">
        <v>150.30000000000001</v>
      </c>
      <c r="AE5">
        <v>1</v>
      </c>
      <c r="AF5" s="755">
        <v>7515.0000000000009</v>
      </c>
    </row>
    <row r="6" spans="1:32" x14ac:dyDescent="0.3">
      <c r="A6" s="145">
        <v>45271</v>
      </c>
      <c r="B6" s="189">
        <v>166</v>
      </c>
      <c r="C6" s="11" t="s">
        <v>544</v>
      </c>
      <c r="D6" s="10" t="s">
        <v>552</v>
      </c>
      <c r="E6" s="2" t="s">
        <v>588</v>
      </c>
      <c r="F6" s="2" t="s">
        <v>584</v>
      </c>
      <c r="G6" s="2" t="s">
        <v>567</v>
      </c>
      <c r="H6" s="14" t="s">
        <v>168</v>
      </c>
      <c r="I6" s="2" t="s">
        <v>527</v>
      </c>
      <c r="J6" s="15" t="s">
        <v>550</v>
      </c>
      <c r="K6" s="2" t="s">
        <v>532</v>
      </c>
      <c r="L6" s="2" t="s">
        <v>608</v>
      </c>
      <c r="M6" s="2" t="s">
        <v>531</v>
      </c>
      <c r="N6" s="2" t="s">
        <v>531</v>
      </c>
      <c r="O6" s="2" t="s">
        <v>571</v>
      </c>
      <c r="P6" s="2" t="s">
        <v>573</v>
      </c>
      <c r="Q6" s="67" t="s">
        <v>500</v>
      </c>
      <c r="R6" s="110" t="s">
        <v>519</v>
      </c>
      <c r="S6" s="172">
        <v>100</v>
      </c>
      <c r="T6" s="165">
        <v>25</v>
      </c>
      <c r="U6" s="67" t="s">
        <v>0</v>
      </c>
      <c r="V6" s="165" t="s">
        <v>0</v>
      </c>
      <c r="W6" s="208">
        <v>871.42151901521493</v>
      </c>
      <c r="X6" s="208">
        <v>815.6692086123893</v>
      </c>
      <c r="Y6" s="206">
        <v>20391.730215309733</v>
      </c>
      <c r="Z6" s="117" t="s">
        <v>659</v>
      </c>
      <c r="AA6" s="393" t="s">
        <v>639</v>
      </c>
      <c r="AB6" t="s">
        <v>168</v>
      </c>
      <c r="AC6">
        <v>37.299999999999997</v>
      </c>
      <c r="AD6">
        <v>223.7</v>
      </c>
      <c r="AE6">
        <v>1</v>
      </c>
      <c r="AF6" s="755">
        <v>11185</v>
      </c>
    </row>
    <row r="7" spans="1:32" x14ac:dyDescent="0.3">
      <c r="A7" s="145">
        <v>45271</v>
      </c>
      <c r="B7" s="189">
        <v>167</v>
      </c>
      <c r="C7" s="11" t="s">
        <v>544</v>
      </c>
      <c r="D7" s="10" t="s">
        <v>552</v>
      </c>
      <c r="E7" s="2" t="s">
        <v>588</v>
      </c>
      <c r="F7" s="2" t="s">
        <v>584</v>
      </c>
      <c r="G7" s="2" t="s">
        <v>567</v>
      </c>
      <c r="H7" s="14" t="s">
        <v>169</v>
      </c>
      <c r="I7" s="2" t="s">
        <v>527</v>
      </c>
      <c r="J7" s="15" t="s">
        <v>550</v>
      </c>
      <c r="K7" s="2" t="s">
        <v>532</v>
      </c>
      <c r="L7" s="2" t="s">
        <v>608</v>
      </c>
      <c r="M7" s="2" t="s">
        <v>531</v>
      </c>
      <c r="N7" s="2" t="s">
        <v>531</v>
      </c>
      <c r="O7" s="2" t="s">
        <v>571</v>
      </c>
      <c r="P7" s="2" t="s">
        <v>573</v>
      </c>
      <c r="Q7" s="67" t="s">
        <v>501</v>
      </c>
      <c r="R7" s="110" t="s">
        <v>519</v>
      </c>
      <c r="S7" s="172">
        <v>100</v>
      </c>
      <c r="T7" s="165">
        <v>25</v>
      </c>
      <c r="U7" s="67" t="s">
        <v>0</v>
      </c>
      <c r="V7" s="165" t="s">
        <v>0</v>
      </c>
      <c r="W7" s="208">
        <v>422.89444030369242</v>
      </c>
      <c r="X7" s="208">
        <v>395.83825499157712</v>
      </c>
      <c r="Y7" s="206">
        <v>9895.9563747894281</v>
      </c>
      <c r="Z7" s="117" t="s">
        <v>659</v>
      </c>
      <c r="AA7" s="393" t="s">
        <v>639</v>
      </c>
      <c r="AB7" t="s">
        <v>169</v>
      </c>
      <c r="AC7">
        <v>13.2</v>
      </c>
      <c r="AD7">
        <v>79.2</v>
      </c>
      <c r="AE7">
        <v>1</v>
      </c>
      <c r="AF7" s="755">
        <v>3960</v>
      </c>
    </row>
    <row r="8" spans="1:32" x14ac:dyDescent="0.3">
      <c r="A8" s="145">
        <v>45271</v>
      </c>
      <c r="B8" s="189">
        <v>168</v>
      </c>
      <c r="C8" s="11" t="s">
        <v>544</v>
      </c>
      <c r="D8" s="10" t="s">
        <v>552</v>
      </c>
      <c r="E8" s="2" t="s">
        <v>588</v>
      </c>
      <c r="F8" s="2" t="s">
        <v>584</v>
      </c>
      <c r="G8" s="2" t="s">
        <v>567</v>
      </c>
      <c r="H8" s="14" t="s">
        <v>170</v>
      </c>
      <c r="I8" s="2" t="s">
        <v>527</v>
      </c>
      <c r="J8" s="15" t="s">
        <v>550</v>
      </c>
      <c r="K8" s="2" t="s">
        <v>532</v>
      </c>
      <c r="L8" s="2" t="s">
        <v>608</v>
      </c>
      <c r="M8" s="2" t="s">
        <v>531</v>
      </c>
      <c r="N8" s="2" t="s">
        <v>531</v>
      </c>
      <c r="O8" s="2" t="s">
        <v>571</v>
      </c>
      <c r="P8" s="2" t="s">
        <v>573</v>
      </c>
      <c r="Q8" s="67" t="s">
        <v>502</v>
      </c>
      <c r="R8" s="110" t="s">
        <v>519</v>
      </c>
      <c r="S8" s="172">
        <v>100</v>
      </c>
      <c r="T8" s="165">
        <v>25</v>
      </c>
      <c r="U8" s="67" t="s">
        <v>0</v>
      </c>
      <c r="V8" s="165" t="s">
        <v>0</v>
      </c>
      <c r="W8" s="208">
        <v>682.32397952301153</v>
      </c>
      <c r="X8" s="208">
        <v>638.66986096894129</v>
      </c>
      <c r="Y8" s="206">
        <v>15966.746524223534</v>
      </c>
      <c r="Z8" s="117" t="s">
        <v>659</v>
      </c>
      <c r="AA8" s="393" t="s">
        <v>639</v>
      </c>
      <c r="AB8" t="s">
        <v>170</v>
      </c>
      <c r="AC8">
        <v>17.899999999999999</v>
      </c>
      <c r="AD8">
        <v>107.2</v>
      </c>
      <c r="AE8">
        <v>1</v>
      </c>
      <c r="AF8" s="755">
        <v>5360</v>
      </c>
    </row>
    <row r="9" spans="1:32" x14ac:dyDescent="0.3">
      <c r="A9" s="145">
        <v>45271</v>
      </c>
      <c r="B9" s="189">
        <v>169</v>
      </c>
      <c r="C9" s="11" t="s">
        <v>544</v>
      </c>
      <c r="D9" s="10" t="s">
        <v>552</v>
      </c>
      <c r="E9" s="2" t="s">
        <v>588</v>
      </c>
      <c r="F9" s="2" t="s">
        <v>584</v>
      </c>
      <c r="G9" s="2" t="s">
        <v>567</v>
      </c>
      <c r="H9" s="14" t="s">
        <v>171</v>
      </c>
      <c r="I9" s="2" t="s">
        <v>527</v>
      </c>
      <c r="J9" s="12" t="s">
        <v>551</v>
      </c>
      <c r="K9" s="2" t="s">
        <v>532</v>
      </c>
      <c r="L9" s="2" t="s">
        <v>608</v>
      </c>
      <c r="M9" s="2" t="s">
        <v>531</v>
      </c>
      <c r="N9" s="2" t="s">
        <v>531</v>
      </c>
      <c r="O9" s="2" t="s">
        <v>571</v>
      </c>
      <c r="P9" s="2" t="s">
        <v>573</v>
      </c>
      <c r="Q9" s="67" t="s">
        <v>496</v>
      </c>
      <c r="R9" s="110" t="s">
        <v>519</v>
      </c>
      <c r="S9" s="172">
        <v>100</v>
      </c>
      <c r="T9" s="165">
        <v>25</v>
      </c>
      <c r="U9" s="67" t="s">
        <v>0</v>
      </c>
      <c r="V9" s="165" t="s">
        <v>0</v>
      </c>
      <c r="W9" s="208">
        <v>328.41412331173245</v>
      </c>
      <c r="X9" s="208">
        <v>307.40265441406365</v>
      </c>
      <c r="Y9" s="206">
        <v>7685.0663603515914</v>
      </c>
      <c r="Z9" s="117" t="s">
        <v>659</v>
      </c>
      <c r="AA9" s="393" t="s">
        <v>640</v>
      </c>
      <c r="AB9" t="s">
        <v>171</v>
      </c>
      <c r="AC9">
        <v>3.6</v>
      </c>
      <c r="AD9">
        <v>21.7</v>
      </c>
      <c r="AE9">
        <v>1</v>
      </c>
      <c r="AF9" s="755">
        <v>1085</v>
      </c>
    </row>
    <row r="10" spans="1:32" x14ac:dyDescent="0.3">
      <c r="A10" s="145">
        <v>45271</v>
      </c>
      <c r="B10" s="188">
        <v>170</v>
      </c>
      <c r="C10" s="11" t="s">
        <v>544</v>
      </c>
      <c r="D10" s="10" t="s">
        <v>552</v>
      </c>
      <c r="E10" s="2" t="s">
        <v>588</v>
      </c>
      <c r="F10" s="2" t="s">
        <v>584</v>
      </c>
      <c r="G10" s="2" t="s">
        <v>567</v>
      </c>
      <c r="H10" s="14" t="s">
        <v>172</v>
      </c>
      <c r="I10" s="2" t="s">
        <v>527</v>
      </c>
      <c r="J10" s="12" t="s">
        <v>551</v>
      </c>
      <c r="K10" s="2" t="s">
        <v>532</v>
      </c>
      <c r="L10" s="2" t="s">
        <v>608</v>
      </c>
      <c r="M10" s="2" t="s">
        <v>531</v>
      </c>
      <c r="N10" s="2" t="s">
        <v>531</v>
      </c>
      <c r="O10" s="2" t="s">
        <v>571</v>
      </c>
      <c r="P10" s="2" t="s">
        <v>573</v>
      </c>
      <c r="Q10" s="67" t="s">
        <v>497</v>
      </c>
      <c r="R10" s="110" t="s">
        <v>519</v>
      </c>
      <c r="S10" s="172">
        <v>100</v>
      </c>
      <c r="T10" s="165">
        <v>25</v>
      </c>
      <c r="U10" s="67" t="s">
        <v>0</v>
      </c>
      <c r="V10" s="165" t="s">
        <v>0</v>
      </c>
      <c r="W10" s="208">
        <v>217.82760651632054</v>
      </c>
      <c r="X10" s="208">
        <v>203.89130580787958</v>
      </c>
      <c r="Y10" s="206">
        <v>5097.2826451969895</v>
      </c>
      <c r="Z10" s="117" t="s">
        <v>659</v>
      </c>
      <c r="AA10" s="393" t="s">
        <v>640</v>
      </c>
      <c r="AB10" t="s">
        <v>172</v>
      </c>
      <c r="AC10">
        <v>6.1</v>
      </c>
      <c r="AD10">
        <v>36.4</v>
      </c>
      <c r="AE10">
        <v>1</v>
      </c>
      <c r="AF10" s="755">
        <v>1820</v>
      </c>
    </row>
    <row r="11" spans="1:32" x14ac:dyDescent="0.3">
      <c r="A11" s="145">
        <v>45271</v>
      </c>
      <c r="B11" s="189">
        <v>171</v>
      </c>
      <c r="C11" s="11" t="s">
        <v>544</v>
      </c>
      <c r="D11" s="10" t="s">
        <v>552</v>
      </c>
      <c r="E11" s="2" t="s">
        <v>588</v>
      </c>
      <c r="F11" s="2" t="s">
        <v>584</v>
      </c>
      <c r="G11" s="2" t="s">
        <v>567</v>
      </c>
      <c r="H11" s="14" t="s">
        <v>173</v>
      </c>
      <c r="I11" s="2" t="s">
        <v>527</v>
      </c>
      <c r="J11" s="12" t="s">
        <v>551</v>
      </c>
      <c r="K11" s="2" t="s">
        <v>532</v>
      </c>
      <c r="L11" s="2" t="s">
        <v>608</v>
      </c>
      <c r="M11" s="2" t="s">
        <v>531</v>
      </c>
      <c r="N11" s="2" t="s">
        <v>531</v>
      </c>
      <c r="O11" s="2" t="s">
        <v>571</v>
      </c>
      <c r="P11" s="2" t="s">
        <v>573</v>
      </c>
      <c r="Q11" s="67" t="s">
        <v>498</v>
      </c>
      <c r="R11" s="110" t="s">
        <v>519</v>
      </c>
      <c r="S11" s="172">
        <v>100</v>
      </c>
      <c r="T11" s="165">
        <v>25</v>
      </c>
      <c r="U11" s="67" t="s">
        <v>0</v>
      </c>
      <c r="V11" s="165" t="s">
        <v>0</v>
      </c>
      <c r="W11" s="208">
        <v>102.97774253070295</v>
      </c>
      <c r="X11" s="208">
        <v>96.389372906044002</v>
      </c>
      <c r="Y11" s="206">
        <v>2409.7343226511002</v>
      </c>
      <c r="Z11" s="117" t="s">
        <v>659</v>
      </c>
      <c r="AA11" s="393" t="s">
        <v>640</v>
      </c>
      <c r="AB11" t="s">
        <v>173</v>
      </c>
      <c r="AC11">
        <v>1.4</v>
      </c>
      <c r="AD11">
        <v>8.6</v>
      </c>
      <c r="AE11">
        <v>1</v>
      </c>
      <c r="AF11" s="755">
        <v>430</v>
      </c>
    </row>
    <row r="12" spans="1:32" x14ac:dyDescent="0.3">
      <c r="A12" s="145">
        <v>45271</v>
      </c>
      <c r="B12" s="189">
        <v>172</v>
      </c>
      <c r="C12" s="11" t="s">
        <v>544</v>
      </c>
      <c r="D12" s="10" t="s">
        <v>552</v>
      </c>
      <c r="E12" s="2" t="s">
        <v>588</v>
      </c>
      <c r="F12" s="2" t="s">
        <v>584</v>
      </c>
      <c r="G12" s="2" t="s">
        <v>567</v>
      </c>
      <c r="H12" s="14" t="s">
        <v>174</v>
      </c>
      <c r="I12" s="2" t="s">
        <v>527</v>
      </c>
      <c r="J12" s="12" t="s">
        <v>551</v>
      </c>
      <c r="K12" s="2" t="s">
        <v>532</v>
      </c>
      <c r="L12" s="2" t="s">
        <v>608</v>
      </c>
      <c r="M12" s="2" t="s">
        <v>531</v>
      </c>
      <c r="N12" s="2" t="s">
        <v>531</v>
      </c>
      <c r="O12" s="2" t="s">
        <v>571</v>
      </c>
      <c r="P12" s="2" t="s">
        <v>573</v>
      </c>
      <c r="Q12" s="67" t="s">
        <v>499</v>
      </c>
      <c r="R12" s="110" t="s">
        <v>519</v>
      </c>
      <c r="S12" s="172">
        <v>100</v>
      </c>
      <c r="T12" s="165">
        <v>25</v>
      </c>
      <c r="U12" s="67" t="s">
        <v>0</v>
      </c>
      <c r="V12" s="165" t="s">
        <v>0</v>
      </c>
      <c r="W12" s="208">
        <v>488.69934548148728</v>
      </c>
      <c r="X12" s="208">
        <v>457.43305585194946</v>
      </c>
      <c r="Y12" s="206">
        <v>11435.826396298735</v>
      </c>
      <c r="Z12" s="117" t="s">
        <v>659</v>
      </c>
      <c r="AA12" s="393" t="s">
        <v>640</v>
      </c>
      <c r="AB12" t="s">
        <v>174</v>
      </c>
      <c r="AC12">
        <v>5.7</v>
      </c>
      <c r="AD12">
        <v>34.299999999999997</v>
      </c>
      <c r="AE12">
        <v>1</v>
      </c>
      <c r="AF12" s="755">
        <v>1714.9999999999998</v>
      </c>
    </row>
    <row r="13" spans="1:32" x14ac:dyDescent="0.3">
      <c r="A13" s="145">
        <v>45271</v>
      </c>
      <c r="B13" s="189">
        <v>173</v>
      </c>
      <c r="C13" s="11" t="s">
        <v>544</v>
      </c>
      <c r="D13" s="10" t="s">
        <v>552</v>
      </c>
      <c r="E13" s="2" t="s">
        <v>588</v>
      </c>
      <c r="F13" s="2" t="s">
        <v>584</v>
      </c>
      <c r="G13" s="2" t="s">
        <v>567</v>
      </c>
      <c r="H13" s="14" t="s">
        <v>175</v>
      </c>
      <c r="I13" s="2" t="s">
        <v>527</v>
      </c>
      <c r="J13" s="12" t="s">
        <v>551</v>
      </c>
      <c r="K13" s="2" t="s">
        <v>532</v>
      </c>
      <c r="L13" s="2" t="s">
        <v>608</v>
      </c>
      <c r="M13" s="2" t="s">
        <v>531</v>
      </c>
      <c r="N13" s="2" t="s">
        <v>531</v>
      </c>
      <c r="O13" s="2" t="s">
        <v>571</v>
      </c>
      <c r="P13" s="2" t="s">
        <v>573</v>
      </c>
      <c r="Q13" s="67" t="s">
        <v>500</v>
      </c>
      <c r="R13" s="110" t="s">
        <v>519</v>
      </c>
      <c r="S13" s="172">
        <v>100</v>
      </c>
      <c r="T13" s="165">
        <v>25</v>
      </c>
      <c r="U13" s="67" t="s">
        <v>0</v>
      </c>
      <c r="V13" s="165" t="s">
        <v>0</v>
      </c>
      <c r="W13" s="208">
        <v>14.879851960330736</v>
      </c>
      <c r="X13" s="208">
        <v>13.927860177779902</v>
      </c>
      <c r="Y13" s="206">
        <v>348.19650444449752</v>
      </c>
      <c r="Z13" s="117" t="s">
        <v>659</v>
      </c>
      <c r="AA13" s="393" t="s">
        <v>640</v>
      </c>
      <c r="AB13" t="s">
        <v>175</v>
      </c>
      <c r="AC13">
        <v>0</v>
      </c>
      <c r="AD13">
        <v>0</v>
      </c>
      <c r="AE13">
        <v>1</v>
      </c>
      <c r="AF13" s="755">
        <v>0</v>
      </c>
    </row>
    <row r="14" spans="1:32" x14ac:dyDescent="0.3">
      <c r="A14" s="145">
        <v>45271</v>
      </c>
      <c r="B14" s="189">
        <v>174</v>
      </c>
      <c r="C14" s="11" t="s">
        <v>544</v>
      </c>
      <c r="D14" s="10" t="s">
        <v>552</v>
      </c>
      <c r="E14" s="2" t="s">
        <v>588</v>
      </c>
      <c r="F14" s="2" t="s">
        <v>584</v>
      </c>
      <c r="G14" s="2" t="s">
        <v>567</v>
      </c>
      <c r="H14" s="14" t="s">
        <v>176</v>
      </c>
      <c r="I14" s="2" t="s">
        <v>527</v>
      </c>
      <c r="J14" s="12" t="s">
        <v>551</v>
      </c>
      <c r="K14" s="2" t="s">
        <v>532</v>
      </c>
      <c r="L14" s="2" t="s">
        <v>608</v>
      </c>
      <c r="M14" s="2" t="s">
        <v>531</v>
      </c>
      <c r="N14" s="2" t="s">
        <v>531</v>
      </c>
      <c r="O14" s="2" t="s">
        <v>571</v>
      </c>
      <c r="P14" s="2" t="s">
        <v>573</v>
      </c>
      <c r="Q14" s="67" t="s">
        <v>501</v>
      </c>
      <c r="R14" s="110" t="s">
        <v>519</v>
      </c>
      <c r="S14" s="172">
        <v>100</v>
      </c>
      <c r="T14" s="165">
        <v>25</v>
      </c>
      <c r="U14" s="67" t="s">
        <v>0</v>
      </c>
      <c r="V14" s="165" t="s">
        <v>0</v>
      </c>
      <c r="W14" s="208">
        <v>3.637123183665516</v>
      </c>
      <c r="X14" s="208">
        <v>3.4044252111180962</v>
      </c>
      <c r="Y14" s="206">
        <v>85.11063027795241</v>
      </c>
      <c r="Z14" s="117" t="s">
        <v>659</v>
      </c>
      <c r="AA14" s="393" t="s">
        <v>640</v>
      </c>
      <c r="AB14" t="s">
        <v>176</v>
      </c>
      <c r="AC14">
        <v>1.1000000000000001</v>
      </c>
      <c r="AD14">
        <v>6.4</v>
      </c>
      <c r="AE14">
        <v>1</v>
      </c>
      <c r="AF14" s="755">
        <v>320</v>
      </c>
    </row>
    <row r="15" spans="1:32" ht="16.2" thickBot="1" x14ac:dyDescent="0.35">
      <c r="A15" s="145">
        <v>45271</v>
      </c>
      <c r="B15" s="189">
        <v>175</v>
      </c>
      <c r="C15" s="11" t="s">
        <v>544</v>
      </c>
      <c r="D15" s="10" t="s">
        <v>552</v>
      </c>
      <c r="E15" s="2" t="s">
        <v>588</v>
      </c>
      <c r="F15" s="2" t="s">
        <v>584</v>
      </c>
      <c r="G15" s="2" t="s">
        <v>567</v>
      </c>
      <c r="H15" s="14" t="s">
        <v>177</v>
      </c>
      <c r="I15" s="2" t="s">
        <v>527</v>
      </c>
      <c r="J15" s="12" t="s">
        <v>551</v>
      </c>
      <c r="K15" s="2" t="s">
        <v>532</v>
      </c>
      <c r="L15" s="2" t="s">
        <v>608</v>
      </c>
      <c r="M15" s="2" t="s">
        <v>531</v>
      </c>
      <c r="N15" s="2" t="s">
        <v>531</v>
      </c>
      <c r="O15" s="2" t="s">
        <v>571</v>
      </c>
      <c r="P15" s="2" t="s">
        <v>573</v>
      </c>
      <c r="Q15" s="67" t="s">
        <v>502</v>
      </c>
      <c r="R15" s="110" t="s">
        <v>519</v>
      </c>
      <c r="S15" s="172">
        <v>100</v>
      </c>
      <c r="T15" s="165">
        <v>25</v>
      </c>
      <c r="U15" s="67" t="s">
        <v>0</v>
      </c>
      <c r="V15" s="165" t="s">
        <v>0</v>
      </c>
      <c r="W15" s="208">
        <v>10.857591823070539</v>
      </c>
      <c r="X15" s="208">
        <v>10.162938528037047</v>
      </c>
      <c r="Y15" s="206">
        <v>254.0734632009262</v>
      </c>
      <c r="Z15" s="117" t="s">
        <v>659</v>
      </c>
      <c r="AA15" s="393" t="s">
        <v>640</v>
      </c>
      <c r="AB15" t="s">
        <v>177</v>
      </c>
      <c r="AC15">
        <v>0.7</v>
      </c>
      <c r="AD15">
        <v>4.3</v>
      </c>
      <c r="AE15">
        <v>1</v>
      </c>
      <c r="AF15" s="755">
        <v>215</v>
      </c>
    </row>
    <row r="16" spans="1:32" x14ac:dyDescent="0.3">
      <c r="A16" s="149">
        <v>45273</v>
      </c>
      <c r="B16" s="188">
        <v>185</v>
      </c>
      <c r="C16" s="21" t="s">
        <v>544</v>
      </c>
      <c r="D16" s="20" t="s">
        <v>552</v>
      </c>
      <c r="E16" s="17" t="s">
        <v>588</v>
      </c>
      <c r="F16" s="17" t="s">
        <v>584</v>
      </c>
      <c r="G16" s="43" t="s">
        <v>567</v>
      </c>
      <c r="H16" s="329" t="s">
        <v>187</v>
      </c>
      <c r="I16" s="17" t="s">
        <v>527</v>
      </c>
      <c r="J16" s="68" t="s">
        <v>1</v>
      </c>
      <c r="K16" s="17" t="s">
        <v>532</v>
      </c>
      <c r="L16" s="17" t="s">
        <v>608</v>
      </c>
      <c r="M16" s="17" t="s">
        <v>531</v>
      </c>
      <c r="N16" s="17" t="s">
        <v>531</v>
      </c>
      <c r="O16" s="17" t="s">
        <v>571</v>
      </c>
      <c r="P16" s="18" t="s">
        <v>573</v>
      </c>
      <c r="Q16" s="18" t="s">
        <v>496</v>
      </c>
      <c r="R16" s="117" t="s">
        <v>539</v>
      </c>
      <c r="S16" s="171">
        <v>100</v>
      </c>
      <c r="T16" s="164">
        <v>1000</v>
      </c>
      <c r="U16" s="72" t="s">
        <v>0</v>
      </c>
      <c r="V16" s="164" t="s">
        <v>0</v>
      </c>
      <c r="W16" s="209">
        <v>28175.036820348323</v>
      </c>
      <c r="X16" s="209">
        <v>26372.438004342184</v>
      </c>
      <c r="Y16" s="1">
        <v>659310.95010855456</v>
      </c>
      <c r="Z16" s="117" t="s">
        <v>660</v>
      </c>
      <c r="AA16" s="410" t="s">
        <v>641</v>
      </c>
      <c r="AB16" t="s">
        <v>187</v>
      </c>
      <c r="AC16">
        <v>411.2</v>
      </c>
      <c r="AD16">
        <v>2467.1999999999998</v>
      </c>
      <c r="AE16">
        <v>2</v>
      </c>
      <c r="AF16" s="755">
        <v>246719.99999999997</v>
      </c>
    </row>
    <row r="17" spans="1:32" x14ac:dyDescent="0.3">
      <c r="A17" s="151">
        <v>45273</v>
      </c>
      <c r="B17" s="189">
        <v>186</v>
      </c>
      <c r="C17" s="11" t="s">
        <v>544</v>
      </c>
      <c r="D17" s="10" t="s">
        <v>552</v>
      </c>
      <c r="E17" s="2" t="s">
        <v>588</v>
      </c>
      <c r="F17" s="2" t="s">
        <v>584</v>
      </c>
      <c r="G17" s="2" t="s">
        <v>567</v>
      </c>
      <c r="H17" s="14" t="s">
        <v>188</v>
      </c>
      <c r="I17" s="2" t="s">
        <v>527</v>
      </c>
      <c r="J17" s="64" t="s">
        <v>1</v>
      </c>
      <c r="K17" s="2" t="s">
        <v>532</v>
      </c>
      <c r="L17" s="2" t="s">
        <v>608</v>
      </c>
      <c r="M17" s="2" t="s">
        <v>531</v>
      </c>
      <c r="N17" s="2" t="s">
        <v>531</v>
      </c>
      <c r="O17" s="2" t="s">
        <v>571</v>
      </c>
      <c r="P17" s="2" t="s">
        <v>573</v>
      </c>
      <c r="Q17" s="67" t="s">
        <v>497</v>
      </c>
      <c r="R17" s="110" t="s">
        <v>539</v>
      </c>
      <c r="S17" s="172">
        <v>100</v>
      </c>
      <c r="T17" s="165">
        <v>1000</v>
      </c>
      <c r="U17" s="67" t="s">
        <v>0</v>
      </c>
      <c r="V17" s="165" t="s">
        <v>0</v>
      </c>
      <c r="W17" s="208">
        <v>11495.606971990332</v>
      </c>
      <c r="X17" s="208">
        <v>10760.134374417146</v>
      </c>
      <c r="Y17" s="378">
        <v>269003.35936042864</v>
      </c>
      <c r="Z17" s="110" t="s">
        <v>660</v>
      </c>
      <c r="AA17" s="394" t="s">
        <v>641</v>
      </c>
      <c r="AB17" t="s">
        <v>188</v>
      </c>
      <c r="AC17">
        <v>463.1</v>
      </c>
      <c r="AD17">
        <v>2778.6</v>
      </c>
      <c r="AE17">
        <v>1</v>
      </c>
      <c r="AF17" s="755">
        <v>138930</v>
      </c>
    </row>
    <row r="18" spans="1:32" x14ac:dyDescent="0.3">
      <c r="A18" s="151">
        <v>45273</v>
      </c>
      <c r="B18" s="189">
        <v>187</v>
      </c>
      <c r="C18" s="11" t="s">
        <v>544</v>
      </c>
      <c r="D18" s="10" t="s">
        <v>552</v>
      </c>
      <c r="E18" s="2" t="s">
        <v>588</v>
      </c>
      <c r="F18" s="2" t="s">
        <v>584</v>
      </c>
      <c r="G18" s="2" t="s">
        <v>567</v>
      </c>
      <c r="H18" s="14" t="s">
        <v>189</v>
      </c>
      <c r="I18" s="2" t="s">
        <v>527</v>
      </c>
      <c r="J18" s="64" t="s">
        <v>1</v>
      </c>
      <c r="K18" s="2" t="s">
        <v>532</v>
      </c>
      <c r="L18" s="2" t="s">
        <v>608</v>
      </c>
      <c r="M18" s="2" t="s">
        <v>531</v>
      </c>
      <c r="N18" s="2" t="s">
        <v>531</v>
      </c>
      <c r="O18" s="2" t="s">
        <v>571</v>
      </c>
      <c r="P18" s="2" t="s">
        <v>573</v>
      </c>
      <c r="Q18" s="67" t="s">
        <v>498</v>
      </c>
      <c r="R18" s="110" t="s">
        <v>539</v>
      </c>
      <c r="S18" s="172">
        <v>100</v>
      </c>
      <c r="T18" s="165">
        <v>1000</v>
      </c>
      <c r="U18" s="67" t="s">
        <v>0</v>
      </c>
      <c r="V18" s="165" t="s">
        <v>0</v>
      </c>
      <c r="W18" s="208">
        <v>9151.6205386792462</v>
      </c>
      <c r="X18" s="208">
        <v>8566.112862052305</v>
      </c>
      <c r="Y18" s="378">
        <v>214152.8215513076</v>
      </c>
      <c r="Z18" s="110" t="s">
        <v>660</v>
      </c>
      <c r="AA18" s="394" t="s">
        <v>641</v>
      </c>
      <c r="AB18" t="s">
        <v>189</v>
      </c>
      <c r="AC18">
        <v>196.6</v>
      </c>
      <c r="AD18">
        <v>1179.5999999999999</v>
      </c>
      <c r="AE18">
        <v>1</v>
      </c>
      <c r="AF18" s="755">
        <v>58979.999999999993</v>
      </c>
    </row>
    <row r="19" spans="1:32" x14ac:dyDescent="0.3">
      <c r="A19" s="151">
        <v>45273</v>
      </c>
      <c r="B19" s="189">
        <v>188</v>
      </c>
      <c r="C19" s="11" t="s">
        <v>544</v>
      </c>
      <c r="D19" s="10" t="s">
        <v>552</v>
      </c>
      <c r="E19" s="2" t="s">
        <v>588</v>
      </c>
      <c r="F19" s="2" t="s">
        <v>584</v>
      </c>
      <c r="G19" s="2" t="s">
        <v>567</v>
      </c>
      <c r="H19" s="14" t="s">
        <v>190</v>
      </c>
      <c r="I19" s="2" t="s">
        <v>527</v>
      </c>
      <c r="J19" s="64" t="s">
        <v>1</v>
      </c>
      <c r="K19" s="2" t="s">
        <v>532</v>
      </c>
      <c r="L19" s="2" t="s">
        <v>608</v>
      </c>
      <c r="M19" s="2" t="s">
        <v>531</v>
      </c>
      <c r="N19" s="2" t="s">
        <v>531</v>
      </c>
      <c r="O19" s="2" t="s">
        <v>571</v>
      </c>
      <c r="P19" s="2" t="s">
        <v>573</v>
      </c>
      <c r="Q19" s="67" t="s">
        <v>499</v>
      </c>
      <c r="R19" s="110" t="s">
        <v>539</v>
      </c>
      <c r="S19" s="172">
        <v>100</v>
      </c>
      <c r="T19" s="165">
        <v>1000</v>
      </c>
      <c r="U19" s="67" t="s">
        <v>0</v>
      </c>
      <c r="V19" s="165" t="s">
        <v>0</v>
      </c>
      <c r="W19" s="208">
        <v>10210.58295200553</v>
      </c>
      <c r="X19" s="208">
        <v>9557.3243650735367</v>
      </c>
      <c r="Y19" s="378">
        <v>238933.10912683839</v>
      </c>
      <c r="Z19" s="110" t="s">
        <v>660</v>
      </c>
      <c r="AA19" s="394" t="s">
        <v>641</v>
      </c>
      <c r="AB19" t="s">
        <v>190</v>
      </c>
      <c r="AC19">
        <v>263.10000000000002</v>
      </c>
      <c r="AD19">
        <v>1578.6</v>
      </c>
      <c r="AE19">
        <v>1</v>
      </c>
      <c r="AF19" s="755">
        <v>78930</v>
      </c>
    </row>
    <row r="20" spans="1:32" x14ac:dyDescent="0.3">
      <c r="A20" s="151">
        <v>45273</v>
      </c>
      <c r="B20" s="189">
        <v>189</v>
      </c>
      <c r="C20" s="11" t="s">
        <v>544</v>
      </c>
      <c r="D20" s="10" t="s">
        <v>552</v>
      </c>
      <c r="E20" s="2" t="s">
        <v>588</v>
      </c>
      <c r="F20" s="2" t="s">
        <v>584</v>
      </c>
      <c r="G20" s="2" t="s">
        <v>567</v>
      </c>
      <c r="H20" s="14" t="s">
        <v>191</v>
      </c>
      <c r="I20" s="2" t="s">
        <v>527</v>
      </c>
      <c r="J20" s="64" t="s">
        <v>1</v>
      </c>
      <c r="K20" s="2" t="s">
        <v>532</v>
      </c>
      <c r="L20" s="2" t="s">
        <v>608</v>
      </c>
      <c r="M20" s="2" t="s">
        <v>531</v>
      </c>
      <c r="N20" s="2" t="s">
        <v>531</v>
      </c>
      <c r="O20" s="2" t="s">
        <v>571</v>
      </c>
      <c r="P20" s="2" t="s">
        <v>573</v>
      </c>
      <c r="Q20" s="67" t="s">
        <v>500</v>
      </c>
      <c r="R20" s="110" t="s">
        <v>539</v>
      </c>
      <c r="S20" s="172">
        <v>100</v>
      </c>
      <c r="T20" s="165">
        <v>1000</v>
      </c>
      <c r="U20" s="67" t="s">
        <v>0</v>
      </c>
      <c r="V20" s="165" t="s">
        <v>0</v>
      </c>
      <c r="W20" s="208">
        <v>10544.850070768494</v>
      </c>
      <c r="X20" s="208">
        <v>9870.2055486075969</v>
      </c>
      <c r="Y20" s="378">
        <v>246755.13871518994</v>
      </c>
      <c r="Z20" s="110" t="s">
        <v>660</v>
      </c>
      <c r="AA20" s="394" t="s">
        <v>641</v>
      </c>
      <c r="AB20" t="s">
        <v>191</v>
      </c>
      <c r="AC20">
        <v>441</v>
      </c>
      <c r="AD20">
        <v>2646</v>
      </c>
      <c r="AE20">
        <v>1</v>
      </c>
      <c r="AF20" s="755">
        <v>132300</v>
      </c>
    </row>
    <row r="21" spans="1:32" x14ac:dyDescent="0.3">
      <c r="A21" s="151">
        <v>45273</v>
      </c>
      <c r="B21" s="189">
        <v>190</v>
      </c>
      <c r="C21" s="11" t="s">
        <v>544</v>
      </c>
      <c r="D21" s="10" t="s">
        <v>552</v>
      </c>
      <c r="E21" s="2" t="s">
        <v>588</v>
      </c>
      <c r="F21" s="2" t="s">
        <v>584</v>
      </c>
      <c r="G21" s="2" t="s">
        <v>567</v>
      </c>
      <c r="H21" s="14" t="s">
        <v>192</v>
      </c>
      <c r="I21" s="2" t="s">
        <v>527</v>
      </c>
      <c r="J21" s="64" t="s">
        <v>1</v>
      </c>
      <c r="K21" s="2" t="s">
        <v>532</v>
      </c>
      <c r="L21" s="2" t="s">
        <v>608</v>
      </c>
      <c r="M21" s="2" t="s">
        <v>531</v>
      </c>
      <c r="N21" s="2" t="s">
        <v>531</v>
      </c>
      <c r="O21" s="2" t="s">
        <v>571</v>
      </c>
      <c r="P21" s="2" t="s">
        <v>573</v>
      </c>
      <c r="Q21" s="67" t="s">
        <v>501</v>
      </c>
      <c r="R21" s="110" t="s">
        <v>539</v>
      </c>
      <c r="S21" s="172">
        <v>100</v>
      </c>
      <c r="T21" s="165">
        <v>1000</v>
      </c>
      <c r="U21" s="67" t="s">
        <v>0</v>
      </c>
      <c r="V21" s="165" t="s">
        <v>0</v>
      </c>
      <c r="W21" s="208">
        <v>8786.7474720160953</v>
      </c>
      <c r="X21" s="208">
        <v>8224.5838556703638</v>
      </c>
      <c r="Y21" s="378">
        <v>205614.59639175906</v>
      </c>
      <c r="Z21" s="110" t="s">
        <v>660</v>
      </c>
      <c r="AA21" s="394" t="s">
        <v>641</v>
      </c>
      <c r="AB21" t="s">
        <v>192</v>
      </c>
      <c r="AC21">
        <v>268.3</v>
      </c>
      <c r="AD21">
        <v>1609.8</v>
      </c>
      <c r="AE21">
        <v>1</v>
      </c>
      <c r="AF21" s="755">
        <v>80490</v>
      </c>
    </row>
    <row r="22" spans="1:32" x14ac:dyDescent="0.3">
      <c r="A22" s="151">
        <v>45273</v>
      </c>
      <c r="B22" s="189">
        <v>191</v>
      </c>
      <c r="C22" s="11" t="s">
        <v>544</v>
      </c>
      <c r="D22" s="10" t="s">
        <v>552</v>
      </c>
      <c r="E22" s="2" t="s">
        <v>588</v>
      </c>
      <c r="F22" s="2" t="s">
        <v>584</v>
      </c>
      <c r="G22" s="2" t="s">
        <v>567</v>
      </c>
      <c r="H22" s="14" t="s">
        <v>193</v>
      </c>
      <c r="I22" s="2" t="s">
        <v>527</v>
      </c>
      <c r="J22" s="64" t="s">
        <v>1</v>
      </c>
      <c r="K22" s="2" t="s">
        <v>532</v>
      </c>
      <c r="L22" s="2" t="s">
        <v>608</v>
      </c>
      <c r="M22" s="2" t="s">
        <v>531</v>
      </c>
      <c r="N22" s="2" t="s">
        <v>531</v>
      </c>
      <c r="O22" s="2" t="s">
        <v>571</v>
      </c>
      <c r="P22" s="2" t="s">
        <v>573</v>
      </c>
      <c r="Q22" s="67" t="s">
        <v>502</v>
      </c>
      <c r="R22" s="110" t="s">
        <v>539</v>
      </c>
      <c r="S22" s="172">
        <v>100</v>
      </c>
      <c r="T22" s="165">
        <v>1000</v>
      </c>
      <c r="U22" s="67" t="s">
        <v>0</v>
      </c>
      <c r="V22" s="165" t="s">
        <v>0</v>
      </c>
      <c r="W22" s="208">
        <v>8541.8601803801721</v>
      </c>
      <c r="X22" s="208">
        <v>7995.3641049421094</v>
      </c>
      <c r="Y22" s="378">
        <v>199884.10262355272</v>
      </c>
      <c r="Z22" s="110" t="s">
        <v>660</v>
      </c>
      <c r="AA22" s="394" t="s">
        <v>641</v>
      </c>
      <c r="AB22" t="s">
        <v>193</v>
      </c>
      <c r="AC22">
        <v>127.9</v>
      </c>
      <c r="AD22">
        <v>767.4</v>
      </c>
      <c r="AE22">
        <v>1</v>
      </c>
      <c r="AF22" s="755">
        <v>38370</v>
      </c>
    </row>
    <row r="23" spans="1:32" x14ac:dyDescent="0.3">
      <c r="A23" s="151">
        <v>45273</v>
      </c>
      <c r="B23" s="189">
        <v>192</v>
      </c>
      <c r="C23" s="11" t="s">
        <v>544</v>
      </c>
      <c r="D23" s="10" t="s">
        <v>552</v>
      </c>
      <c r="E23" s="2" t="s">
        <v>588</v>
      </c>
      <c r="F23" s="2" t="s">
        <v>584</v>
      </c>
      <c r="G23" s="2" t="s">
        <v>567</v>
      </c>
      <c r="H23" s="14" t="s">
        <v>194</v>
      </c>
      <c r="I23" s="2" t="s">
        <v>527</v>
      </c>
      <c r="J23" s="57" t="s">
        <v>2</v>
      </c>
      <c r="K23" s="2" t="s">
        <v>532</v>
      </c>
      <c r="L23" s="2" t="s">
        <v>608</v>
      </c>
      <c r="M23" s="2" t="s">
        <v>531</v>
      </c>
      <c r="N23" s="2" t="s">
        <v>531</v>
      </c>
      <c r="O23" s="2" t="s">
        <v>571</v>
      </c>
      <c r="P23" s="2" t="s">
        <v>573</v>
      </c>
      <c r="Q23" s="67" t="s">
        <v>496</v>
      </c>
      <c r="R23" s="110" t="s">
        <v>519</v>
      </c>
      <c r="S23" s="172">
        <v>100</v>
      </c>
      <c r="T23" s="165">
        <v>1000</v>
      </c>
      <c r="U23" s="67" t="s">
        <v>0</v>
      </c>
      <c r="V23" s="165" t="s">
        <v>0</v>
      </c>
      <c r="W23" s="208">
        <v>889.91301709533468</v>
      </c>
      <c r="X23" s="208">
        <v>832.9776469237521</v>
      </c>
      <c r="Y23" s="378">
        <v>20824.441173093801</v>
      </c>
      <c r="Z23" s="110" t="s">
        <v>660</v>
      </c>
      <c r="AA23" s="394" t="s">
        <v>642</v>
      </c>
      <c r="AB23" t="s">
        <v>194</v>
      </c>
      <c r="AC23">
        <v>13.9</v>
      </c>
      <c r="AD23">
        <v>83.6</v>
      </c>
      <c r="AE23">
        <v>1</v>
      </c>
      <c r="AF23" s="755">
        <v>4180</v>
      </c>
    </row>
    <row r="24" spans="1:32" x14ac:dyDescent="0.3">
      <c r="A24" s="151">
        <v>45273</v>
      </c>
      <c r="B24" s="189">
        <v>193</v>
      </c>
      <c r="C24" s="11" t="s">
        <v>544</v>
      </c>
      <c r="D24" s="10" t="s">
        <v>552</v>
      </c>
      <c r="E24" s="2" t="s">
        <v>588</v>
      </c>
      <c r="F24" s="2" t="s">
        <v>584</v>
      </c>
      <c r="G24" s="2" t="s">
        <v>567</v>
      </c>
      <c r="H24" s="14" t="s">
        <v>195</v>
      </c>
      <c r="I24" s="2" t="s">
        <v>527</v>
      </c>
      <c r="J24" s="57" t="s">
        <v>2</v>
      </c>
      <c r="K24" s="2" t="s">
        <v>532</v>
      </c>
      <c r="L24" s="2" t="s">
        <v>608</v>
      </c>
      <c r="M24" s="2" t="s">
        <v>531</v>
      </c>
      <c r="N24" s="2" t="s">
        <v>531</v>
      </c>
      <c r="O24" s="2" t="s">
        <v>571</v>
      </c>
      <c r="P24" s="2" t="s">
        <v>573</v>
      </c>
      <c r="Q24" s="67" t="s">
        <v>497</v>
      </c>
      <c r="R24" s="110" t="s">
        <v>519</v>
      </c>
      <c r="S24" s="172">
        <v>100</v>
      </c>
      <c r="T24" s="165">
        <v>1000</v>
      </c>
      <c r="U24" s="67" t="s">
        <v>0</v>
      </c>
      <c r="V24" s="165" t="s">
        <v>0</v>
      </c>
      <c r="W24" s="208">
        <v>593.67456378699637</v>
      </c>
      <c r="X24" s="208">
        <v>555.69210887135546</v>
      </c>
      <c r="Y24" s="378">
        <v>13892.30272178389</v>
      </c>
      <c r="Z24" s="110" t="s">
        <v>660</v>
      </c>
      <c r="AA24" s="394" t="s">
        <v>642</v>
      </c>
      <c r="AB24" t="s">
        <v>195</v>
      </c>
      <c r="AC24">
        <v>12.7</v>
      </c>
      <c r="AD24">
        <v>76.2</v>
      </c>
      <c r="AE24">
        <v>1</v>
      </c>
      <c r="AF24" s="755">
        <v>3810</v>
      </c>
    </row>
    <row r="25" spans="1:32" x14ac:dyDescent="0.3">
      <c r="A25" s="151">
        <v>45273</v>
      </c>
      <c r="B25" s="189">
        <v>194</v>
      </c>
      <c r="C25" s="11" t="s">
        <v>544</v>
      </c>
      <c r="D25" s="10" t="s">
        <v>552</v>
      </c>
      <c r="E25" s="2" t="s">
        <v>588</v>
      </c>
      <c r="F25" s="2" t="s">
        <v>584</v>
      </c>
      <c r="G25" s="2" t="s">
        <v>567</v>
      </c>
      <c r="H25" s="14" t="s">
        <v>196</v>
      </c>
      <c r="I25" s="2" t="s">
        <v>527</v>
      </c>
      <c r="J25" s="57" t="s">
        <v>2</v>
      </c>
      <c r="K25" s="2" t="s">
        <v>532</v>
      </c>
      <c r="L25" s="2" t="s">
        <v>608</v>
      </c>
      <c r="M25" s="2" t="s">
        <v>531</v>
      </c>
      <c r="N25" s="2" t="s">
        <v>531</v>
      </c>
      <c r="O25" s="2" t="s">
        <v>571</v>
      </c>
      <c r="P25" s="2" t="s">
        <v>573</v>
      </c>
      <c r="Q25" s="67" t="s">
        <v>498</v>
      </c>
      <c r="R25" s="110" t="s">
        <v>519</v>
      </c>
      <c r="S25" s="172">
        <v>100</v>
      </c>
      <c r="T25" s="165">
        <v>1000</v>
      </c>
      <c r="U25" s="67" t="s">
        <v>0</v>
      </c>
      <c r="V25" s="165" t="s">
        <v>0</v>
      </c>
      <c r="W25" s="208">
        <v>399.59178899156495</v>
      </c>
      <c r="X25" s="208">
        <v>374.02647419482406</v>
      </c>
      <c r="Y25" s="378">
        <v>9350.661854870601</v>
      </c>
      <c r="Z25" s="110" t="s">
        <v>660</v>
      </c>
      <c r="AA25" s="394" t="s">
        <v>642</v>
      </c>
      <c r="AB25" t="s">
        <v>196</v>
      </c>
      <c r="AC25">
        <v>4.5999999999999996</v>
      </c>
      <c r="AD25">
        <v>27.8</v>
      </c>
      <c r="AE25">
        <v>1</v>
      </c>
      <c r="AF25" s="755">
        <v>1390</v>
      </c>
    </row>
    <row r="26" spans="1:32" x14ac:dyDescent="0.3">
      <c r="A26" s="151">
        <v>45273</v>
      </c>
      <c r="B26" s="189">
        <v>195</v>
      </c>
      <c r="C26" s="11" t="s">
        <v>544</v>
      </c>
      <c r="D26" s="10" t="s">
        <v>552</v>
      </c>
      <c r="E26" s="2" t="s">
        <v>588</v>
      </c>
      <c r="F26" s="2" t="s">
        <v>584</v>
      </c>
      <c r="G26" s="2" t="s">
        <v>567</v>
      </c>
      <c r="H26" s="14" t="s">
        <v>197</v>
      </c>
      <c r="I26" s="2" t="s">
        <v>527</v>
      </c>
      <c r="J26" s="57" t="s">
        <v>2</v>
      </c>
      <c r="K26" s="2" t="s">
        <v>532</v>
      </c>
      <c r="L26" s="2" t="s">
        <v>608</v>
      </c>
      <c r="M26" s="2" t="s">
        <v>531</v>
      </c>
      <c r="N26" s="2" t="s">
        <v>531</v>
      </c>
      <c r="O26" s="2" t="s">
        <v>571</v>
      </c>
      <c r="P26" s="2" t="s">
        <v>573</v>
      </c>
      <c r="Q26" s="67" t="s">
        <v>499</v>
      </c>
      <c r="R26" s="110" t="s">
        <v>519</v>
      </c>
      <c r="S26" s="172">
        <v>100</v>
      </c>
      <c r="T26" s="165">
        <v>1000</v>
      </c>
      <c r="U26" s="67" t="s">
        <v>0</v>
      </c>
      <c r="V26" s="165" t="s">
        <v>0</v>
      </c>
      <c r="W26" s="208">
        <v>16282.891954792933</v>
      </c>
      <c r="X26" s="208">
        <v>15241.135667267245</v>
      </c>
      <c r="Y26" s="378">
        <v>381028.3916816811</v>
      </c>
      <c r="Z26" s="110" t="s">
        <v>660</v>
      </c>
      <c r="AA26" s="394" t="s">
        <v>642</v>
      </c>
      <c r="AB26" t="s">
        <v>197</v>
      </c>
      <c r="AC26">
        <v>181.1</v>
      </c>
      <c r="AD26">
        <v>1086.5999999999999</v>
      </c>
      <c r="AE26">
        <v>1</v>
      </c>
      <c r="AF26" s="755">
        <v>54329.999999999993</v>
      </c>
    </row>
    <row r="27" spans="1:32" x14ac:dyDescent="0.3">
      <c r="A27" s="151">
        <v>45273</v>
      </c>
      <c r="B27" s="188">
        <v>196</v>
      </c>
      <c r="C27" s="11" t="s">
        <v>544</v>
      </c>
      <c r="D27" s="10" t="s">
        <v>552</v>
      </c>
      <c r="E27" s="2" t="s">
        <v>588</v>
      </c>
      <c r="F27" s="2" t="s">
        <v>584</v>
      </c>
      <c r="G27" s="2" t="s">
        <v>567</v>
      </c>
      <c r="H27" s="14" t="s">
        <v>198</v>
      </c>
      <c r="I27" s="2" t="s">
        <v>527</v>
      </c>
      <c r="J27" s="57" t="s">
        <v>2</v>
      </c>
      <c r="K27" s="2" t="s">
        <v>532</v>
      </c>
      <c r="L27" s="2" t="s">
        <v>608</v>
      </c>
      <c r="M27" s="2" t="s">
        <v>531</v>
      </c>
      <c r="N27" s="2" t="s">
        <v>531</v>
      </c>
      <c r="O27" s="2" t="s">
        <v>571</v>
      </c>
      <c r="P27" s="2" t="s">
        <v>573</v>
      </c>
      <c r="Q27" s="67" t="s">
        <v>500</v>
      </c>
      <c r="R27" s="110" t="s">
        <v>519</v>
      </c>
      <c r="S27" s="172">
        <v>100</v>
      </c>
      <c r="T27" s="165">
        <v>1000</v>
      </c>
      <c r="U27" s="67" t="s">
        <v>0</v>
      </c>
      <c r="V27" s="165" t="s">
        <v>0</v>
      </c>
      <c r="W27" s="208">
        <v>8717.0777417649879</v>
      </c>
      <c r="X27" s="208">
        <v>8159.3714957525372</v>
      </c>
      <c r="Y27" s="378">
        <v>203984.28739381343</v>
      </c>
      <c r="Z27" s="110" t="s">
        <v>660</v>
      </c>
      <c r="AA27" s="394" t="s">
        <v>642</v>
      </c>
      <c r="AB27" t="s">
        <v>198</v>
      </c>
      <c r="AC27">
        <v>202.5</v>
      </c>
      <c r="AD27">
        <v>1215</v>
      </c>
      <c r="AE27">
        <v>1</v>
      </c>
      <c r="AF27" s="755">
        <v>60750</v>
      </c>
    </row>
    <row r="28" spans="1:32" x14ac:dyDescent="0.3">
      <c r="A28" s="151">
        <v>45273</v>
      </c>
      <c r="B28" s="189">
        <v>197</v>
      </c>
      <c r="C28" s="11" t="s">
        <v>544</v>
      </c>
      <c r="D28" s="10" t="s">
        <v>552</v>
      </c>
      <c r="E28" s="2" t="s">
        <v>588</v>
      </c>
      <c r="F28" s="2" t="s">
        <v>584</v>
      </c>
      <c r="G28" s="2" t="s">
        <v>567</v>
      </c>
      <c r="H28" s="14" t="s">
        <v>199</v>
      </c>
      <c r="I28" s="2" t="s">
        <v>527</v>
      </c>
      <c r="J28" s="57" t="s">
        <v>2</v>
      </c>
      <c r="K28" s="2" t="s">
        <v>532</v>
      </c>
      <c r="L28" s="2" t="s">
        <v>608</v>
      </c>
      <c r="M28" s="2" t="s">
        <v>531</v>
      </c>
      <c r="N28" s="2" t="s">
        <v>531</v>
      </c>
      <c r="O28" s="2" t="s">
        <v>571</v>
      </c>
      <c r="P28" s="2" t="s">
        <v>573</v>
      </c>
      <c r="Q28" s="67" t="s">
        <v>501</v>
      </c>
      <c r="R28" s="110" t="s">
        <v>519</v>
      </c>
      <c r="S28" s="172">
        <v>100</v>
      </c>
      <c r="T28" s="165">
        <v>1000</v>
      </c>
      <c r="U28" s="67" t="s">
        <v>0</v>
      </c>
      <c r="V28" s="165" t="s">
        <v>0</v>
      </c>
      <c r="W28" s="208">
        <v>3625.9872463209654</v>
      </c>
      <c r="X28" s="208">
        <v>3394.0017352194845</v>
      </c>
      <c r="Y28" s="378">
        <v>84850.043380487114</v>
      </c>
      <c r="Z28" s="110" t="s">
        <v>660</v>
      </c>
      <c r="AA28" s="394" t="s">
        <v>642</v>
      </c>
      <c r="AB28" t="s">
        <v>199</v>
      </c>
      <c r="AC28">
        <v>71.8</v>
      </c>
      <c r="AD28">
        <v>430.7</v>
      </c>
      <c r="AE28">
        <v>1</v>
      </c>
      <c r="AF28" s="755">
        <v>21535</v>
      </c>
    </row>
    <row r="29" spans="1:32" ht="16.2" thickBot="1" x14ac:dyDescent="0.35">
      <c r="A29" s="151">
        <v>45273</v>
      </c>
      <c r="B29" s="189">
        <v>198</v>
      </c>
      <c r="C29" s="11" t="s">
        <v>544</v>
      </c>
      <c r="D29" s="10" t="s">
        <v>552</v>
      </c>
      <c r="E29" s="2" t="s">
        <v>588</v>
      </c>
      <c r="F29" s="2" t="s">
        <v>584</v>
      </c>
      <c r="G29" s="2" t="s">
        <v>567</v>
      </c>
      <c r="H29" s="14" t="s">
        <v>200</v>
      </c>
      <c r="I29" s="2" t="s">
        <v>527</v>
      </c>
      <c r="J29" s="57" t="s">
        <v>2</v>
      </c>
      <c r="K29" s="2" t="s">
        <v>532</v>
      </c>
      <c r="L29" s="2" t="s">
        <v>608</v>
      </c>
      <c r="M29" s="2" t="s">
        <v>531</v>
      </c>
      <c r="N29" s="2" t="s">
        <v>531</v>
      </c>
      <c r="O29" s="2" t="s">
        <v>571</v>
      </c>
      <c r="P29" s="2" t="s">
        <v>573</v>
      </c>
      <c r="Q29" s="67" t="s">
        <v>502</v>
      </c>
      <c r="R29" s="110" t="s">
        <v>519</v>
      </c>
      <c r="S29" s="172">
        <v>100</v>
      </c>
      <c r="T29" s="165">
        <v>1000</v>
      </c>
      <c r="U29" s="67" t="s">
        <v>0</v>
      </c>
      <c r="V29" s="165" t="s">
        <v>0</v>
      </c>
      <c r="W29" s="208">
        <v>4950.981972292926</v>
      </c>
      <c r="X29" s="208">
        <v>4634.2251815838717</v>
      </c>
      <c r="Y29" s="378">
        <v>115855.62953959679</v>
      </c>
      <c r="Z29" s="110" t="s">
        <v>660</v>
      </c>
      <c r="AA29" s="394" t="s">
        <v>642</v>
      </c>
      <c r="AB29" t="s">
        <v>200</v>
      </c>
      <c r="AC29">
        <v>37.200000000000003</v>
      </c>
      <c r="AD29">
        <v>223.4</v>
      </c>
      <c r="AE29">
        <v>1</v>
      </c>
      <c r="AF29" s="755">
        <v>11170</v>
      </c>
    </row>
    <row r="30" spans="1:32" x14ac:dyDescent="0.3">
      <c r="A30" s="156">
        <v>45322</v>
      </c>
      <c r="B30" s="188">
        <v>377</v>
      </c>
      <c r="C30" s="102" t="s">
        <v>544</v>
      </c>
      <c r="D30" s="103" t="s">
        <v>552</v>
      </c>
      <c r="E30" s="160" t="s">
        <v>588</v>
      </c>
      <c r="F30" s="160" t="s">
        <v>584</v>
      </c>
      <c r="G30" s="43" t="s">
        <v>559</v>
      </c>
      <c r="H30" s="344" t="s">
        <v>374</v>
      </c>
      <c r="I30" s="117" t="s">
        <v>527</v>
      </c>
      <c r="J30" s="125" t="s">
        <v>550</v>
      </c>
      <c r="K30" s="17" t="s">
        <v>532</v>
      </c>
      <c r="L30" s="36" t="s">
        <v>608</v>
      </c>
      <c r="M30" s="117" t="s">
        <v>531</v>
      </c>
      <c r="N30" s="117" t="s">
        <v>531</v>
      </c>
      <c r="O30" s="117" t="s">
        <v>571</v>
      </c>
      <c r="P30" s="117" t="s">
        <v>573</v>
      </c>
      <c r="Q30" s="136" t="s">
        <v>496</v>
      </c>
      <c r="R30" s="117" t="s">
        <v>519</v>
      </c>
      <c r="S30" s="181">
        <v>100</v>
      </c>
      <c r="T30" s="170">
        <v>25</v>
      </c>
      <c r="U30" s="136" t="s">
        <v>0</v>
      </c>
      <c r="V30" s="164" t="s">
        <v>0</v>
      </c>
      <c r="W30" s="209">
        <v>541.61579517533448</v>
      </c>
      <c r="X30" s="209">
        <v>506.96398629435453</v>
      </c>
      <c r="Y30" s="206">
        <v>12674.099657358862</v>
      </c>
      <c r="Z30" s="117" t="s">
        <v>659</v>
      </c>
      <c r="AA30" s="404" t="s">
        <v>639</v>
      </c>
      <c r="AB30" t="s">
        <v>374</v>
      </c>
      <c r="AC30">
        <v>4.5999999999999996</v>
      </c>
      <c r="AD30">
        <v>27.8</v>
      </c>
      <c r="AE30">
        <v>1</v>
      </c>
      <c r="AF30" s="755">
        <v>1390</v>
      </c>
    </row>
    <row r="31" spans="1:32" x14ac:dyDescent="0.3">
      <c r="A31" s="154">
        <v>45322</v>
      </c>
      <c r="B31" s="188">
        <v>378</v>
      </c>
      <c r="C31" s="98" t="s">
        <v>544</v>
      </c>
      <c r="D31" s="100" t="s">
        <v>552</v>
      </c>
      <c r="E31" s="161" t="s">
        <v>588</v>
      </c>
      <c r="F31" s="161" t="s">
        <v>584</v>
      </c>
      <c r="G31" s="2" t="s">
        <v>559</v>
      </c>
      <c r="H31" s="345" t="s">
        <v>375</v>
      </c>
      <c r="I31" s="110" t="s">
        <v>527</v>
      </c>
      <c r="J31" s="121" t="s">
        <v>550</v>
      </c>
      <c r="K31" s="2" t="s">
        <v>532</v>
      </c>
      <c r="L31" s="67" t="s">
        <v>608</v>
      </c>
      <c r="M31" s="110" t="s">
        <v>531</v>
      </c>
      <c r="N31" s="110" t="s">
        <v>531</v>
      </c>
      <c r="O31" s="110" t="s">
        <v>571</v>
      </c>
      <c r="P31" s="110" t="s">
        <v>573</v>
      </c>
      <c r="Q31" s="137" t="s">
        <v>497</v>
      </c>
      <c r="R31" s="110" t="s">
        <v>519</v>
      </c>
      <c r="S31" s="166">
        <v>100</v>
      </c>
      <c r="T31" s="172">
        <v>25</v>
      </c>
      <c r="U31" s="137" t="s">
        <v>0</v>
      </c>
      <c r="V31" s="165" t="s">
        <v>0</v>
      </c>
      <c r="W31" s="208">
        <v>404.15759272471041</v>
      </c>
      <c r="X31" s="208">
        <v>378.30016429362144</v>
      </c>
      <c r="Y31" s="206">
        <v>9457.5041073405355</v>
      </c>
      <c r="Z31" s="110" t="s">
        <v>659</v>
      </c>
      <c r="AA31" s="393" t="s">
        <v>639</v>
      </c>
      <c r="AB31" t="s">
        <v>375</v>
      </c>
      <c r="AC31">
        <v>5.4</v>
      </c>
      <c r="AD31">
        <v>32.200000000000003</v>
      </c>
      <c r="AE31">
        <v>1</v>
      </c>
      <c r="AF31" s="755">
        <v>1610.0000000000002</v>
      </c>
    </row>
    <row r="32" spans="1:32" x14ac:dyDescent="0.3">
      <c r="A32" s="154">
        <v>45322</v>
      </c>
      <c r="B32" s="189">
        <v>379</v>
      </c>
      <c r="C32" s="98" t="s">
        <v>544</v>
      </c>
      <c r="D32" s="99" t="s">
        <v>552</v>
      </c>
      <c r="E32" s="110" t="s">
        <v>588</v>
      </c>
      <c r="F32" s="110" t="s">
        <v>584</v>
      </c>
      <c r="G32" s="2" t="s">
        <v>559</v>
      </c>
      <c r="H32" s="345" t="s">
        <v>376</v>
      </c>
      <c r="I32" s="110" t="s">
        <v>527</v>
      </c>
      <c r="J32" s="121" t="s">
        <v>550</v>
      </c>
      <c r="K32" s="2" t="s">
        <v>532</v>
      </c>
      <c r="L32" s="67" t="s">
        <v>608</v>
      </c>
      <c r="M32" s="110" t="s">
        <v>531</v>
      </c>
      <c r="N32" s="110" t="s">
        <v>531</v>
      </c>
      <c r="O32" s="110" t="s">
        <v>571</v>
      </c>
      <c r="P32" s="110" t="s">
        <v>573</v>
      </c>
      <c r="Q32" s="137" t="s">
        <v>498</v>
      </c>
      <c r="R32" s="110" t="s">
        <v>519</v>
      </c>
      <c r="S32" s="166">
        <v>100</v>
      </c>
      <c r="T32" s="166">
        <v>25</v>
      </c>
      <c r="U32" s="89" t="s">
        <v>0</v>
      </c>
      <c r="V32" s="165" t="s">
        <v>0</v>
      </c>
      <c r="W32" s="208">
        <v>224.23906619158433</v>
      </c>
      <c r="X32" s="208">
        <v>209.89256940449422</v>
      </c>
      <c r="Y32" s="206">
        <v>5247.3142351123552</v>
      </c>
      <c r="Z32" s="110" t="s">
        <v>659</v>
      </c>
      <c r="AA32" s="393" t="s">
        <v>639</v>
      </c>
      <c r="AB32" t="s">
        <v>376</v>
      </c>
      <c r="AC32">
        <v>6.1</v>
      </c>
      <c r="AD32">
        <v>36.4</v>
      </c>
      <c r="AE32">
        <v>1</v>
      </c>
      <c r="AF32" s="755">
        <v>1820</v>
      </c>
    </row>
    <row r="33" spans="1:32" x14ac:dyDescent="0.3">
      <c r="A33" s="154">
        <v>45322</v>
      </c>
      <c r="B33" s="189">
        <v>380</v>
      </c>
      <c r="C33" s="98" t="s">
        <v>544</v>
      </c>
      <c r="D33" s="99" t="s">
        <v>552</v>
      </c>
      <c r="E33" s="110" t="s">
        <v>588</v>
      </c>
      <c r="F33" s="110" t="s">
        <v>584</v>
      </c>
      <c r="G33" s="2" t="s">
        <v>559</v>
      </c>
      <c r="H33" s="345" t="s">
        <v>377</v>
      </c>
      <c r="I33" s="110" t="s">
        <v>527</v>
      </c>
      <c r="J33" s="121" t="s">
        <v>550</v>
      </c>
      <c r="K33" s="2" t="s">
        <v>532</v>
      </c>
      <c r="L33" s="67" t="s">
        <v>608</v>
      </c>
      <c r="M33" s="110" t="s">
        <v>531</v>
      </c>
      <c r="N33" s="110" t="s">
        <v>531</v>
      </c>
      <c r="O33" s="110" t="s">
        <v>571</v>
      </c>
      <c r="P33" s="110" t="s">
        <v>573</v>
      </c>
      <c r="Q33" s="137" t="s">
        <v>499</v>
      </c>
      <c r="R33" s="110" t="s">
        <v>519</v>
      </c>
      <c r="S33" s="166">
        <v>100</v>
      </c>
      <c r="T33" s="166">
        <v>25</v>
      </c>
      <c r="U33" s="67" t="s">
        <v>0</v>
      </c>
      <c r="V33" s="165" t="s">
        <v>0</v>
      </c>
      <c r="W33" s="208">
        <v>673.22550038700183</v>
      </c>
      <c r="X33" s="208">
        <v>630.15348959813548</v>
      </c>
      <c r="Y33" s="206">
        <v>15753.837239953387</v>
      </c>
      <c r="Z33" s="110" t="s">
        <v>659</v>
      </c>
      <c r="AA33" s="393" t="s">
        <v>639</v>
      </c>
      <c r="AB33" t="s">
        <v>377</v>
      </c>
      <c r="AC33">
        <v>16.600000000000001</v>
      </c>
      <c r="AD33">
        <v>99.3</v>
      </c>
      <c r="AE33">
        <v>1</v>
      </c>
      <c r="AF33" s="755">
        <v>4965</v>
      </c>
    </row>
    <row r="34" spans="1:32" x14ac:dyDescent="0.3">
      <c r="A34" s="154">
        <v>45322</v>
      </c>
      <c r="B34" s="189">
        <v>381</v>
      </c>
      <c r="C34" s="98" t="s">
        <v>544</v>
      </c>
      <c r="D34" s="99" t="s">
        <v>552</v>
      </c>
      <c r="E34" s="110" t="s">
        <v>588</v>
      </c>
      <c r="F34" s="110" t="s">
        <v>584</v>
      </c>
      <c r="G34" s="2" t="s">
        <v>559</v>
      </c>
      <c r="H34" s="345" t="s">
        <v>378</v>
      </c>
      <c r="I34" s="110" t="s">
        <v>527</v>
      </c>
      <c r="J34" s="121" t="s">
        <v>550</v>
      </c>
      <c r="K34" s="2" t="s">
        <v>532</v>
      </c>
      <c r="L34" s="67" t="s">
        <v>608</v>
      </c>
      <c r="M34" s="110" t="s">
        <v>531</v>
      </c>
      <c r="N34" s="110" t="s">
        <v>531</v>
      </c>
      <c r="O34" s="110" t="s">
        <v>571</v>
      </c>
      <c r="P34" s="110" t="s">
        <v>573</v>
      </c>
      <c r="Q34" s="137" t="s">
        <v>499</v>
      </c>
      <c r="R34" s="110" t="s">
        <v>519</v>
      </c>
      <c r="S34" s="166">
        <v>100</v>
      </c>
      <c r="T34" s="166">
        <v>25</v>
      </c>
      <c r="U34" s="67" t="s">
        <v>0</v>
      </c>
      <c r="V34" s="165" t="s">
        <v>0</v>
      </c>
      <c r="W34" s="208">
        <v>349.00963079076308</v>
      </c>
      <c r="X34" s="208">
        <v>326.68049059301865</v>
      </c>
      <c r="Y34" s="206">
        <v>8167.0122648254655</v>
      </c>
      <c r="Z34" s="110" t="s">
        <v>659</v>
      </c>
      <c r="AA34" s="393" t="s">
        <v>639</v>
      </c>
      <c r="AB34" t="s">
        <v>378</v>
      </c>
      <c r="AC34">
        <v>4.3</v>
      </c>
      <c r="AD34">
        <v>25.8</v>
      </c>
      <c r="AE34">
        <v>1</v>
      </c>
      <c r="AF34" s="755">
        <v>1290</v>
      </c>
    </row>
    <row r="35" spans="1:32" x14ac:dyDescent="0.3">
      <c r="A35" s="154">
        <v>45322</v>
      </c>
      <c r="B35" s="189">
        <v>382</v>
      </c>
      <c r="C35" s="98" t="s">
        <v>544</v>
      </c>
      <c r="D35" s="99" t="s">
        <v>552</v>
      </c>
      <c r="E35" s="110" t="s">
        <v>588</v>
      </c>
      <c r="F35" s="110" t="s">
        <v>584</v>
      </c>
      <c r="G35" s="2" t="s">
        <v>559</v>
      </c>
      <c r="H35" s="345" t="s">
        <v>379</v>
      </c>
      <c r="I35" s="110" t="s">
        <v>527</v>
      </c>
      <c r="J35" s="121" t="s">
        <v>550</v>
      </c>
      <c r="K35" s="2" t="s">
        <v>532</v>
      </c>
      <c r="L35" s="67" t="s">
        <v>608</v>
      </c>
      <c r="M35" s="110" t="s">
        <v>531</v>
      </c>
      <c r="N35" s="110" t="s">
        <v>531</v>
      </c>
      <c r="O35" s="110" t="s">
        <v>571</v>
      </c>
      <c r="P35" s="110" t="s">
        <v>573</v>
      </c>
      <c r="Q35" s="137" t="s">
        <v>500</v>
      </c>
      <c r="R35" s="110" t="s">
        <v>519</v>
      </c>
      <c r="S35" s="166">
        <v>100</v>
      </c>
      <c r="T35" s="166">
        <v>25</v>
      </c>
      <c r="U35" s="67" t="s">
        <v>0</v>
      </c>
      <c r="V35" s="165" t="s">
        <v>0</v>
      </c>
      <c r="W35" s="208">
        <v>174.12380000134499</v>
      </c>
      <c r="X35" s="208">
        <v>162.98360672591934</v>
      </c>
      <c r="Y35" s="206">
        <v>4074.5901681479827</v>
      </c>
      <c r="Z35" s="110" t="s">
        <v>659</v>
      </c>
      <c r="AA35" s="393" t="s">
        <v>639</v>
      </c>
      <c r="AB35" t="s">
        <v>379</v>
      </c>
      <c r="AC35">
        <v>3.2</v>
      </c>
      <c r="AD35">
        <v>19.5</v>
      </c>
      <c r="AE35">
        <v>1</v>
      </c>
      <c r="AF35" s="755">
        <v>975</v>
      </c>
    </row>
    <row r="36" spans="1:32" x14ac:dyDescent="0.3">
      <c r="A36" s="154">
        <v>45322</v>
      </c>
      <c r="B36" s="189">
        <v>383</v>
      </c>
      <c r="C36" s="98" t="s">
        <v>544</v>
      </c>
      <c r="D36" s="99" t="s">
        <v>552</v>
      </c>
      <c r="E36" s="110" t="s">
        <v>588</v>
      </c>
      <c r="F36" s="110" t="s">
        <v>584</v>
      </c>
      <c r="G36" s="2" t="s">
        <v>559</v>
      </c>
      <c r="H36" s="345" t="s">
        <v>380</v>
      </c>
      <c r="I36" s="110" t="s">
        <v>527</v>
      </c>
      <c r="J36" s="121" t="s">
        <v>550</v>
      </c>
      <c r="K36" s="2" t="s">
        <v>532</v>
      </c>
      <c r="L36" s="67" t="s">
        <v>608</v>
      </c>
      <c r="M36" s="110" t="s">
        <v>531</v>
      </c>
      <c r="N36" s="110" t="s">
        <v>531</v>
      </c>
      <c r="O36" s="110" t="s">
        <v>571</v>
      </c>
      <c r="P36" s="110" t="s">
        <v>573</v>
      </c>
      <c r="Q36" s="137" t="s">
        <v>502</v>
      </c>
      <c r="R36" s="110" t="s">
        <v>519</v>
      </c>
      <c r="S36" s="166">
        <v>100</v>
      </c>
      <c r="T36" s="166">
        <v>25</v>
      </c>
      <c r="U36" s="67" t="s">
        <v>0</v>
      </c>
      <c r="V36" s="165" t="s">
        <v>0</v>
      </c>
      <c r="W36" s="208">
        <v>298.96359087068669</v>
      </c>
      <c r="X36" s="208">
        <v>279.8363251862196</v>
      </c>
      <c r="Y36" s="206">
        <v>6995.9081296554905</v>
      </c>
      <c r="Z36" s="110" t="s">
        <v>659</v>
      </c>
      <c r="AA36" s="393" t="s">
        <v>639</v>
      </c>
      <c r="AB36" t="s">
        <v>380</v>
      </c>
      <c r="AC36">
        <v>10.4</v>
      </c>
      <c r="AD36">
        <v>62.2</v>
      </c>
      <c r="AE36">
        <v>1</v>
      </c>
      <c r="AF36" s="755">
        <v>3110</v>
      </c>
    </row>
    <row r="37" spans="1:32" x14ac:dyDescent="0.3">
      <c r="A37" s="154">
        <v>45322</v>
      </c>
      <c r="B37" s="189">
        <v>384</v>
      </c>
      <c r="C37" s="98" t="s">
        <v>544</v>
      </c>
      <c r="D37" s="99" t="s">
        <v>552</v>
      </c>
      <c r="E37" s="110" t="s">
        <v>588</v>
      </c>
      <c r="F37" s="110" t="s">
        <v>584</v>
      </c>
      <c r="G37" s="2" t="s">
        <v>559</v>
      </c>
      <c r="H37" s="345" t="s">
        <v>381</v>
      </c>
      <c r="I37" s="110" t="s">
        <v>527</v>
      </c>
      <c r="J37" s="122" t="s">
        <v>551</v>
      </c>
      <c r="K37" s="2" t="s">
        <v>532</v>
      </c>
      <c r="L37" s="67" t="s">
        <v>608</v>
      </c>
      <c r="M37" s="110" t="s">
        <v>531</v>
      </c>
      <c r="N37" s="110" t="s">
        <v>531</v>
      </c>
      <c r="O37" s="110" t="s">
        <v>571</v>
      </c>
      <c r="P37" s="110" t="s">
        <v>573</v>
      </c>
      <c r="Q37" s="137" t="s">
        <v>496</v>
      </c>
      <c r="R37" s="110" t="s">
        <v>519</v>
      </c>
      <c r="S37" s="166">
        <v>100</v>
      </c>
      <c r="T37" s="166">
        <v>25</v>
      </c>
      <c r="U37" s="67" t="s">
        <v>0</v>
      </c>
      <c r="V37" s="165" t="s">
        <v>0</v>
      </c>
      <c r="W37" s="208">
        <v>481.77294951366287</v>
      </c>
      <c r="X37" s="208">
        <v>450.94980085499225</v>
      </c>
      <c r="Y37" s="206">
        <v>11273.745021374805</v>
      </c>
      <c r="Z37" s="110" t="s">
        <v>659</v>
      </c>
      <c r="AA37" s="393" t="s">
        <v>640</v>
      </c>
      <c r="AB37" t="s">
        <v>381</v>
      </c>
      <c r="AC37">
        <v>7.9</v>
      </c>
      <c r="AD37">
        <v>47.2</v>
      </c>
      <c r="AE37">
        <v>1</v>
      </c>
      <c r="AF37" s="755">
        <v>2360</v>
      </c>
    </row>
    <row r="38" spans="1:32" x14ac:dyDescent="0.3">
      <c r="A38" s="154">
        <v>45322</v>
      </c>
      <c r="B38" s="189">
        <v>385</v>
      </c>
      <c r="C38" s="98" t="s">
        <v>544</v>
      </c>
      <c r="D38" s="99" t="s">
        <v>552</v>
      </c>
      <c r="E38" s="110" t="s">
        <v>588</v>
      </c>
      <c r="F38" s="110" t="s">
        <v>584</v>
      </c>
      <c r="G38" s="2" t="s">
        <v>559</v>
      </c>
      <c r="H38" s="345" t="s">
        <v>382</v>
      </c>
      <c r="I38" s="110" t="s">
        <v>527</v>
      </c>
      <c r="J38" s="122" t="s">
        <v>551</v>
      </c>
      <c r="K38" s="2" t="s">
        <v>532</v>
      </c>
      <c r="L38" s="67" t="s">
        <v>608</v>
      </c>
      <c r="M38" s="110" t="s">
        <v>531</v>
      </c>
      <c r="N38" s="110" t="s">
        <v>531</v>
      </c>
      <c r="O38" s="110" t="s">
        <v>571</v>
      </c>
      <c r="P38" s="110" t="s">
        <v>573</v>
      </c>
      <c r="Q38" s="137" t="s">
        <v>497</v>
      </c>
      <c r="R38" s="110" t="s">
        <v>519</v>
      </c>
      <c r="S38" s="166">
        <v>100</v>
      </c>
      <c r="T38" s="166">
        <v>25</v>
      </c>
      <c r="U38" s="67" t="s">
        <v>0</v>
      </c>
      <c r="V38" s="165" t="s">
        <v>0</v>
      </c>
      <c r="W38" s="208">
        <v>30.953020084417808</v>
      </c>
      <c r="X38" s="208">
        <v>28.972689846989709</v>
      </c>
      <c r="Y38" s="206">
        <v>724.31724617474276</v>
      </c>
      <c r="Z38" s="110" t="s">
        <v>659</v>
      </c>
      <c r="AA38" s="393" t="s">
        <v>640</v>
      </c>
      <c r="AB38" t="s">
        <v>382</v>
      </c>
      <c r="AC38">
        <v>0.7</v>
      </c>
      <c r="AD38">
        <v>4.4000000000000004</v>
      </c>
      <c r="AE38">
        <v>1</v>
      </c>
      <c r="AF38" s="755">
        <v>220.00000000000003</v>
      </c>
    </row>
    <row r="39" spans="1:32" x14ac:dyDescent="0.3">
      <c r="A39" s="154">
        <v>45322</v>
      </c>
      <c r="B39" s="189">
        <v>386</v>
      </c>
      <c r="C39" s="98" t="s">
        <v>544</v>
      </c>
      <c r="D39" s="99" t="s">
        <v>552</v>
      </c>
      <c r="E39" s="110" t="s">
        <v>588</v>
      </c>
      <c r="F39" s="110" t="s">
        <v>584</v>
      </c>
      <c r="G39" s="2" t="s">
        <v>559</v>
      </c>
      <c r="H39" s="345" t="s">
        <v>383</v>
      </c>
      <c r="I39" s="110" t="s">
        <v>527</v>
      </c>
      <c r="J39" s="122" t="s">
        <v>551</v>
      </c>
      <c r="K39" s="2" t="s">
        <v>532</v>
      </c>
      <c r="L39" s="67" t="s">
        <v>608</v>
      </c>
      <c r="M39" s="110" t="s">
        <v>531</v>
      </c>
      <c r="N39" s="110" t="s">
        <v>531</v>
      </c>
      <c r="O39" s="110" t="s">
        <v>571</v>
      </c>
      <c r="P39" s="110" t="s">
        <v>573</v>
      </c>
      <c r="Q39" s="137" t="s">
        <v>498</v>
      </c>
      <c r="R39" s="110" t="s">
        <v>519</v>
      </c>
      <c r="S39" s="166">
        <v>100</v>
      </c>
      <c r="T39" s="166">
        <v>25</v>
      </c>
      <c r="U39" s="67" t="s">
        <v>0</v>
      </c>
      <c r="V39" s="165" t="s">
        <v>0</v>
      </c>
      <c r="W39" s="208">
        <v>312.31219103834565</v>
      </c>
      <c r="X39" s="208">
        <v>292.3309008849493</v>
      </c>
      <c r="Y39" s="206">
        <v>7308.2725221237315</v>
      </c>
      <c r="Z39" s="110" t="s">
        <v>659</v>
      </c>
      <c r="AA39" s="393" t="s">
        <v>640</v>
      </c>
      <c r="AB39" t="s">
        <v>383</v>
      </c>
      <c r="AC39">
        <v>2.5</v>
      </c>
      <c r="AD39">
        <v>15</v>
      </c>
      <c r="AE39">
        <v>1</v>
      </c>
      <c r="AF39" s="755">
        <v>750</v>
      </c>
    </row>
    <row r="40" spans="1:32" x14ac:dyDescent="0.3">
      <c r="A40" s="154">
        <v>45322</v>
      </c>
      <c r="B40" s="189">
        <v>387</v>
      </c>
      <c r="C40" s="98" t="s">
        <v>544</v>
      </c>
      <c r="D40" s="99" t="s">
        <v>552</v>
      </c>
      <c r="E40" s="110" t="s">
        <v>588</v>
      </c>
      <c r="F40" s="110" t="s">
        <v>584</v>
      </c>
      <c r="G40" s="2" t="s">
        <v>559</v>
      </c>
      <c r="H40" s="345" t="s">
        <v>384</v>
      </c>
      <c r="I40" s="110" t="s">
        <v>527</v>
      </c>
      <c r="J40" s="122" t="s">
        <v>551</v>
      </c>
      <c r="K40" s="2" t="s">
        <v>532</v>
      </c>
      <c r="L40" s="67" t="s">
        <v>608</v>
      </c>
      <c r="M40" s="110" t="s">
        <v>531</v>
      </c>
      <c r="N40" s="110" t="s">
        <v>531</v>
      </c>
      <c r="O40" s="110" t="s">
        <v>571</v>
      </c>
      <c r="P40" s="110" t="s">
        <v>573</v>
      </c>
      <c r="Q40" s="137" t="s">
        <v>499</v>
      </c>
      <c r="R40" s="110" t="s">
        <v>519</v>
      </c>
      <c r="S40" s="166">
        <v>100</v>
      </c>
      <c r="T40" s="166">
        <v>25</v>
      </c>
      <c r="U40" s="67" t="s">
        <v>0</v>
      </c>
      <c r="V40" s="165" t="s">
        <v>0</v>
      </c>
      <c r="W40" s="208">
        <v>342.69894222706091</v>
      </c>
      <c r="X40" s="208">
        <v>320.77355091545445</v>
      </c>
      <c r="Y40" s="206">
        <v>8019.3387728863627</v>
      </c>
      <c r="Z40" s="110" t="s">
        <v>659</v>
      </c>
      <c r="AA40" s="393" t="s">
        <v>640</v>
      </c>
      <c r="AB40" t="s">
        <v>384</v>
      </c>
      <c r="AC40">
        <v>4.3</v>
      </c>
      <c r="AD40">
        <v>25.8</v>
      </c>
      <c r="AE40">
        <v>1</v>
      </c>
      <c r="AF40" s="755">
        <v>1290</v>
      </c>
    </row>
    <row r="41" spans="1:32" x14ac:dyDescent="0.3">
      <c r="A41" s="154">
        <v>45322</v>
      </c>
      <c r="B41" s="189">
        <v>388</v>
      </c>
      <c r="C41" s="98" t="s">
        <v>544</v>
      </c>
      <c r="D41" s="99" t="s">
        <v>552</v>
      </c>
      <c r="E41" s="110" t="s">
        <v>588</v>
      </c>
      <c r="F41" s="110" t="s">
        <v>584</v>
      </c>
      <c r="G41" s="2" t="s">
        <v>559</v>
      </c>
      <c r="H41" s="345" t="s">
        <v>385</v>
      </c>
      <c r="I41" s="110" t="s">
        <v>527</v>
      </c>
      <c r="J41" s="122" t="s">
        <v>551</v>
      </c>
      <c r="K41" s="2" t="s">
        <v>532</v>
      </c>
      <c r="L41" s="67" t="s">
        <v>608</v>
      </c>
      <c r="M41" s="110" t="s">
        <v>531</v>
      </c>
      <c r="N41" s="110" t="s">
        <v>531</v>
      </c>
      <c r="O41" s="110" t="s">
        <v>571</v>
      </c>
      <c r="P41" s="110" t="s">
        <v>573</v>
      </c>
      <c r="Q41" s="137" t="s">
        <v>499</v>
      </c>
      <c r="R41" s="110" t="s">
        <v>519</v>
      </c>
      <c r="S41" s="166">
        <v>100</v>
      </c>
      <c r="T41" s="166">
        <v>25</v>
      </c>
      <c r="U41" s="67" t="s">
        <v>0</v>
      </c>
      <c r="V41" s="165" t="s">
        <v>0</v>
      </c>
      <c r="W41" s="208">
        <v>430.270278147206</v>
      </c>
      <c r="X41" s="208">
        <v>402.74219721172216</v>
      </c>
      <c r="Y41" s="206">
        <v>10068.554930293054</v>
      </c>
      <c r="Z41" s="110" t="s">
        <v>659</v>
      </c>
      <c r="AA41" s="393" t="s">
        <v>640</v>
      </c>
      <c r="AB41" t="s">
        <v>385</v>
      </c>
      <c r="AC41">
        <v>6.4</v>
      </c>
      <c r="AD41">
        <v>38.6</v>
      </c>
      <c r="AE41">
        <v>1</v>
      </c>
      <c r="AF41" s="755">
        <v>1930</v>
      </c>
    </row>
    <row r="42" spans="1:32" x14ac:dyDescent="0.3">
      <c r="A42" s="154">
        <v>45322</v>
      </c>
      <c r="B42" s="189">
        <v>389</v>
      </c>
      <c r="C42" s="98" t="s">
        <v>544</v>
      </c>
      <c r="D42" s="99" t="s">
        <v>552</v>
      </c>
      <c r="E42" s="110" t="s">
        <v>588</v>
      </c>
      <c r="F42" s="110" t="s">
        <v>584</v>
      </c>
      <c r="G42" s="2" t="s">
        <v>559</v>
      </c>
      <c r="H42" s="345" t="s">
        <v>386</v>
      </c>
      <c r="I42" s="110" t="s">
        <v>527</v>
      </c>
      <c r="J42" s="122" t="s">
        <v>551</v>
      </c>
      <c r="K42" s="2" t="s">
        <v>532</v>
      </c>
      <c r="L42" s="67" t="s">
        <v>608</v>
      </c>
      <c r="M42" s="110" t="s">
        <v>531</v>
      </c>
      <c r="N42" s="110" t="s">
        <v>531</v>
      </c>
      <c r="O42" s="110" t="s">
        <v>571</v>
      </c>
      <c r="P42" s="110" t="s">
        <v>573</v>
      </c>
      <c r="Q42" s="137" t="s">
        <v>500</v>
      </c>
      <c r="R42" s="110" t="s">
        <v>519</v>
      </c>
      <c r="S42" s="166">
        <v>100</v>
      </c>
      <c r="T42" s="166">
        <v>25</v>
      </c>
      <c r="U42" s="67" t="s">
        <v>0</v>
      </c>
      <c r="V42" s="165" t="s">
        <v>0</v>
      </c>
      <c r="W42" s="208">
        <v>460.89549126671426</v>
      </c>
      <c r="X42" s="208">
        <v>431.40805271756824</v>
      </c>
      <c r="Y42" s="206">
        <v>10785.201317939205</v>
      </c>
      <c r="Z42" s="110" t="s">
        <v>659</v>
      </c>
      <c r="AA42" s="393" t="s">
        <v>640</v>
      </c>
      <c r="AB42" t="s">
        <v>386</v>
      </c>
      <c r="AC42">
        <v>10.7</v>
      </c>
      <c r="AD42">
        <v>64.2</v>
      </c>
      <c r="AE42">
        <v>1</v>
      </c>
      <c r="AF42" s="755">
        <v>3210</v>
      </c>
    </row>
    <row r="43" spans="1:32" ht="16.2" thickBot="1" x14ac:dyDescent="0.35">
      <c r="A43" s="154">
        <v>45322</v>
      </c>
      <c r="B43" s="189">
        <v>390</v>
      </c>
      <c r="C43" s="98" t="s">
        <v>544</v>
      </c>
      <c r="D43" s="99" t="s">
        <v>552</v>
      </c>
      <c r="E43" s="110" t="s">
        <v>588</v>
      </c>
      <c r="F43" s="110" t="s">
        <v>584</v>
      </c>
      <c r="G43" s="2" t="s">
        <v>559</v>
      </c>
      <c r="H43" s="345" t="s">
        <v>387</v>
      </c>
      <c r="I43" s="110" t="s">
        <v>527</v>
      </c>
      <c r="J43" s="122" t="s">
        <v>551</v>
      </c>
      <c r="K43" s="2" t="s">
        <v>532</v>
      </c>
      <c r="L43" s="67" t="s">
        <v>608</v>
      </c>
      <c r="M43" s="110" t="s">
        <v>531</v>
      </c>
      <c r="N43" s="110" t="s">
        <v>531</v>
      </c>
      <c r="O43" s="110" t="s">
        <v>571</v>
      </c>
      <c r="P43" s="110" t="s">
        <v>573</v>
      </c>
      <c r="Q43" s="137" t="s">
        <v>502</v>
      </c>
      <c r="R43" s="110" t="s">
        <v>519</v>
      </c>
      <c r="S43" s="166">
        <v>100</v>
      </c>
      <c r="T43" s="166">
        <v>25</v>
      </c>
      <c r="U43" s="67" t="s">
        <v>0</v>
      </c>
      <c r="V43" s="165" t="s">
        <v>0</v>
      </c>
      <c r="W43" s="208">
        <v>109.85777025650007</v>
      </c>
      <c r="X43" s="208">
        <v>102.82922623520452</v>
      </c>
      <c r="Y43" s="206">
        <v>2570.7306558801129</v>
      </c>
      <c r="Z43" s="110" t="s">
        <v>659</v>
      </c>
      <c r="AA43" s="393" t="s">
        <v>640</v>
      </c>
      <c r="AB43" t="s">
        <v>387</v>
      </c>
      <c r="AC43">
        <v>0.7</v>
      </c>
      <c r="AD43">
        <v>4.3</v>
      </c>
      <c r="AE43">
        <v>1</v>
      </c>
      <c r="AF43" s="755">
        <v>215</v>
      </c>
    </row>
    <row r="44" spans="1:32" x14ac:dyDescent="0.3">
      <c r="A44" s="158">
        <v>45350</v>
      </c>
      <c r="B44" s="188">
        <v>425</v>
      </c>
      <c r="C44" s="77" t="s">
        <v>544</v>
      </c>
      <c r="D44" s="30" t="s">
        <v>552</v>
      </c>
      <c r="E44" s="28" t="s">
        <v>588</v>
      </c>
      <c r="F44" s="28" t="s">
        <v>584</v>
      </c>
      <c r="G44" s="28" t="s">
        <v>561</v>
      </c>
      <c r="H44" s="31" t="s">
        <v>422</v>
      </c>
      <c r="I44" s="117" t="s">
        <v>527</v>
      </c>
      <c r="J44" s="29" t="s">
        <v>550</v>
      </c>
      <c r="K44" s="28" t="s">
        <v>532</v>
      </c>
      <c r="L44" s="28" t="s">
        <v>608</v>
      </c>
      <c r="M44" s="28" t="s">
        <v>531</v>
      </c>
      <c r="N44" s="28" t="s">
        <v>531</v>
      </c>
      <c r="O44" s="28" t="s">
        <v>571</v>
      </c>
      <c r="P44" s="28" t="s">
        <v>573</v>
      </c>
      <c r="Q44" s="72" t="s">
        <v>496</v>
      </c>
      <c r="R44" s="117" t="s">
        <v>519</v>
      </c>
      <c r="S44" s="185">
        <v>400</v>
      </c>
      <c r="T44" s="181">
        <v>25</v>
      </c>
      <c r="U44" s="72" t="s">
        <v>0</v>
      </c>
      <c r="V44" s="164" t="s">
        <v>0</v>
      </c>
      <c r="W44" s="209">
        <v>1422.7176470588233</v>
      </c>
      <c r="X44" s="209">
        <v>1331.6941938349009</v>
      </c>
      <c r="Y44" s="206">
        <v>33292.354845872513</v>
      </c>
      <c r="Z44" s="110" t="s">
        <v>659</v>
      </c>
      <c r="AA44" s="404" t="s">
        <v>639</v>
      </c>
      <c r="AB44" t="s">
        <v>422</v>
      </c>
      <c r="AC44">
        <v>63.7</v>
      </c>
      <c r="AD44">
        <v>382.1</v>
      </c>
      <c r="AE44">
        <v>1</v>
      </c>
      <c r="AF44" s="755">
        <v>19105</v>
      </c>
    </row>
    <row r="45" spans="1:32" x14ac:dyDescent="0.3">
      <c r="A45" s="151">
        <v>45350</v>
      </c>
      <c r="B45" s="189">
        <v>426</v>
      </c>
      <c r="C45" s="11" t="s">
        <v>544</v>
      </c>
      <c r="D45" s="10" t="s">
        <v>552</v>
      </c>
      <c r="E45" s="2" t="s">
        <v>588</v>
      </c>
      <c r="F45" s="2" t="s">
        <v>584</v>
      </c>
      <c r="G45" s="2" t="s">
        <v>561</v>
      </c>
      <c r="H45" s="13" t="s">
        <v>423</v>
      </c>
      <c r="I45" s="110" t="s">
        <v>527</v>
      </c>
      <c r="J45" s="15" t="s">
        <v>550</v>
      </c>
      <c r="K45" s="2" t="s">
        <v>532</v>
      </c>
      <c r="L45" s="2" t="s">
        <v>608</v>
      </c>
      <c r="M45" s="2" t="s">
        <v>531</v>
      </c>
      <c r="N45" s="2" t="s">
        <v>531</v>
      </c>
      <c r="O45" s="2" t="s">
        <v>571</v>
      </c>
      <c r="P45" s="2" t="s">
        <v>573</v>
      </c>
      <c r="Q45" s="67" t="s">
        <v>497</v>
      </c>
      <c r="R45" s="110" t="s">
        <v>519</v>
      </c>
      <c r="S45" s="166">
        <v>400</v>
      </c>
      <c r="T45" s="166">
        <v>25</v>
      </c>
      <c r="U45" s="67" t="s">
        <v>0</v>
      </c>
      <c r="V45" s="165" t="s">
        <v>0</v>
      </c>
      <c r="W45" s="208">
        <v>606.17499999999995</v>
      </c>
      <c r="X45" s="208">
        <v>567.3927849399164</v>
      </c>
      <c r="Y45" s="206">
        <v>14184.81962349791</v>
      </c>
      <c r="Z45" s="412" t="s">
        <v>659</v>
      </c>
      <c r="AA45" s="393" t="s">
        <v>639</v>
      </c>
      <c r="AB45" t="s">
        <v>423</v>
      </c>
      <c r="AC45">
        <v>8.6</v>
      </c>
      <c r="AD45">
        <v>51.5</v>
      </c>
      <c r="AE45">
        <v>1</v>
      </c>
      <c r="AF45" s="755">
        <v>2575</v>
      </c>
    </row>
    <row r="46" spans="1:32" x14ac:dyDescent="0.3">
      <c r="A46" s="151">
        <v>45350</v>
      </c>
      <c r="B46" s="189">
        <v>427</v>
      </c>
      <c r="C46" s="11" t="s">
        <v>544</v>
      </c>
      <c r="D46" s="10" t="s">
        <v>552</v>
      </c>
      <c r="E46" s="2" t="s">
        <v>588</v>
      </c>
      <c r="F46" s="2" t="s">
        <v>584</v>
      </c>
      <c r="G46" s="2" t="s">
        <v>561</v>
      </c>
      <c r="H46" s="13" t="s">
        <v>424</v>
      </c>
      <c r="I46" s="110" t="s">
        <v>527</v>
      </c>
      <c r="J46" s="15" t="s">
        <v>550</v>
      </c>
      <c r="K46" s="2" t="s">
        <v>532</v>
      </c>
      <c r="L46" s="2" t="s">
        <v>608</v>
      </c>
      <c r="M46" s="2" t="s">
        <v>531</v>
      </c>
      <c r="N46" s="2" t="s">
        <v>531</v>
      </c>
      <c r="O46" s="2" t="s">
        <v>571</v>
      </c>
      <c r="P46" s="2" t="s">
        <v>573</v>
      </c>
      <c r="Q46" s="67" t="s">
        <v>498</v>
      </c>
      <c r="R46" s="110" t="s">
        <v>519</v>
      </c>
      <c r="S46" s="166">
        <v>400</v>
      </c>
      <c r="T46" s="166">
        <v>25</v>
      </c>
      <c r="U46" s="67" t="s">
        <v>0</v>
      </c>
      <c r="V46" s="165" t="s">
        <v>0</v>
      </c>
      <c r="W46" s="208">
        <v>244.92500000000001</v>
      </c>
      <c r="X46" s="208">
        <v>229.2550465647858</v>
      </c>
      <c r="Y46" s="206">
        <v>5731.3761641196443</v>
      </c>
      <c r="Z46" s="412" t="s">
        <v>659</v>
      </c>
      <c r="AA46" s="393" t="s">
        <v>639</v>
      </c>
      <c r="AB46" t="s">
        <v>424</v>
      </c>
      <c r="AC46">
        <v>9.3000000000000007</v>
      </c>
      <c r="AD46">
        <v>55.8</v>
      </c>
      <c r="AE46">
        <v>1</v>
      </c>
      <c r="AF46" s="755">
        <v>2790</v>
      </c>
    </row>
    <row r="47" spans="1:32" x14ac:dyDescent="0.3">
      <c r="A47" s="151">
        <v>45350</v>
      </c>
      <c r="B47" s="189">
        <v>428</v>
      </c>
      <c r="C47" s="11" t="s">
        <v>544</v>
      </c>
      <c r="D47" s="10" t="s">
        <v>552</v>
      </c>
      <c r="E47" s="2" t="s">
        <v>588</v>
      </c>
      <c r="F47" s="2" t="s">
        <v>584</v>
      </c>
      <c r="G47" s="2" t="s">
        <v>561</v>
      </c>
      <c r="H47" s="13" t="s">
        <v>425</v>
      </c>
      <c r="I47" s="110" t="s">
        <v>527</v>
      </c>
      <c r="J47" s="15" t="s">
        <v>550</v>
      </c>
      <c r="K47" s="2" t="s">
        <v>532</v>
      </c>
      <c r="L47" s="2" t="s">
        <v>608</v>
      </c>
      <c r="M47" s="2" t="s">
        <v>531</v>
      </c>
      <c r="N47" s="2" t="s">
        <v>531</v>
      </c>
      <c r="O47" s="2" t="s">
        <v>571</v>
      </c>
      <c r="P47" s="2" t="s">
        <v>573</v>
      </c>
      <c r="Q47" s="67" t="s">
        <v>499</v>
      </c>
      <c r="R47" s="110" t="s">
        <v>519</v>
      </c>
      <c r="S47" s="166">
        <v>400</v>
      </c>
      <c r="T47" s="166">
        <v>25</v>
      </c>
      <c r="U47" s="67" t="s">
        <v>0</v>
      </c>
      <c r="V47" s="165" t="s">
        <v>0</v>
      </c>
      <c r="W47" s="208">
        <v>779.89411764705892</v>
      </c>
      <c r="X47" s="208">
        <v>729.99760031347978</v>
      </c>
      <c r="Y47" s="206">
        <v>18249.940007836994</v>
      </c>
      <c r="Z47" s="412" t="s">
        <v>659</v>
      </c>
      <c r="AA47" s="393" t="s">
        <v>639</v>
      </c>
      <c r="AB47" t="s">
        <v>425</v>
      </c>
      <c r="AC47">
        <v>13.2</v>
      </c>
      <c r="AD47">
        <v>79.3</v>
      </c>
      <c r="AE47">
        <v>1</v>
      </c>
      <c r="AF47" s="755">
        <v>3965</v>
      </c>
    </row>
    <row r="48" spans="1:32" x14ac:dyDescent="0.3">
      <c r="A48" s="151">
        <v>45350</v>
      </c>
      <c r="B48" s="189">
        <v>429</v>
      </c>
      <c r="C48" s="11" t="s">
        <v>544</v>
      </c>
      <c r="D48" s="10" t="s">
        <v>552</v>
      </c>
      <c r="E48" s="2" t="s">
        <v>588</v>
      </c>
      <c r="F48" s="2" t="s">
        <v>584</v>
      </c>
      <c r="G48" s="2" t="s">
        <v>561</v>
      </c>
      <c r="H48" s="13" t="s">
        <v>426</v>
      </c>
      <c r="I48" s="110" t="s">
        <v>527</v>
      </c>
      <c r="J48" s="15" t="s">
        <v>550</v>
      </c>
      <c r="K48" s="2" t="s">
        <v>532</v>
      </c>
      <c r="L48" s="2" t="s">
        <v>608</v>
      </c>
      <c r="M48" s="2" t="s">
        <v>531</v>
      </c>
      <c r="N48" s="2" t="s">
        <v>531</v>
      </c>
      <c r="O48" s="2" t="s">
        <v>571</v>
      </c>
      <c r="P48" s="2" t="s">
        <v>573</v>
      </c>
      <c r="Q48" s="67" t="s">
        <v>500</v>
      </c>
      <c r="R48" s="110" t="s">
        <v>519</v>
      </c>
      <c r="S48" s="166">
        <v>400</v>
      </c>
      <c r="T48" s="166">
        <v>25</v>
      </c>
      <c r="U48" s="67" t="s">
        <v>0</v>
      </c>
      <c r="V48" s="165" t="s">
        <v>0</v>
      </c>
      <c r="W48" s="208">
        <v>523.13235294117646</v>
      </c>
      <c r="X48" s="208">
        <v>489.6630884273772</v>
      </c>
      <c r="Y48" s="206">
        <v>12241.577210684432</v>
      </c>
      <c r="Z48" s="412" t="s">
        <v>659</v>
      </c>
      <c r="AA48" s="393" t="s">
        <v>639</v>
      </c>
      <c r="AB48" t="s">
        <v>426</v>
      </c>
      <c r="AC48">
        <v>10</v>
      </c>
      <c r="AD48">
        <v>59.9</v>
      </c>
      <c r="AE48">
        <v>1</v>
      </c>
      <c r="AF48" s="755">
        <v>2995</v>
      </c>
    </row>
    <row r="49" spans="1:32" x14ac:dyDescent="0.3">
      <c r="A49" s="151">
        <v>45350</v>
      </c>
      <c r="B49" s="188">
        <v>430</v>
      </c>
      <c r="C49" s="11" t="s">
        <v>544</v>
      </c>
      <c r="D49" s="10" t="s">
        <v>552</v>
      </c>
      <c r="E49" s="2" t="s">
        <v>588</v>
      </c>
      <c r="F49" s="2" t="s">
        <v>584</v>
      </c>
      <c r="G49" s="2" t="s">
        <v>561</v>
      </c>
      <c r="H49" s="13" t="s">
        <v>427</v>
      </c>
      <c r="I49" s="110" t="s">
        <v>527</v>
      </c>
      <c r="J49" s="15" t="s">
        <v>550</v>
      </c>
      <c r="K49" s="2" t="s">
        <v>532</v>
      </c>
      <c r="L49" s="2" t="s">
        <v>608</v>
      </c>
      <c r="M49" s="2" t="s">
        <v>531</v>
      </c>
      <c r="N49" s="2" t="s">
        <v>531</v>
      </c>
      <c r="O49" s="2" t="s">
        <v>571</v>
      </c>
      <c r="P49" s="2" t="s">
        <v>573</v>
      </c>
      <c r="Q49" s="67" t="s">
        <v>501</v>
      </c>
      <c r="R49" s="110" t="s">
        <v>519</v>
      </c>
      <c r="S49" s="166">
        <v>400</v>
      </c>
      <c r="T49" s="166">
        <v>25</v>
      </c>
      <c r="U49" s="67" t="s">
        <v>0</v>
      </c>
      <c r="V49" s="165" t="s">
        <v>0</v>
      </c>
      <c r="W49" s="208">
        <v>885.57205882352946</v>
      </c>
      <c r="X49" s="208">
        <v>828.91441699320796</v>
      </c>
      <c r="Y49" s="206">
        <v>20722.8604248302</v>
      </c>
      <c r="Z49" s="412" t="s">
        <v>659</v>
      </c>
      <c r="AA49" s="393" t="s">
        <v>639</v>
      </c>
      <c r="AB49" t="s">
        <v>427</v>
      </c>
      <c r="AC49">
        <v>13.6</v>
      </c>
      <c r="AD49">
        <v>81.5</v>
      </c>
      <c r="AE49">
        <v>1</v>
      </c>
      <c r="AF49" s="755">
        <v>4075</v>
      </c>
    </row>
    <row r="50" spans="1:32" x14ac:dyDescent="0.3">
      <c r="A50" s="151">
        <v>45350</v>
      </c>
      <c r="B50" s="189">
        <v>431</v>
      </c>
      <c r="C50" s="11" t="s">
        <v>544</v>
      </c>
      <c r="D50" s="10" t="s">
        <v>552</v>
      </c>
      <c r="E50" s="2" t="s">
        <v>588</v>
      </c>
      <c r="F50" s="2" t="s">
        <v>584</v>
      </c>
      <c r="G50" s="2" t="s">
        <v>561</v>
      </c>
      <c r="H50" s="13" t="s">
        <v>428</v>
      </c>
      <c r="I50" s="110" t="s">
        <v>527</v>
      </c>
      <c r="J50" s="15" t="s">
        <v>550</v>
      </c>
      <c r="K50" s="2" t="s">
        <v>532</v>
      </c>
      <c r="L50" s="2" t="s">
        <v>608</v>
      </c>
      <c r="M50" s="2" t="s">
        <v>531</v>
      </c>
      <c r="N50" s="2" t="s">
        <v>531</v>
      </c>
      <c r="O50" s="2" t="s">
        <v>571</v>
      </c>
      <c r="P50" s="2" t="s">
        <v>573</v>
      </c>
      <c r="Q50" s="67" t="s">
        <v>502</v>
      </c>
      <c r="R50" s="110" t="s">
        <v>519</v>
      </c>
      <c r="S50" s="166">
        <v>400</v>
      </c>
      <c r="T50" s="166">
        <v>25</v>
      </c>
      <c r="U50" s="67" t="s">
        <v>0</v>
      </c>
      <c r="V50" s="165" t="s">
        <v>0</v>
      </c>
      <c r="W50" s="208">
        <v>777.35147058823532</v>
      </c>
      <c r="X50" s="208">
        <v>727.61762820010472</v>
      </c>
      <c r="Y50" s="206">
        <v>18190.440705002613</v>
      </c>
      <c r="Z50" s="412" t="s">
        <v>659</v>
      </c>
      <c r="AA50" s="393" t="s">
        <v>639</v>
      </c>
      <c r="AB50" t="s">
        <v>428</v>
      </c>
      <c r="AC50">
        <v>19.600000000000001</v>
      </c>
      <c r="AD50">
        <v>117.8</v>
      </c>
      <c r="AE50">
        <v>1</v>
      </c>
      <c r="AF50" s="755">
        <v>5890</v>
      </c>
    </row>
    <row r="51" spans="1:32" x14ac:dyDescent="0.3">
      <c r="A51" s="151">
        <v>45350</v>
      </c>
      <c r="B51" s="189">
        <v>432</v>
      </c>
      <c r="C51" s="11" t="s">
        <v>544</v>
      </c>
      <c r="D51" s="10" t="s">
        <v>552</v>
      </c>
      <c r="E51" s="2" t="s">
        <v>588</v>
      </c>
      <c r="F51" s="2" t="s">
        <v>584</v>
      </c>
      <c r="G51" s="2" t="s">
        <v>561</v>
      </c>
      <c r="H51" s="13" t="s">
        <v>429</v>
      </c>
      <c r="I51" s="110" t="s">
        <v>527</v>
      </c>
      <c r="J51" s="12" t="s">
        <v>551</v>
      </c>
      <c r="K51" s="2" t="s">
        <v>532</v>
      </c>
      <c r="L51" s="2" t="s">
        <v>608</v>
      </c>
      <c r="M51" s="2" t="s">
        <v>531</v>
      </c>
      <c r="N51" s="2" t="s">
        <v>531</v>
      </c>
      <c r="O51" s="2" t="s">
        <v>571</v>
      </c>
      <c r="P51" s="2" t="s">
        <v>573</v>
      </c>
      <c r="Q51" s="67" t="s">
        <v>496</v>
      </c>
      <c r="R51" s="110" t="s">
        <v>519</v>
      </c>
      <c r="S51" s="166">
        <v>400</v>
      </c>
      <c r="T51" s="166">
        <v>25</v>
      </c>
      <c r="U51" s="67" t="s">
        <v>0</v>
      </c>
      <c r="V51" s="165" t="s">
        <v>0</v>
      </c>
      <c r="W51" s="208">
        <v>381.16764705882355</v>
      </c>
      <c r="X51" s="208">
        <v>356.78108268025085</v>
      </c>
      <c r="Y51" s="206">
        <v>8919.527067006271</v>
      </c>
      <c r="Z51" s="412" t="s">
        <v>659</v>
      </c>
      <c r="AA51" s="393" t="s">
        <v>640</v>
      </c>
      <c r="AB51" t="s">
        <v>429</v>
      </c>
      <c r="AC51">
        <v>7.1</v>
      </c>
      <c r="AD51">
        <v>42.8</v>
      </c>
      <c r="AE51">
        <v>1</v>
      </c>
      <c r="AF51" s="755">
        <v>2140</v>
      </c>
    </row>
    <row r="52" spans="1:32" x14ac:dyDescent="0.3">
      <c r="A52" s="151">
        <v>45350</v>
      </c>
      <c r="B52" s="189">
        <v>433</v>
      </c>
      <c r="C52" s="11" t="s">
        <v>544</v>
      </c>
      <c r="D52" s="10" t="s">
        <v>552</v>
      </c>
      <c r="E52" s="2" t="s">
        <v>588</v>
      </c>
      <c r="F52" s="2" t="s">
        <v>584</v>
      </c>
      <c r="G52" s="2" t="s">
        <v>561</v>
      </c>
      <c r="H52" s="13" t="s">
        <v>430</v>
      </c>
      <c r="I52" s="110" t="s">
        <v>527</v>
      </c>
      <c r="J52" s="12" t="s">
        <v>551</v>
      </c>
      <c r="K52" s="2" t="s">
        <v>532</v>
      </c>
      <c r="L52" s="2" t="s">
        <v>608</v>
      </c>
      <c r="M52" s="2" t="s">
        <v>531</v>
      </c>
      <c r="N52" s="2" t="s">
        <v>531</v>
      </c>
      <c r="O52" s="2" t="s">
        <v>571</v>
      </c>
      <c r="P52" s="2" t="s">
        <v>573</v>
      </c>
      <c r="Q52" s="67" t="s">
        <v>497</v>
      </c>
      <c r="R52" s="110" t="s">
        <v>519</v>
      </c>
      <c r="S52" s="166">
        <v>400</v>
      </c>
      <c r="T52" s="166">
        <v>25</v>
      </c>
      <c r="U52" s="67" t="s">
        <v>0</v>
      </c>
      <c r="V52" s="165" t="s">
        <v>0</v>
      </c>
      <c r="W52" s="208">
        <v>407.14558823529416</v>
      </c>
      <c r="X52" s="208">
        <v>381.09699209770116</v>
      </c>
      <c r="Y52" s="206">
        <v>9527.4248024425306</v>
      </c>
      <c r="Z52" s="412" t="s">
        <v>659</v>
      </c>
      <c r="AA52" s="393" t="s">
        <v>640</v>
      </c>
      <c r="AB52" t="s">
        <v>430</v>
      </c>
      <c r="AC52">
        <v>5</v>
      </c>
      <c r="AD52">
        <v>30.3</v>
      </c>
      <c r="AE52">
        <v>1</v>
      </c>
      <c r="AF52" s="755">
        <v>1515</v>
      </c>
    </row>
    <row r="53" spans="1:32" x14ac:dyDescent="0.3">
      <c r="A53" s="151">
        <v>45350</v>
      </c>
      <c r="B53" s="189">
        <v>434</v>
      </c>
      <c r="C53" s="11" t="s">
        <v>544</v>
      </c>
      <c r="D53" s="10" t="s">
        <v>552</v>
      </c>
      <c r="E53" s="2" t="s">
        <v>588</v>
      </c>
      <c r="F53" s="2" t="s">
        <v>584</v>
      </c>
      <c r="G53" s="2" t="s">
        <v>561</v>
      </c>
      <c r="H53" s="13" t="s">
        <v>431</v>
      </c>
      <c r="I53" s="110" t="s">
        <v>527</v>
      </c>
      <c r="J53" s="12" t="s">
        <v>551</v>
      </c>
      <c r="K53" s="2" t="s">
        <v>532</v>
      </c>
      <c r="L53" s="2" t="s">
        <v>608</v>
      </c>
      <c r="M53" s="2" t="s">
        <v>531</v>
      </c>
      <c r="N53" s="2" t="s">
        <v>531</v>
      </c>
      <c r="O53" s="2" t="s">
        <v>571</v>
      </c>
      <c r="P53" s="2" t="s">
        <v>573</v>
      </c>
      <c r="Q53" s="67" t="s">
        <v>498</v>
      </c>
      <c r="R53" s="110" t="s">
        <v>519</v>
      </c>
      <c r="S53" s="166">
        <v>400</v>
      </c>
      <c r="T53" s="166">
        <v>25</v>
      </c>
      <c r="U53" s="67" t="s">
        <v>0</v>
      </c>
      <c r="V53" s="165" t="s">
        <v>0</v>
      </c>
      <c r="W53" s="208">
        <v>272.10735294117649</v>
      </c>
      <c r="X53" s="208">
        <v>254.69831119383491</v>
      </c>
      <c r="Y53" s="206">
        <v>6367.4577798458731</v>
      </c>
      <c r="Z53" s="412" t="s">
        <v>659</v>
      </c>
      <c r="AA53" s="393" t="s">
        <v>640</v>
      </c>
      <c r="AB53" t="s">
        <v>431</v>
      </c>
      <c r="AC53">
        <v>3.2</v>
      </c>
      <c r="AD53">
        <v>19.3</v>
      </c>
      <c r="AE53">
        <v>1</v>
      </c>
      <c r="AF53" s="755">
        <v>965</v>
      </c>
    </row>
    <row r="54" spans="1:32" x14ac:dyDescent="0.3">
      <c r="A54" s="151">
        <v>45350</v>
      </c>
      <c r="B54" s="189">
        <v>435</v>
      </c>
      <c r="C54" s="11" t="s">
        <v>544</v>
      </c>
      <c r="D54" s="10" t="s">
        <v>552</v>
      </c>
      <c r="E54" s="2" t="s">
        <v>588</v>
      </c>
      <c r="F54" s="2" t="s">
        <v>584</v>
      </c>
      <c r="G54" s="2" t="s">
        <v>561</v>
      </c>
      <c r="H54" s="13" t="s">
        <v>432</v>
      </c>
      <c r="I54" s="110" t="s">
        <v>527</v>
      </c>
      <c r="J54" s="12" t="s">
        <v>551</v>
      </c>
      <c r="K54" s="2" t="s">
        <v>532</v>
      </c>
      <c r="L54" s="2" t="s">
        <v>608</v>
      </c>
      <c r="M54" s="2" t="s">
        <v>531</v>
      </c>
      <c r="N54" s="2" t="s">
        <v>531</v>
      </c>
      <c r="O54" s="2" t="s">
        <v>571</v>
      </c>
      <c r="P54" s="2" t="s">
        <v>573</v>
      </c>
      <c r="Q54" s="67" t="s">
        <v>499</v>
      </c>
      <c r="R54" s="110" t="s">
        <v>519</v>
      </c>
      <c r="S54" s="166">
        <v>400</v>
      </c>
      <c r="T54" s="166">
        <v>25</v>
      </c>
      <c r="U54" s="67" t="s">
        <v>0</v>
      </c>
      <c r="V54" s="165" t="s">
        <v>0</v>
      </c>
      <c r="W54" s="208">
        <v>507.50294117647064</v>
      </c>
      <c r="X54" s="208">
        <v>475.03362421630095</v>
      </c>
      <c r="Y54" s="206">
        <v>11875.840605407526</v>
      </c>
      <c r="Z54" s="412" t="s">
        <v>659</v>
      </c>
      <c r="AA54" s="393" t="s">
        <v>640</v>
      </c>
      <c r="AB54" t="s">
        <v>432</v>
      </c>
      <c r="AC54">
        <v>5.3</v>
      </c>
      <c r="AD54">
        <v>32.1</v>
      </c>
      <c r="AE54">
        <v>1</v>
      </c>
      <c r="AF54" s="755">
        <v>1605</v>
      </c>
    </row>
    <row r="55" spans="1:32" x14ac:dyDescent="0.3">
      <c r="A55" s="151">
        <v>45350</v>
      </c>
      <c r="B55" s="189">
        <v>436</v>
      </c>
      <c r="C55" s="11" t="s">
        <v>544</v>
      </c>
      <c r="D55" s="10" t="s">
        <v>552</v>
      </c>
      <c r="E55" s="2" t="s">
        <v>588</v>
      </c>
      <c r="F55" s="2" t="s">
        <v>584</v>
      </c>
      <c r="G55" s="2" t="s">
        <v>561</v>
      </c>
      <c r="H55" s="13" t="s">
        <v>433</v>
      </c>
      <c r="I55" s="110" t="s">
        <v>527</v>
      </c>
      <c r="J55" s="12" t="s">
        <v>551</v>
      </c>
      <c r="K55" s="2" t="s">
        <v>532</v>
      </c>
      <c r="L55" s="2" t="s">
        <v>608</v>
      </c>
      <c r="M55" s="2" t="s">
        <v>531</v>
      </c>
      <c r="N55" s="2" t="s">
        <v>531</v>
      </c>
      <c r="O55" s="2" t="s">
        <v>571</v>
      </c>
      <c r="P55" s="2" t="s">
        <v>573</v>
      </c>
      <c r="Q55" s="67" t="s">
        <v>500</v>
      </c>
      <c r="R55" s="110" t="s">
        <v>519</v>
      </c>
      <c r="S55" s="166">
        <v>400</v>
      </c>
      <c r="T55" s="166">
        <v>25</v>
      </c>
      <c r="U55" s="67" t="s">
        <v>0</v>
      </c>
      <c r="V55" s="165" t="s">
        <v>0</v>
      </c>
      <c r="W55" s="208">
        <v>613.30588235294124</v>
      </c>
      <c r="X55" s="208">
        <v>574.06744357366767</v>
      </c>
      <c r="Y55" s="206">
        <v>14351.686089341692</v>
      </c>
      <c r="Z55" s="412" t="s">
        <v>659</v>
      </c>
      <c r="AA55" s="393" t="s">
        <v>640</v>
      </c>
      <c r="AB55" t="s">
        <v>433</v>
      </c>
      <c r="AC55">
        <v>6.4</v>
      </c>
      <c r="AD55">
        <v>38.5</v>
      </c>
      <c r="AE55">
        <v>1</v>
      </c>
      <c r="AF55" s="755">
        <v>1925</v>
      </c>
    </row>
    <row r="56" spans="1:32" x14ac:dyDescent="0.3">
      <c r="A56" s="151">
        <v>45350</v>
      </c>
      <c r="B56" s="189">
        <v>437</v>
      </c>
      <c r="C56" s="11" t="s">
        <v>544</v>
      </c>
      <c r="D56" s="10" t="s">
        <v>552</v>
      </c>
      <c r="E56" s="2" t="s">
        <v>588</v>
      </c>
      <c r="F56" s="2" t="s">
        <v>584</v>
      </c>
      <c r="G56" s="2" t="s">
        <v>561</v>
      </c>
      <c r="H56" s="13" t="s">
        <v>434</v>
      </c>
      <c r="I56" s="110" t="s">
        <v>527</v>
      </c>
      <c r="J56" s="12" t="s">
        <v>551</v>
      </c>
      <c r="K56" s="2" t="s">
        <v>532</v>
      </c>
      <c r="L56" s="2" t="s">
        <v>608</v>
      </c>
      <c r="M56" s="2" t="s">
        <v>531</v>
      </c>
      <c r="N56" s="2" t="s">
        <v>531</v>
      </c>
      <c r="O56" s="2" t="s">
        <v>571</v>
      </c>
      <c r="P56" s="2" t="s">
        <v>573</v>
      </c>
      <c r="Q56" s="67" t="s">
        <v>501</v>
      </c>
      <c r="R56" s="110" t="s">
        <v>519</v>
      </c>
      <c r="S56" s="166">
        <v>400</v>
      </c>
      <c r="T56" s="166">
        <v>25</v>
      </c>
      <c r="U56" s="67" t="s">
        <v>0</v>
      </c>
      <c r="V56" s="165" t="s">
        <v>0</v>
      </c>
      <c r="W56" s="208">
        <v>382.18529411764712</v>
      </c>
      <c r="X56" s="208">
        <v>357.73362212643679</v>
      </c>
      <c r="Y56" s="206">
        <v>8943.3405531609205</v>
      </c>
      <c r="Z56" s="412" t="s">
        <v>659</v>
      </c>
      <c r="AA56" s="393" t="s">
        <v>640</v>
      </c>
      <c r="AB56" t="s">
        <v>434</v>
      </c>
      <c r="AC56">
        <v>4</v>
      </c>
      <c r="AD56">
        <v>23.9</v>
      </c>
      <c r="AE56">
        <v>1</v>
      </c>
      <c r="AF56" s="755">
        <v>1195</v>
      </c>
    </row>
    <row r="57" spans="1:32" ht="16.2" thickBot="1" x14ac:dyDescent="0.35">
      <c r="A57" s="151">
        <v>45350</v>
      </c>
      <c r="B57" s="189">
        <v>438</v>
      </c>
      <c r="C57" s="11" t="s">
        <v>544</v>
      </c>
      <c r="D57" s="10" t="s">
        <v>552</v>
      </c>
      <c r="E57" s="2" t="s">
        <v>588</v>
      </c>
      <c r="F57" s="2" t="s">
        <v>584</v>
      </c>
      <c r="G57" s="2" t="s">
        <v>561</v>
      </c>
      <c r="H57" s="13" t="s">
        <v>435</v>
      </c>
      <c r="I57" s="110" t="s">
        <v>527</v>
      </c>
      <c r="J57" s="12" t="s">
        <v>551</v>
      </c>
      <c r="K57" s="2" t="s">
        <v>532</v>
      </c>
      <c r="L57" s="2" t="s">
        <v>608</v>
      </c>
      <c r="M57" s="2" t="s">
        <v>531</v>
      </c>
      <c r="N57" s="2" t="s">
        <v>531</v>
      </c>
      <c r="O57" s="2" t="s">
        <v>571</v>
      </c>
      <c r="P57" s="2" t="s">
        <v>573</v>
      </c>
      <c r="Q57" s="67" t="s">
        <v>502</v>
      </c>
      <c r="R57" s="110" t="s">
        <v>519</v>
      </c>
      <c r="S57" s="166">
        <v>400</v>
      </c>
      <c r="T57" s="166">
        <v>25</v>
      </c>
      <c r="U57" s="67" t="s">
        <v>0</v>
      </c>
      <c r="V57" s="165" t="s">
        <v>0</v>
      </c>
      <c r="W57" s="208">
        <v>546.78676470588232</v>
      </c>
      <c r="X57" s="208">
        <v>511.80412454284226</v>
      </c>
      <c r="Y57" s="206">
        <v>12795.103113571055</v>
      </c>
      <c r="Z57" s="412" t="s">
        <v>659</v>
      </c>
      <c r="AA57" s="393" t="s">
        <v>640</v>
      </c>
      <c r="AB57" t="s">
        <v>435</v>
      </c>
      <c r="AC57">
        <v>10.7</v>
      </c>
      <c r="AD57">
        <v>64.400000000000006</v>
      </c>
      <c r="AE57">
        <v>1</v>
      </c>
      <c r="AF57" s="755">
        <v>3220.0000000000005</v>
      </c>
    </row>
    <row r="58" spans="1:32" x14ac:dyDescent="0.3">
      <c r="A58" s="159">
        <v>45352</v>
      </c>
      <c r="B58" s="188">
        <v>449</v>
      </c>
      <c r="C58" s="21" t="s">
        <v>544</v>
      </c>
      <c r="D58" s="20" t="s">
        <v>552</v>
      </c>
      <c r="E58" s="17" t="s">
        <v>588</v>
      </c>
      <c r="F58" s="17" t="s">
        <v>584</v>
      </c>
      <c r="G58" s="18" t="s">
        <v>562</v>
      </c>
      <c r="H58" s="133" t="s">
        <v>446</v>
      </c>
      <c r="I58" s="117" t="s">
        <v>527</v>
      </c>
      <c r="J58" s="128" t="s">
        <v>550</v>
      </c>
      <c r="K58" s="36" t="s">
        <v>532</v>
      </c>
      <c r="L58" s="17" t="s">
        <v>608</v>
      </c>
      <c r="M58" s="17" t="s">
        <v>531</v>
      </c>
      <c r="N58" s="17" t="s">
        <v>531</v>
      </c>
      <c r="O58" s="17" t="s">
        <v>571</v>
      </c>
      <c r="P58" s="117" t="s">
        <v>573</v>
      </c>
      <c r="Q58" s="136" t="s">
        <v>496</v>
      </c>
      <c r="R58" s="117" t="s">
        <v>519</v>
      </c>
      <c r="S58" s="181">
        <v>400</v>
      </c>
      <c r="T58" s="181">
        <v>25</v>
      </c>
      <c r="U58" s="136" t="s">
        <v>0</v>
      </c>
      <c r="V58" s="164" t="s">
        <v>0</v>
      </c>
      <c r="W58" s="209">
        <v>567.11289503913611</v>
      </c>
      <c r="X58" s="209">
        <v>530.82981794299326</v>
      </c>
      <c r="Y58" s="206">
        <v>13270.745448574829</v>
      </c>
      <c r="Z58" s="117" t="s">
        <v>659</v>
      </c>
      <c r="AA58" s="404" t="s">
        <v>639</v>
      </c>
      <c r="AB58" t="s">
        <v>446</v>
      </c>
      <c r="AC58">
        <v>10</v>
      </c>
      <c r="AD58">
        <v>60</v>
      </c>
      <c r="AE58">
        <v>1</v>
      </c>
      <c r="AF58" s="755">
        <v>3000</v>
      </c>
    </row>
    <row r="59" spans="1:32" x14ac:dyDescent="0.3">
      <c r="A59" s="151">
        <v>45352</v>
      </c>
      <c r="B59" s="189">
        <v>450</v>
      </c>
      <c r="C59" s="11" t="s">
        <v>544</v>
      </c>
      <c r="D59" s="10" t="s">
        <v>552</v>
      </c>
      <c r="E59" s="2" t="s">
        <v>588</v>
      </c>
      <c r="F59" s="2" t="s">
        <v>584</v>
      </c>
      <c r="G59" s="67" t="s">
        <v>562</v>
      </c>
      <c r="H59" s="132" t="s">
        <v>447</v>
      </c>
      <c r="I59" s="110" t="s">
        <v>527</v>
      </c>
      <c r="J59" s="95" t="s">
        <v>550</v>
      </c>
      <c r="K59" s="2" t="s">
        <v>532</v>
      </c>
      <c r="L59" s="2" t="s">
        <v>608</v>
      </c>
      <c r="M59" s="2" t="s">
        <v>531</v>
      </c>
      <c r="N59" s="2" t="s">
        <v>531</v>
      </c>
      <c r="O59" s="2" t="s">
        <v>571</v>
      </c>
      <c r="P59" s="110" t="s">
        <v>573</v>
      </c>
      <c r="Q59" s="137" t="s">
        <v>497</v>
      </c>
      <c r="R59" s="110" t="s">
        <v>519</v>
      </c>
      <c r="S59" s="166">
        <v>400</v>
      </c>
      <c r="T59" s="166">
        <v>25</v>
      </c>
      <c r="U59" s="89" t="s">
        <v>0</v>
      </c>
      <c r="V59" s="165" t="s">
        <v>0</v>
      </c>
      <c r="W59" s="208">
        <v>764.61847983343932</v>
      </c>
      <c r="X59" s="208">
        <v>715.69927609885019</v>
      </c>
      <c r="Y59" s="206">
        <v>17892.481902471256</v>
      </c>
      <c r="Z59" s="110" t="s">
        <v>659</v>
      </c>
      <c r="AA59" s="393" t="s">
        <v>639</v>
      </c>
      <c r="AB59" t="s">
        <v>447</v>
      </c>
      <c r="AC59">
        <v>17.899999999999999</v>
      </c>
      <c r="AD59">
        <v>107.3</v>
      </c>
      <c r="AE59">
        <v>1</v>
      </c>
      <c r="AF59" s="755">
        <v>5365</v>
      </c>
    </row>
    <row r="60" spans="1:32" x14ac:dyDescent="0.3">
      <c r="A60" s="151">
        <v>45352</v>
      </c>
      <c r="B60" s="189">
        <v>451</v>
      </c>
      <c r="C60" s="11" t="s">
        <v>544</v>
      </c>
      <c r="D60" s="10" t="s">
        <v>552</v>
      </c>
      <c r="E60" s="2" t="s">
        <v>588</v>
      </c>
      <c r="F60" s="2" t="s">
        <v>584</v>
      </c>
      <c r="G60" s="2" t="s">
        <v>562</v>
      </c>
      <c r="H60" s="131" t="s">
        <v>448</v>
      </c>
      <c r="I60" s="88" t="s">
        <v>527</v>
      </c>
      <c r="J60" s="15" t="s">
        <v>550</v>
      </c>
      <c r="K60" s="2" t="s">
        <v>532</v>
      </c>
      <c r="L60" s="2" t="s">
        <v>608</v>
      </c>
      <c r="M60" s="2" t="s">
        <v>531</v>
      </c>
      <c r="N60" s="2" t="s">
        <v>531</v>
      </c>
      <c r="O60" s="2" t="s">
        <v>571</v>
      </c>
      <c r="P60" s="75" t="s">
        <v>573</v>
      </c>
      <c r="Q60" s="89" t="s">
        <v>498</v>
      </c>
      <c r="R60" s="110" t="s">
        <v>519</v>
      </c>
      <c r="S60" s="166">
        <v>400</v>
      </c>
      <c r="T60" s="166">
        <v>25</v>
      </c>
      <c r="U60" s="67" t="s">
        <v>0</v>
      </c>
      <c r="V60" s="165" t="s">
        <v>0</v>
      </c>
      <c r="W60" s="208">
        <v>764.76171453389202</v>
      </c>
      <c r="X60" s="208">
        <v>715.83334684671979</v>
      </c>
      <c r="Y60" s="206">
        <v>17895.833671167995</v>
      </c>
      <c r="Z60" s="110" t="s">
        <v>659</v>
      </c>
      <c r="AA60" s="393" t="s">
        <v>639</v>
      </c>
      <c r="AB60" t="s">
        <v>448</v>
      </c>
      <c r="AC60">
        <v>14.4</v>
      </c>
      <c r="AD60">
        <v>86.3</v>
      </c>
      <c r="AE60">
        <v>1</v>
      </c>
      <c r="AF60" s="755">
        <v>4315</v>
      </c>
    </row>
    <row r="61" spans="1:32" x14ac:dyDescent="0.3">
      <c r="A61" s="151">
        <v>45352</v>
      </c>
      <c r="B61" s="189">
        <v>452</v>
      </c>
      <c r="C61" s="11" t="s">
        <v>544</v>
      </c>
      <c r="D61" s="10" t="s">
        <v>552</v>
      </c>
      <c r="E61" s="2" t="s">
        <v>588</v>
      </c>
      <c r="F61" s="2" t="s">
        <v>584</v>
      </c>
      <c r="G61" s="2" t="s">
        <v>562</v>
      </c>
      <c r="H61" s="14" t="s">
        <v>449</v>
      </c>
      <c r="I61" s="65" t="s">
        <v>527</v>
      </c>
      <c r="J61" s="15" t="s">
        <v>550</v>
      </c>
      <c r="K61" s="2" t="s">
        <v>532</v>
      </c>
      <c r="L61" s="2" t="s">
        <v>608</v>
      </c>
      <c r="M61" s="2" t="s">
        <v>531</v>
      </c>
      <c r="N61" s="2" t="s">
        <v>531</v>
      </c>
      <c r="O61" s="2" t="s">
        <v>571</v>
      </c>
      <c r="P61" s="110" t="s">
        <v>573</v>
      </c>
      <c r="Q61" s="137" t="s">
        <v>499</v>
      </c>
      <c r="R61" s="110" t="s">
        <v>519</v>
      </c>
      <c r="S61" s="166">
        <v>400</v>
      </c>
      <c r="T61" s="166">
        <v>25</v>
      </c>
      <c r="U61" s="67" t="s">
        <v>0</v>
      </c>
      <c r="V61" s="165" t="s">
        <v>0</v>
      </c>
      <c r="W61" s="208">
        <v>1020.8214134086139</v>
      </c>
      <c r="X61" s="208">
        <v>955.51071007582823</v>
      </c>
      <c r="Y61" s="206">
        <v>23887.767751895706</v>
      </c>
      <c r="Z61" s="110" t="s">
        <v>659</v>
      </c>
      <c r="AA61" s="393" t="s">
        <v>639</v>
      </c>
      <c r="AB61" t="s">
        <v>449</v>
      </c>
      <c r="AC61">
        <v>21.5</v>
      </c>
      <c r="AD61">
        <v>128.9</v>
      </c>
      <c r="AE61">
        <v>1</v>
      </c>
      <c r="AF61" s="755">
        <v>6445</v>
      </c>
    </row>
    <row r="62" spans="1:32" x14ac:dyDescent="0.3">
      <c r="A62" s="151">
        <v>45352</v>
      </c>
      <c r="B62" s="189">
        <v>453</v>
      </c>
      <c r="C62" s="11" t="s">
        <v>544</v>
      </c>
      <c r="D62" s="10" t="s">
        <v>552</v>
      </c>
      <c r="E62" s="2" t="s">
        <v>588</v>
      </c>
      <c r="F62" s="2" t="s">
        <v>584</v>
      </c>
      <c r="G62" s="2" t="s">
        <v>562</v>
      </c>
      <c r="H62" s="14" t="s">
        <v>450</v>
      </c>
      <c r="I62" s="65" t="s">
        <v>527</v>
      </c>
      <c r="J62" s="15" t="s">
        <v>550</v>
      </c>
      <c r="K62" s="2" t="s">
        <v>532</v>
      </c>
      <c r="L62" s="2" t="s">
        <v>608</v>
      </c>
      <c r="M62" s="2" t="s">
        <v>531</v>
      </c>
      <c r="N62" s="2" t="s">
        <v>531</v>
      </c>
      <c r="O62" s="2" t="s">
        <v>571</v>
      </c>
      <c r="P62" s="75" t="s">
        <v>573</v>
      </c>
      <c r="Q62" s="89" t="s">
        <v>500</v>
      </c>
      <c r="R62" s="110" t="s">
        <v>519</v>
      </c>
      <c r="S62" s="166">
        <v>400</v>
      </c>
      <c r="T62" s="166">
        <v>25</v>
      </c>
      <c r="U62" s="67" t="s">
        <v>0</v>
      </c>
      <c r="V62" s="165" t="s">
        <v>0</v>
      </c>
      <c r="W62" s="208">
        <v>615.93594994658065</v>
      </c>
      <c r="X62" s="208">
        <v>576.52924318027522</v>
      </c>
      <c r="Y62" s="206">
        <v>14413.231079506881</v>
      </c>
      <c r="Z62" s="110" t="s">
        <v>659</v>
      </c>
      <c r="AA62" s="393" t="s">
        <v>639</v>
      </c>
      <c r="AB62" t="s">
        <v>450</v>
      </c>
      <c r="AC62">
        <v>11.1</v>
      </c>
      <c r="AD62">
        <v>66.7</v>
      </c>
      <c r="AE62">
        <v>1</v>
      </c>
      <c r="AF62" s="755">
        <v>3335</v>
      </c>
    </row>
    <row r="63" spans="1:32" x14ac:dyDescent="0.3">
      <c r="A63" s="151">
        <v>45352</v>
      </c>
      <c r="B63" s="189">
        <v>454</v>
      </c>
      <c r="C63" s="11" t="s">
        <v>544</v>
      </c>
      <c r="D63" s="10" t="s">
        <v>552</v>
      </c>
      <c r="E63" s="2" t="s">
        <v>588</v>
      </c>
      <c r="F63" s="2" t="s">
        <v>584</v>
      </c>
      <c r="G63" s="2" t="s">
        <v>562</v>
      </c>
      <c r="H63" s="14" t="s">
        <v>451</v>
      </c>
      <c r="I63" s="65" t="s">
        <v>527</v>
      </c>
      <c r="J63" s="15" t="s">
        <v>550</v>
      </c>
      <c r="K63" s="2" t="s">
        <v>532</v>
      </c>
      <c r="L63" s="2" t="s">
        <v>608</v>
      </c>
      <c r="M63" s="2" t="s">
        <v>531</v>
      </c>
      <c r="N63" s="2" t="s">
        <v>531</v>
      </c>
      <c r="O63" s="2" t="s">
        <v>571</v>
      </c>
      <c r="P63" s="110" t="s">
        <v>573</v>
      </c>
      <c r="Q63" s="137" t="s">
        <v>501</v>
      </c>
      <c r="R63" s="110" t="s">
        <v>519</v>
      </c>
      <c r="S63" s="166">
        <v>400</v>
      </c>
      <c r="T63" s="166">
        <v>25</v>
      </c>
      <c r="U63" s="67" t="s">
        <v>0</v>
      </c>
      <c r="V63" s="165" t="s">
        <v>0</v>
      </c>
      <c r="W63" s="208">
        <v>735.03808596776958</v>
      </c>
      <c r="X63" s="208">
        <v>688.0113937957824</v>
      </c>
      <c r="Y63" s="206">
        <v>17200.284844894562</v>
      </c>
      <c r="Z63" s="110" t="s">
        <v>659</v>
      </c>
      <c r="AA63" s="393" t="s">
        <v>639</v>
      </c>
      <c r="AB63" t="s">
        <v>451</v>
      </c>
      <c r="AC63">
        <v>13.9</v>
      </c>
      <c r="AD63">
        <v>83.4</v>
      </c>
      <c r="AE63">
        <v>1</v>
      </c>
      <c r="AF63" s="755">
        <v>4170</v>
      </c>
    </row>
    <row r="64" spans="1:32" x14ac:dyDescent="0.3">
      <c r="A64" s="151">
        <v>45352</v>
      </c>
      <c r="B64" s="189">
        <v>455</v>
      </c>
      <c r="C64" s="11" t="s">
        <v>544</v>
      </c>
      <c r="D64" s="10" t="s">
        <v>552</v>
      </c>
      <c r="E64" s="2" t="s">
        <v>588</v>
      </c>
      <c r="F64" s="2" t="s">
        <v>584</v>
      </c>
      <c r="G64" s="2" t="s">
        <v>562</v>
      </c>
      <c r="H64" s="14" t="s">
        <v>452</v>
      </c>
      <c r="I64" s="65" t="s">
        <v>527</v>
      </c>
      <c r="J64" s="15" t="s">
        <v>550</v>
      </c>
      <c r="K64" s="2" t="s">
        <v>532</v>
      </c>
      <c r="L64" s="2" t="s">
        <v>608</v>
      </c>
      <c r="M64" s="2" t="s">
        <v>531</v>
      </c>
      <c r="N64" s="2" t="s">
        <v>531</v>
      </c>
      <c r="O64" s="2" t="s">
        <v>571</v>
      </c>
      <c r="P64" s="75" t="s">
        <v>573</v>
      </c>
      <c r="Q64" s="89" t="s">
        <v>502</v>
      </c>
      <c r="R64" s="110" t="s">
        <v>519</v>
      </c>
      <c r="S64" s="166">
        <v>400</v>
      </c>
      <c r="T64" s="166">
        <v>25</v>
      </c>
      <c r="U64" s="67" t="s">
        <v>0</v>
      </c>
      <c r="V64" s="165" t="s">
        <v>0</v>
      </c>
      <c r="W64" s="208">
        <v>147.37400875584734</v>
      </c>
      <c r="X64" s="208">
        <v>137.94522910997625</v>
      </c>
      <c r="Y64" s="206">
        <v>3448.6307277494061</v>
      </c>
      <c r="Z64" s="110" t="s">
        <v>659</v>
      </c>
      <c r="AA64" s="393" t="s">
        <v>639</v>
      </c>
      <c r="AB64" t="s">
        <v>452</v>
      </c>
      <c r="AC64">
        <v>3.2</v>
      </c>
      <c r="AD64">
        <v>19.3</v>
      </c>
      <c r="AE64">
        <v>1</v>
      </c>
      <c r="AF64" s="755">
        <v>965</v>
      </c>
    </row>
    <row r="65" spans="1:32" x14ac:dyDescent="0.3">
      <c r="A65" s="151">
        <v>45352</v>
      </c>
      <c r="B65" s="188">
        <v>456</v>
      </c>
      <c r="C65" s="11" t="s">
        <v>544</v>
      </c>
      <c r="D65" s="10" t="s">
        <v>552</v>
      </c>
      <c r="E65" s="2" t="s">
        <v>588</v>
      </c>
      <c r="F65" s="2" t="s">
        <v>584</v>
      </c>
      <c r="G65" s="2" t="s">
        <v>562</v>
      </c>
      <c r="H65" s="14" t="s">
        <v>453</v>
      </c>
      <c r="I65" s="65" t="s">
        <v>527</v>
      </c>
      <c r="J65" s="15" t="s">
        <v>550</v>
      </c>
      <c r="K65" s="2" t="s">
        <v>532</v>
      </c>
      <c r="L65" s="2" t="s">
        <v>608</v>
      </c>
      <c r="M65" s="2" t="s">
        <v>531</v>
      </c>
      <c r="N65" s="2" t="s">
        <v>531</v>
      </c>
      <c r="O65" s="2" t="s">
        <v>571</v>
      </c>
      <c r="P65" s="110" t="s">
        <v>573</v>
      </c>
      <c r="Q65" s="137" t="s">
        <v>504</v>
      </c>
      <c r="R65" s="110" t="s">
        <v>519</v>
      </c>
      <c r="S65" s="166">
        <v>400</v>
      </c>
      <c r="T65" s="166">
        <v>25</v>
      </c>
      <c r="U65" s="67" t="s">
        <v>0</v>
      </c>
      <c r="V65" s="165" t="s">
        <v>0</v>
      </c>
      <c r="W65" s="208">
        <v>323.25002362768959</v>
      </c>
      <c r="X65" s="208">
        <v>302.56894648906433</v>
      </c>
      <c r="Y65" s="206">
        <v>7564.2236622266082</v>
      </c>
      <c r="Z65" s="110" t="s">
        <v>659</v>
      </c>
      <c r="AA65" s="393" t="s">
        <v>639</v>
      </c>
      <c r="AB65" t="s">
        <v>453</v>
      </c>
      <c r="AC65">
        <v>8.9</v>
      </c>
      <c r="AD65">
        <v>53.6</v>
      </c>
      <c r="AE65">
        <v>1</v>
      </c>
      <c r="AF65" s="755">
        <v>2680</v>
      </c>
    </row>
    <row r="66" spans="1:32" x14ac:dyDescent="0.3">
      <c r="A66" s="151">
        <v>45352</v>
      </c>
      <c r="B66" s="189">
        <v>457</v>
      </c>
      <c r="C66" s="11" t="s">
        <v>544</v>
      </c>
      <c r="D66" s="10" t="s">
        <v>552</v>
      </c>
      <c r="E66" s="2" t="s">
        <v>588</v>
      </c>
      <c r="F66" s="2" t="s">
        <v>584</v>
      </c>
      <c r="G66" s="2" t="s">
        <v>562</v>
      </c>
      <c r="H66" s="14" t="s">
        <v>454</v>
      </c>
      <c r="I66" s="65" t="s">
        <v>527</v>
      </c>
      <c r="J66" s="15" t="s">
        <v>550</v>
      </c>
      <c r="K66" s="2" t="s">
        <v>532</v>
      </c>
      <c r="L66" s="2" t="s">
        <v>608</v>
      </c>
      <c r="M66" s="2" t="s">
        <v>531</v>
      </c>
      <c r="N66" s="2" t="s">
        <v>531</v>
      </c>
      <c r="O66" s="2" t="s">
        <v>571</v>
      </c>
      <c r="P66" s="75" t="s">
        <v>573</v>
      </c>
      <c r="Q66" s="89" t="s">
        <v>505</v>
      </c>
      <c r="R66" s="110" t="s">
        <v>519</v>
      </c>
      <c r="S66" s="166">
        <v>400</v>
      </c>
      <c r="T66" s="166">
        <v>25</v>
      </c>
      <c r="U66" s="67" t="s">
        <v>0</v>
      </c>
      <c r="V66" s="165" t="s">
        <v>0</v>
      </c>
      <c r="W66" s="208">
        <v>793.75971418748202</v>
      </c>
      <c r="X66" s="208">
        <v>742.97609569175142</v>
      </c>
      <c r="Y66" s="206">
        <v>18574.402392293789</v>
      </c>
      <c r="Z66" s="110" t="s">
        <v>659</v>
      </c>
      <c r="AA66" s="393" t="s">
        <v>639</v>
      </c>
      <c r="AB66" t="s">
        <v>454</v>
      </c>
      <c r="AC66">
        <v>16.399999999999999</v>
      </c>
      <c r="AD66">
        <v>98.5</v>
      </c>
      <c r="AE66">
        <v>1</v>
      </c>
      <c r="AF66" s="755">
        <v>4925</v>
      </c>
    </row>
    <row r="67" spans="1:32" x14ac:dyDescent="0.3">
      <c r="A67" s="151">
        <v>45352</v>
      </c>
      <c r="B67" s="189">
        <v>458</v>
      </c>
      <c r="C67" s="11" t="s">
        <v>544</v>
      </c>
      <c r="D67" s="10" t="s">
        <v>552</v>
      </c>
      <c r="E67" s="2" t="s">
        <v>588</v>
      </c>
      <c r="F67" s="2" t="s">
        <v>584</v>
      </c>
      <c r="G67" s="2" t="s">
        <v>562</v>
      </c>
      <c r="H67" s="14" t="s">
        <v>455</v>
      </c>
      <c r="I67" s="65" t="s">
        <v>527</v>
      </c>
      <c r="J67" s="15" t="s">
        <v>550</v>
      </c>
      <c r="K67" s="2" t="s">
        <v>532</v>
      </c>
      <c r="L67" s="2" t="s">
        <v>608</v>
      </c>
      <c r="M67" s="2" t="s">
        <v>531</v>
      </c>
      <c r="N67" s="2" t="s">
        <v>531</v>
      </c>
      <c r="O67" s="2" t="s">
        <v>571</v>
      </c>
      <c r="P67" s="110" t="s">
        <v>573</v>
      </c>
      <c r="Q67" s="137" t="s">
        <v>506</v>
      </c>
      <c r="R67" s="110" t="s">
        <v>519</v>
      </c>
      <c r="S67" s="166">
        <v>400</v>
      </c>
      <c r="T67" s="166">
        <v>25</v>
      </c>
      <c r="U67" s="67" t="s">
        <v>0</v>
      </c>
      <c r="V67" s="165" t="s">
        <v>0</v>
      </c>
      <c r="W67" s="208">
        <v>577.19053404684439</v>
      </c>
      <c r="X67" s="208">
        <v>540.26270392839808</v>
      </c>
      <c r="Y67" s="206">
        <v>13506.567598209953</v>
      </c>
      <c r="Z67" s="110" t="s">
        <v>659</v>
      </c>
      <c r="AA67" s="393" t="s">
        <v>639</v>
      </c>
      <c r="AB67" t="s">
        <v>455</v>
      </c>
      <c r="AC67">
        <v>8.9</v>
      </c>
      <c r="AD67">
        <v>53.5</v>
      </c>
      <c r="AE67">
        <v>1</v>
      </c>
      <c r="AF67" s="755">
        <v>2675</v>
      </c>
    </row>
    <row r="68" spans="1:32" x14ac:dyDescent="0.3">
      <c r="A68" s="151">
        <v>45352</v>
      </c>
      <c r="B68" s="189">
        <v>459</v>
      </c>
      <c r="C68" s="11" t="s">
        <v>544</v>
      </c>
      <c r="D68" s="10" t="s">
        <v>552</v>
      </c>
      <c r="E68" s="2" t="s">
        <v>588</v>
      </c>
      <c r="F68" s="2" t="s">
        <v>584</v>
      </c>
      <c r="G68" s="2" t="s">
        <v>562</v>
      </c>
      <c r="H68" s="14" t="s">
        <v>456</v>
      </c>
      <c r="I68" s="65" t="s">
        <v>527</v>
      </c>
      <c r="J68" s="15" t="s">
        <v>550</v>
      </c>
      <c r="K68" s="2" t="s">
        <v>532</v>
      </c>
      <c r="L68" s="2" t="s">
        <v>608</v>
      </c>
      <c r="M68" s="2" t="s">
        <v>531</v>
      </c>
      <c r="N68" s="2" t="s">
        <v>531</v>
      </c>
      <c r="O68" s="2" t="s">
        <v>571</v>
      </c>
      <c r="P68" s="75" t="s">
        <v>573</v>
      </c>
      <c r="Q68" s="89" t="s">
        <v>507</v>
      </c>
      <c r="R68" s="110" t="s">
        <v>519</v>
      </c>
      <c r="S68" s="166">
        <v>400</v>
      </c>
      <c r="T68" s="166">
        <v>25</v>
      </c>
      <c r="U68" s="67" t="s">
        <v>0</v>
      </c>
      <c r="V68" s="165" t="s">
        <v>0</v>
      </c>
      <c r="W68" s="208">
        <v>1134.8939571488825</v>
      </c>
      <c r="X68" s="208">
        <v>1062.2850545769566</v>
      </c>
      <c r="Y68" s="206">
        <v>26557.126364423912</v>
      </c>
      <c r="Z68" s="110" t="s">
        <v>659</v>
      </c>
      <c r="AA68" s="393" t="s">
        <v>639</v>
      </c>
      <c r="AB68" t="s">
        <v>456</v>
      </c>
      <c r="AC68">
        <v>33.700000000000003</v>
      </c>
      <c r="AD68">
        <v>201.9</v>
      </c>
      <c r="AE68">
        <v>1</v>
      </c>
      <c r="AF68" s="755">
        <v>10095</v>
      </c>
    </row>
    <row r="69" spans="1:32" x14ac:dyDescent="0.3">
      <c r="A69" s="151">
        <v>45352</v>
      </c>
      <c r="B69" s="189">
        <v>460</v>
      </c>
      <c r="C69" s="11" t="s">
        <v>544</v>
      </c>
      <c r="D69" s="10" t="s">
        <v>552</v>
      </c>
      <c r="E69" s="2" t="s">
        <v>588</v>
      </c>
      <c r="F69" s="2" t="s">
        <v>584</v>
      </c>
      <c r="G69" s="2" t="s">
        <v>562</v>
      </c>
      <c r="H69" s="14" t="s">
        <v>457</v>
      </c>
      <c r="I69" s="65" t="s">
        <v>527</v>
      </c>
      <c r="J69" s="15" t="s">
        <v>550</v>
      </c>
      <c r="K69" s="2" t="s">
        <v>532</v>
      </c>
      <c r="L69" s="2" t="s">
        <v>608</v>
      </c>
      <c r="M69" s="2" t="s">
        <v>531</v>
      </c>
      <c r="N69" s="2" t="s">
        <v>531</v>
      </c>
      <c r="O69" s="2" t="s">
        <v>571</v>
      </c>
      <c r="P69" s="110" t="s">
        <v>573</v>
      </c>
      <c r="Q69" s="137" t="s">
        <v>508</v>
      </c>
      <c r="R69" s="110" t="s">
        <v>519</v>
      </c>
      <c r="S69" s="166">
        <v>400</v>
      </c>
      <c r="T69" s="166">
        <v>25</v>
      </c>
      <c r="U69" s="67" t="s">
        <v>0</v>
      </c>
      <c r="V69" s="165" t="s">
        <v>0</v>
      </c>
      <c r="W69" s="208">
        <v>974.85966820494741</v>
      </c>
      <c r="X69" s="208">
        <v>912.48953201370568</v>
      </c>
      <c r="Y69" s="206">
        <v>22812.23830034264</v>
      </c>
      <c r="Z69" s="110" t="s">
        <v>659</v>
      </c>
      <c r="AA69" s="393" t="s">
        <v>639</v>
      </c>
      <c r="AB69" t="s">
        <v>457</v>
      </c>
      <c r="AC69">
        <v>14</v>
      </c>
      <c r="AD69">
        <v>83.8</v>
      </c>
      <c r="AE69">
        <v>1</v>
      </c>
      <c r="AF69" s="755">
        <v>4190</v>
      </c>
    </row>
    <row r="70" spans="1:32" x14ac:dyDescent="0.3">
      <c r="A70" s="151">
        <v>45352</v>
      </c>
      <c r="B70" s="189">
        <v>461</v>
      </c>
      <c r="C70" s="11" t="s">
        <v>544</v>
      </c>
      <c r="D70" s="10" t="s">
        <v>552</v>
      </c>
      <c r="E70" s="2" t="s">
        <v>588</v>
      </c>
      <c r="F70" s="2" t="s">
        <v>584</v>
      </c>
      <c r="G70" s="2" t="s">
        <v>562</v>
      </c>
      <c r="H70" s="14" t="s">
        <v>458</v>
      </c>
      <c r="I70" s="65" t="s">
        <v>527</v>
      </c>
      <c r="J70" s="15" t="s">
        <v>550</v>
      </c>
      <c r="K70" s="2" t="s">
        <v>532</v>
      </c>
      <c r="L70" s="2" t="s">
        <v>608</v>
      </c>
      <c r="M70" s="2" t="s">
        <v>531</v>
      </c>
      <c r="N70" s="2" t="s">
        <v>531</v>
      </c>
      <c r="O70" s="2" t="s">
        <v>571</v>
      </c>
      <c r="P70" s="75" t="s">
        <v>573</v>
      </c>
      <c r="Q70" s="89" t="s">
        <v>509</v>
      </c>
      <c r="R70" s="110" t="s">
        <v>519</v>
      </c>
      <c r="S70" s="166">
        <v>400</v>
      </c>
      <c r="T70" s="166">
        <v>25</v>
      </c>
      <c r="U70" s="67" t="s">
        <v>0</v>
      </c>
      <c r="V70" s="165" t="s">
        <v>0</v>
      </c>
      <c r="W70" s="208">
        <v>751.48168116967076</v>
      </c>
      <c r="X70" s="208">
        <v>703.40295114478465</v>
      </c>
      <c r="Y70" s="206">
        <v>17585.073778619619</v>
      </c>
      <c r="Z70" s="110" t="s">
        <v>659</v>
      </c>
      <c r="AA70" s="393" t="s">
        <v>639</v>
      </c>
      <c r="AB70" t="s">
        <v>458</v>
      </c>
      <c r="AC70">
        <v>35.799999999999997</v>
      </c>
      <c r="AD70">
        <v>214.5</v>
      </c>
      <c r="AE70">
        <v>1</v>
      </c>
      <c r="AF70" s="755">
        <v>10725</v>
      </c>
    </row>
    <row r="71" spans="1:32" x14ac:dyDescent="0.3">
      <c r="A71" s="151">
        <v>45352</v>
      </c>
      <c r="B71" s="189">
        <v>462</v>
      </c>
      <c r="C71" s="11" t="s">
        <v>544</v>
      </c>
      <c r="D71" s="10" t="s">
        <v>552</v>
      </c>
      <c r="E71" s="2" t="s">
        <v>588</v>
      </c>
      <c r="F71" s="2" t="s">
        <v>584</v>
      </c>
      <c r="G71" s="2" t="s">
        <v>562</v>
      </c>
      <c r="H71" s="14" t="s">
        <v>459</v>
      </c>
      <c r="I71" s="65" t="s">
        <v>527</v>
      </c>
      <c r="J71" s="15" t="s">
        <v>550</v>
      </c>
      <c r="K71" s="2" t="s">
        <v>532</v>
      </c>
      <c r="L71" s="2" t="s">
        <v>608</v>
      </c>
      <c r="M71" s="2" t="s">
        <v>531</v>
      </c>
      <c r="N71" s="2" t="s">
        <v>531</v>
      </c>
      <c r="O71" s="2" t="s">
        <v>571</v>
      </c>
      <c r="P71" s="110" t="s">
        <v>573</v>
      </c>
      <c r="Q71" s="137" t="s">
        <v>510</v>
      </c>
      <c r="R71" s="110" t="s">
        <v>519</v>
      </c>
      <c r="S71" s="166">
        <v>400</v>
      </c>
      <c r="T71" s="166">
        <v>25</v>
      </c>
      <c r="U71" s="67" t="s">
        <v>0</v>
      </c>
      <c r="V71" s="165" t="s">
        <v>0</v>
      </c>
      <c r="W71" s="208">
        <v>718.52994624059863</v>
      </c>
      <c r="X71" s="208">
        <v>672.55942138851276</v>
      </c>
      <c r="Y71" s="206">
        <v>16813.985534712821</v>
      </c>
      <c r="Z71" s="110" t="s">
        <v>659</v>
      </c>
      <c r="AA71" s="393" t="s">
        <v>639</v>
      </c>
      <c r="AB71" t="s">
        <v>459</v>
      </c>
      <c r="AC71">
        <v>13</v>
      </c>
      <c r="AD71">
        <v>78</v>
      </c>
      <c r="AE71">
        <v>1</v>
      </c>
      <c r="AF71" s="755">
        <v>3900</v>
      </c>
    </row>
    <row r="72" spans="1:32" x14ac:dyDescent="0.3">
      <c r="A72" s="151">
        <v>45352</v>
      </c>
      <c r="B72" s="189">
        <v>463</v>
      </c>
      <c r="C72" s="11" t="s">
        <v>544</v>
      </c>
      <c r="D72" s="10" t="s">
        <v>552</v>
      </c>
      <c r="E72" s="2" t="s">
        <v>588</v>
      </c>
      <c r="F72" s="2" t="s">
        <v>584</v>
      </c>
      <c r="G72" s="2" t="s">
        <v>562</v>
      </c>
      <c r="H72" s="14" t="s">
        <v>460</v>
      </c>
      <c r="I72" s="65" t="s">
        <v>527</v>
      </c>
      <c r="J72" s="15" t="s">
        <v>550</v>
      </c>
      <c r="K72" s="2" t="s">
        <v>532</v>
      </c>
      <c r="L72" s="2" t="s">
        <v>608</v>
      </c>
      <c r="M72" s="2" t="s">
        <v>531</v>
      </c>
      <c r="N72" s="2" t="s">
        <v>531</v>
      </c>
      <c r="O72" s="2" t="s">
        <v>571</v>
      </c>
      <c r="P72" s="75" t="s">
        <v>573</v>
      </c>
      <c r="Q72" s="89" t="s">
        <v>511</v>
      </c>
      <c r="R72" s="110" t="s">
        <v>519</v>
      </c>
      <c r="S72" s="166">
        <v>400</v>
      </c>
      <c r="T72" s="166">
        <v>25</v>
      </c>
      <c r="U72" s="67" t="s">
        <v>0</v>
      </c>
      <c r="V72" s="165" t="s">
        <v>0</v>
      </c>
      <c r="W72" s="208">
        <v>764.28489893849132</v>
      </c>
      <c r="X72" s="208">
        <v>715.38703723550657</v>
      </c>
      <c r="Y72" s="206">
        <v>17884.675930887661</v>
      </c>
      <c r="Z72" s="110" t="s">
        <v>659</v>
      </c>
      <c r="AA72" s="393" t="s">
        <v>639</v>
      </c>
      <c r="AB72" t="s">
        <v>460</v>
      </c>
      <c r="AC72">
        <v>17.8</v>
      </c>
      <c r="AD72">
        <v>107</v>
      </c>
      <c r="AE72">
        <v>1</v>
      </c>
      <c r="AF72" s="755">
        <v>5350</v>
      </c>
    </row>
    <row r="73" spans="1:32" x14ac:dyDescent="0.3">
      <c r="A73" s="151">
        <v>45352</v>
      </c>
      <c r="B73" s="189">
        <v>464</v>
      </c>
      <c r="C73" s="11" t="s">
        <v>544</v>
      </c>
      <c r="D73" s="10" t="s">
        <v>552</v>
      </c>
      <c r="E73" s="2" t="s">
        <v>588</v>
      </c>
      <c r="F73" s="2" t="s">
        <v>584</v>
      </c>
      <c r="G73" s="2" t="s">
        <v>562</v>
      </c>
      <c r="H73" s="14" t="s">
        <v>461</v>
      </c>
      <c r="I73" s="65" t="s">
        <v>527</v>
      </c>
      <c r="J73" s="15" t="s">
        <v>550</v>
      </c>
      <c r="K73" s="2" t="s">
        <v>532</v>
      </c>
      <c r="L73" s="2" t="s">
        <v>608</v>
      </c>
      <c r="M73" s="2" t="s">
        <v>531</v>
      </c>
      <c r="N73" s="2" t="s">
        <v>531</v>
      </c>
      <c r="O73" s="2" t="s">
        <v>571</v>
      </c>
      <c r="P73" s="110" t="s">
        <v>573</v>
      </c>
      <c r="Q73" s="137" t="s">
        <v>512</v>
      </c>
      <c r="R73" s="110" t="s">
        <v>519</v>
      </c>
      <c r="S73" s="166">
        <v>400</v>
      </c>
      <c r="T73" s="166">
        <v>25</v>
      </c>
      <c r="U73" s="67" t="s">
        <v>0</v>
      </c>
      <c r="V73" s="165" t="s">
        <v>0</v>
      </c>
      <c r="W73" s="208">
        <v>879.00446870580117</v>
      </c>
      <c r="X73" s="208">
        <v>822.76701195795954</v>
      </c>
      <c r="Y73" s="206">
        <v>20569.175298948987</v>
      </c>
      <c r="Z73" s="110" t="s">
        <v>659</v>
      </c>
      <c r="AA73" s="393" t="s">
        <v>639</v>
      </c>
      <c r="AB73" t="s">
        <v>461</v>
      </c>
      <c r="AC73">
        <v>9.3000000000000007</v>
      </c>
      <c r="AD73">
        <v>55.7</v>
      </c>
      <c r="AE73">
        <v>1</v>
      </c>
      <c r="AF73" s="755">
        <v>2785</v>
      </c>
    </row>
    <row r="74" spans="1:32" x14ac:dyDescent="0.3">
      <c r="A74" s="151">
        <v>45352</v>
      </c>
      <c r="B74" s="189">
        <v>465</v>
      </c>
      <c r="C74" s="11" t="s">
        <v>544</v>
      </c>
      <c r="D74" s="10" t="s">
        <v>552</v>
      </c>
      <c r="E74" s="2" t="s">
        <v>588</v>
      </c>
      <c r="F74" s="2" t="s">
        <v>584</v>
      </c>
      <c r="G74" s="2" t="s">
        <v>562</v>
      </c>
      <c r="H74" s="14" t="s">
        <v>462</v>
      </c>
      <c r="I74" s="65" t="s">
        <v>527</v>
      </c>
      <c r="J74" s="12" t="s">
        <v>551</v>
      </c>
      <c r="K74" s="2" t="s">
        <v>532</v>
      </c>
      <c r="L74" s="2" t="s">
        <v>608</v>
      </c>
      <c r="M74" s="2" t="s">
        <v>531</v>
      </c>
      <c r="N74" s="2" t="s">
        <v>531</v>
      </c>
      <c r="O74" s="2" t="s">
        <v>571</v>
      </c>
      <c r="P74" s="75" t="s">
        <v>573</v>
      </c>
      <c r="Q74" s="67" t="s">
        <v>496</v>
      </c>
      <c r="R74" s="110" t="s">
        <v>519</v>
      </c>
      <c r="S74" s="166">
        <v>400</v>
      </c>
      <c r="T74" s="166">
        <v>25</v>
      </c>
      <c r="U74" s="67" t="s">
        <v>0</v>
      </c>
      <c r="V74" s="165" t="s">
        <v>0</v>
      </c>
      <c r="W74" s="208">
        <v>595.72870862139735</v>
      </c>
      <c r="X74" s="208">
        <v>557.61483243841246</v>
      </c>
      <c r="Y74" s="206">
        <v>13940.37081096031</v>
      </c>
      <c r="Z74" s="110" t="s">
        <v>659</v>
      </c>
      <c r="AA74" s="393" t="s">
        <v>640</v>
      </c>
      <c r="AB74" t="s">
        <v>462</v>
      </c>
      <c r="AC74">
        <v>2.2000000000000002</v>
      </c>
      <c r="AD74">
        <v>12.9</v>
      </c>
      <c r="AE74">
        <v>1</v>
      </c>
      <c r="AF74" s="755">
        <v>645</v>
      </c>
    </row>
    <row r="75" spans="1:32" x14ac:dyDescent="0.3">
      <c r="A75" s="151">
        <v>45352</v>
      </c>
      <c r="B75" s="189">
        <v>466</v>
      </c>
      <c r="C75" s="11" t="s">
        <v>544</v>
      </c>
      <c r="D75" s="10" t="s">
        <v>552</v>
      </c>
      <c r="E75" s="2" t="s">
        <v>588</v>
      </c>
      <c r="F75" s="2" t="s">
        <v>584</v>
      </c>
      <c r="G75" s="2" t="s">
        <v>562</v>
      </c>
      <c r="H75" s="14" t="s">
        <v>463</v>
      </c>
      <c r="I75" s="65" t="s">
        <v>527</v>
      </c>
      <c r="J75" s="12" t="s">
        <v>551</v>
      </c>
      <c r="K75" s="2" t="s">
        <v>532</v>
      </c>
      <c r="L75" s="2" t="s">
        <v>608</v>
      </c>
      <c r="M75" s="2" t="s">
        <v>531</v>
      </c>
      <c r="N75" s="2" t="s">
        <v>531</v>
      </c>
      <c r="O75" s="2" t="s">
        <v>571</v>
      </c>
      <c r="P75" s="110" t="s">
        <v>573</v>
      </c>
      <c r="Q75" s="137" t="s">
        <v>497</v>
      </c>
      <c r="R75" s="110" t="s">
        <v>519</v>
      </c>
      <c r="S75" s="166">
        <v>400</v>
      </c>
      <c r="T75" s="166">
        <v>25</v>
      </c>
      <c r="U75" s="67" t="s">
        <v>0</v>
      </c>
      <c r="V75" s="165" t="s">
        <v>0</v>
      </c>
      <c r="W75" s="208">
        <v>473.41318759266989</v>
      </c>
      <c r="X75" s="208">
        <v>443.12488462158296</v>
      </c>
      <c r="Y75" s="206">
        <v>11078.122115539576</v>
      </c>
      <c r="Z75" s="110" t="s">
        <v>659</v>
      </c>
      <c r="AA75" s="393" t="s">
        <v>640</v>
      </c>
      <c r="AB75" t="s">
        <v>463</v>
      </c>
      <c r="AC75">
        <v>6.1</v>
      </c>
      <c r="AD75">
        <v>36.4</v>
      </c>
      <c r="AE75">
        <v>1</v>
      </c>
      <c r="AF75" s="755">
        <v>1820</v>
      </c>
    </row>
    <row r="76" spans="1:32" x14ac:dyDescent="0.3">
      <c r="A76" s="151">
        <v>45352</v>
      </c>
      <c r="B76" s="189">
        <v>467</v>
      </c>
      <c r="C76" s="11" t="s">
        <v>544</v>
      </c>
      <c r="D76" s="10" t="s">
        <v>552</v>
      </c>
      <c r="E76" s="2" t="s">
        <v>588</v>
      </c>
      <c r="F76" s="2" t="s">
        <v>584</v>
      </c>
      <c r="G76" s="2" t="s">
        <v>562</v>
      </c>
      <c r="H76" s="14" t="s">
        <v>464</v>
      </c>
      <c r="I76" s="65" t="s">
        <v>527</v>
      </c>
      <c r="J76" s="12" t="s">
        <v>551</v>
      </c>
      <c r="K76" s="2" t="s">
        <v>532</v>
      </c>
      <c r="L76" s="2" t="s">
        <v>608</v>
      </c>
      <c r="M76" s="2" t="s">
        <v>531</v>
      </c>
      <c r="N76" s="2" t="s">
        <v>531</v>
      </c>
      <c r="O76" s="2" t="s">
        <v>571</v>
      </c>
      <c r="P76" s="75" t="s">
        <v>573</v>
      </c>
      <c r="Q76" s="89" t="s">
        <v>498</v>
      </c>
      <c r="R76" s="110" t="s">
        <v>519</v>
      </c>
      <c r="S76" s="166">
        <v>400</v>
      </c>
      <c r="T76" s="166">
        <v>25</v>
      </c>
      <c r="U76" s="67" t="s">
        <v>0</v>
      </c>
      <c r="V76" s="165" t="s">
        <v>0</v>
      </c>
      <c r="W76" s="208">
        <v>395.06733332480081</v>
      </c>
      <c r="X76" s="208">
        <v>369.79148677188107</v>
      </c>
      <c r="Y76" s="206">
        <v>9244.7871692970257</v>
      </c>
      <c r="Z76" s="110" t="s">
        <v>659</v>
      </c>
      <c r="AA76" s="393" t="s">
        <v>640</v>
      </c>
      <c r="AB76" t="s">
        <v>464</v>
      </c>
      <c r="AC76">
        <v>3.9</v>
      </c>
      <c r="AD76">
        <v>23.5</v>
      </c>
      <c r="AE76">
        <v>1</v>
      </c>
      <c r="AF76" s="755">
        <v>1175</v>
      </c>
    </row>
    <row r="77" spans="1:32" x14ac:dyDescent="0.3">
      <c r="A77" s="151">
        <v>45352</v>
      </c>
      <c r="B77" s="189">
        <v>468</v>
      </c>
      <c r="C77" s="11" t="s">
        <v>544</v>
      </c>
      <c r="D77" s="10" t="s">
        <v>552</v>
      </c>
      <c r="E77" s="2" t="s">
        <v>588</v>
      </c>
      <c r="F77" s="2" t="s">
        <v>584</v>
      </c>
      <c r="G77" s="2" t="s">
        <v>562</v>
      </c>
      <c r="H77" s="14" t="s">
        <v>465</v>
      </c>
      <c r="I77" s="65" t="s">
        <v>527</v>
      </c>
      <c r="J77" s="12" t="s">
        <v>551</v>
      </c>
      <c r="K77" s="2" t="s">
        <v>532</v>
      </c>
      <c r="L77" s="2" t="s">
        <v>608</v>
      </c>
      <c r="M77" s="2" t="s">
        <v>531</v>
      </c>
      <c r="N77" s="2" t="s">
        <v>531</v>
      </c>
      <c r="O77" s="2" t="s">
        <v>571</v>
      </c>
      <c r="P77" s="110" t="s">
        <v>573</v>
      </c>
      <c r="Q77" s="137" t="s">
        <v>499</v>
      </c>
      <c r="R77" s="110" t="s">
        <v>519</v>
      </c>
      <c r="S77" s="166">
        <v>400</v>
      </c>
      <c r="T77" s="166">
        <v>25</v>
      </c>
      <c r="U77" s="67" t="s">
        <v>0</v>
      </c>
      <c r="V77" s="165" t="s">
        <v>0</v>
      </c>
      <c r="W77" s="208">
        <v>327.36143431148184</v>
      </c>
      <c r="X77" s="208">
        <v>306.41731496006463</v>
      </c>
      <c r="Y77" s="206">
        <v>7660.4328740016153</v>
      </c>
      <c r="Z77" s="110" t="s">
        <v>659</v>
      </c>
      <c r="AA77" s="393" t="s">
        <v>640</v>
      </c>
      <c r="AB77" t="s">
        <v>465</v>
      </c>
      <c r="AC77">
        <v>0.7</v>
      </c>
      <c r="AD77">
        <v>4.3</v>
      </c>
      <c r="AE77">
        <v>1</v>
      </c>
      <c r="AF77" s="755">
        <v>215</v>
      </c>
    </row>
    <row r="78" spans="1:32" x14ac:dyDescent="0.3">
      <c r="A78" s="151">
        <v>45352</v>
      </c>
      <c r="B78" s="188">
        <v>469</v>
      </c>
      <c r="C78" s="11" t="s">
        <v>544</v>
      </c>
      <c r="D78" s="10" t="s">
        <v>552</v>
      </c>
      <c r="E78" s="2" t="s">
        <v>588</v>
      </c>
      <c r="F78" s="2" t="s">
        <v>584</v>
      </c>
      <c r="G78" s="2" t="s">
        <v>562</v>
      </c>
      <c r="H78" s="14" t="s">
        <v>466</v>
      </c>
      <c r="I78" s="65" t="s">
        <v>527</v>
      </c>
      <c r="J78" s="12" t="s">
        <v>551</v>
      </c>
      <c r="K78" s="2" t="s">
        <v>532</v>
      </c>
      <c r="L78" s="2" t="s">
        <v>608</v>
      </c>
      <c r="M78" s="2" t="s">
        <v>531</v>
      </c>
      <c r="N78" s="2" t="s">
        <v>531</v>
      </c>
      <c r="O78" s="2" t="s">
        <v>571</v>
      </c>
      <c r="P78" s="75" t="s">
        <v>573</v>
      </c>
      <c r="Q78" s="89" t="s">
        <v>500</v>
      </c>
      <c r="R78" s="110" t="s">
        <v>519</v>
      </c>
      <c r="S78" s="166">
        <v>400</v>
      </c>
      <c r="T78" s="166">
        <v>25</v>
      </c>
      <c r="U78" s="67" t="s">
        <v>0</v>
      </c>
      <c r="V78" s="165" t="s">
        <v>0</v>
      </c>
      <c r="W78" s="208">
        <v>305.80097087631032</v>
      </c>
      <c r="X78" s="208">
        <v>286.23625933573635</v>
      </c>
      <c r="Y78" s="206">
        <v>7155.906483393409</v>
      </c>
      <c r="Z78" s="110" t="s">
        <v>659</v>
      </c>
      <c r="AA78" s="393" t="s">
        <v>640</v>
      </c>
      <c r="AB78" t="s">
        <v>466</v>
      </c>
      <c r="AC78">
        <v>3.9</v>
      </c>
      <c r="AD78">
        <v>23.5</v>
      </c>
      <c r="AE78">
        <v>1</v>
      </c>
      <c r="AF78" s="755">
        <v>1175</v>
      </c>
    </row>
    <row r="79" spans="1:32" x14ac:dyDescent="0.3">
      <c r="A79" s="151">
        <v>45352</v>
      </c>
      <c r="B79" s="189">
        <v>470</v>
      </c>
      <c r="C79" s="11" t="s">
        <v>544</v>
      </c>
      <c r="D79" s="10" t="s">
        <v>552</v>
      </c>
      <c r="E79" s="2" t="s">
        <v>588</v>
      </c>
      <c r="F79" s="2" t="s">
        <v>584</v>
      </c>
      <c r="G79" s="2" t="s">
        <v>562</v>
      </c>
      <c r="H79" s="14" t="s">
        <v>467</v>
      </c>
      <c r="I79" s="65" t="s">
        <v>527</v>
      </c>
      <c r="J79" s="12" t="s">
        <v>551</v>
      </c>
      <c r="K79" s="2" t="s">
        <v>532</v>
      </c>
      <c r="L79" s="2" t="s">
        <v>608</v>
      </c>
      <c r="M79" s="2" t="s">
        <v>531</v>
      </c>
      <c r="N79" s="2" t="s">
        <v>531</v>
      </c>
      <c r="O79" s="2" t="s">
        <v>571</v>
      </c>
      <c r="P79" s="110" t="s">
        <v>573</v>
      </c>
      <c r="Q79" s="137" t="s">
        <v>501</v>
      </c>
      <c r="R79" s="110" t="s">
        <v>519</v>
      </c>
      <c r="S79" s="166">
        <v>400</v>
      </c>
      <c r="T79" s="166">
        <v>25</v>
      </c>
      <c r="U79" s="67" t="s">
        <v>0</v>
      </c>
      <c r="V79" s="165" t="s">
        <v>0</v>
      </c>
      <c r="W79" s="208">
        <v>298.54049094010759</v>
      </c>
      <c r="X79" s="208">
        <v>279.44029458792846</v>
      </c>
      <c r="Y79" s="206">
        <v>6986.0073646982109</v>
      </c>
      <c r="Z79" s="110" t="s">
        <v>659</v>
      </c>
      <c r="AA79" s="393" t="s">
        <v>640</v>
      </c>
      <c r="AB79" t="s">
        <v>467</v>
      </c>
      <c r="AC79">
        <v>4.5999999999999996</v>
      </c>
      <c r="AD79">
        <v>27.8</v>
      </c>
      <c r="AE79">
        <v>1</v>
      </c>
      <c r="AF79" s="755">
        <v>1390</v>
      </c>
    </row>
    <row r="80" spans="1:32" x14ac:dyDescent="0.3">
      <c r="A80" s="151">
        <v>45352</v>
      </c>
      <c r="B80" s="189">
        <v>471</v>
      </c>
      <c r="C80" s="11" t="s">
        <v>544</v>
      </c>
      <c r="D80" s="10" t="s">
        <v>552</v>
      </c>
      <c r="E80" s="2" t="s">
        <v>588</v>
      </c>
      <c r="F80" s="2" t="s">
        <v>584</v>
      </c>
      <c r="G80" s="2" t="s">
        <v>562</v>
      </c>
      <c r="H80" s="14" t="s">
        <v>468</v>
      </c>
      <c r="I80" s="65" t="s">
        <v>527</v>
      </c>
      <c r="J80" s="12" t="s">
        <v>551</v>
      </c>
      <c r="K80" s="2" t="s">
        <v>532</v>
      </c>
      <c r="L80" s="2" t="s">
        <v>608</v>
      </c>
      <c r="M80" s="2" t="s">
        <v>531</v>
      </c>
      <c r="N80" s="2" t="s">
        <v>531</v>
      </c>
      <c r="O80" s="2" t="s">
        <v>571</v>
      </c>
      <c r="P80" s="75" t="s">
        <v>573</v>
      </c>
      <c r="Q80" s="89" t="s">
        <v>502</v>
      </c>
      <c r="R80" s="110" t="s">
        <v>519</v>
      </c>
      <c r="S80" s="166">
        <v>400</v>
      </c>
      <c r="T80" s="166">
        <v>25</v>
      </c>
      <c r="U80" s="67" t="s">
        <v>0</v>
      </c>
      <c r="V80" s="165" t="s">
        <v>0</v>
      </c>
      <c r="W80" s="208">
        <v>329.55992149639667</v>
      </c>
      <c r="X80" s="208">
        <v>308.47514605917553</v>
      </c>
      <c r="Y80" s="206">
        <v>7711.8786514793883</v>
      </c>
      <c r="Z80" s="110" t="s">
        <v>659</v>
      </c>
      <c r="AA80" s="393" t="s">
        <v>640</v>
      </c>
      <c r="AB80" t="s">
        <v>468</v>
      </c>
      <c r="AC80">
        <v>2.9</v>
      </c>
      <c r="AD80">
        <v>17.100000000000001</v>
      </c>
      <c r="AE80">
        <v>1</v>
      </c>
      <c r="AF80" s="755">
        <v>855.00000000000011</v>
      </c>
    </row>
    <row r="81" spans="1:32" x14ac:dyDescent="0.3">
      <c r="A81" s="151">
        <v>45352</v>
      </c>
      <c r="B81" s="189">
        <v>472</v>
      </c>
      <c r="C81" s="11" t="s">
        <v>544</v>
      </c>
      <c r="D81" s="10" t="s">
        <v>552</v>
      </c>
      <c r="E81" s="2" t="s">
        <v>588</v>
      </c>
      <c r="F81" s="2" t="s">
        <v>584</v>
      </c>
      <c r="G81" s="2" t="s">
        <v>562</v>
      </c>
      <c r="H81" s="14" t="s">
        <v>469</v>
      </c>
      <c r="I81" s="65" t="s">
        <v>527</v>
      </c>
      <c r="J81" s="12" t="s">
        <v>551</v>
      </c>
      <c r="K81" s="2" t="s">
        <v>532</v>
      </c>
      <c r="L81" s="2" t="s">
        <v>608</v>
      </c>
      <c r="M81" s="2" t="s">
        <v>531</v>
      </c>
      <c r="N81" s="2" t="s">
        <v>531</v>
      </c>
      <c r="O81" s="2" t="s">
        <v>571</v>
      </c>
      <c r="P81" s="110" t="s">
        <v>573</v>
      </c>
      <c r="Q81" s="137" t="s">
        <v>504</v>
      </c>
      <c r="R81" s="110" t="s">
        <v>519</v>
      </c>
      <c r="S81" s="166">
        <v>400</v>
      </c>
      <c r="T81" s="166">
        <v>25</v>
      </c>
      <c r="U81" s="67" t="s">
        <v>0</v>
      </c>
      <c r="V81" s="165" t="s">
        <v>0</v>
      </c>
      <c r="W81" s="208">
        <v>227.06400221517384</v>
      </c>
      <c r="X81" s="208">
        <v>212.5367700358326</v>
      </c>
      <c r="Y81" s="206">
        <v>5313.4192508958149</v>
      </c>
      <c r="Z81" s="110" t="s">
        <v>659</v>
      </c>
      <c r="AA81" s="393" t="s">
        <v>640</v>
      </c>
      <c r="AB81" t="s">
        <v>469</v>
      </c>
      <c r="AC81">
        <v>2.1</v>
      </c>
      <c r="AD81">
        <v>12.8</v>
      </c>
      <c r="AE81">
        <v>1</v>
      </c>
      <c r="AF81" s="755">
        <v>640</v>
      </c>
    </row>
    <row r="82" spans="1:32" x14ac:dyDescent="0.3">
      <c r="A82" s="151">
        <v>45352</v>
      </c>
      <c r="B82" s="189">
        <v>473</v>
      </c>
      <c r="C82" s="11" t="s">
        <v>544</v>
      </c>
      <c r="D82" s="10" t="s">
        <v>552</v>
      </c>
      <c r="E82" s="2" t="s">
        <v>588</v>
      </c>
      <c r="F82" s="2" t="s">
        <v>584</v>
      </c>
      <c r="G82" s="2" t="s">
        <v>562</v>
      </c>
      <c r="H82" s="14" t="s">
        <v>470</v>
      </c>
      <c r="I82" s="65" t="s">
        <v>527</v>
      </c>
      <c r="J82" s="12" t="s">
        <v>551</v>
      </c>
      <c r="K82" s="2" t="s">
        <v>532</v>
      </c>
      <c r="L82" s="2" t="s">
        <v>608</v>
      </c>
      <c r="M82" s="2" t="s">
        <v>531</v>
      </c>
      <c r="N82" s="2" t="s">
        <v>531</v>
      </c>
      <c r="O82" s="2" t="s">
        <v>571</v>
      </c>
      <c r="P82" s="75" t="s">
        <v>573</v>
      </c>
      <c r="Q82" s="89" t="s">
        <v>505</v>
      </c>
      <c r="R82" s="110" t="s">
        <v>519</v>
      </c>
      <c r="S82" s="166">
        <v>400</v>
      </c>
      <c r="T82" s="166">
        <v>25</v>
      </c>
      <c r="U82" s="67" t="s">
        <v>0</v>
      </c>
      <c r="V82" s="165" t="s">
        <v>0</v>
      </c>
      <c r="W82" s="208">
        <v>386.05435845265242</v>
      </c>
      <c r="X82" s="208">
        <v>361.35514922364541</v>
      </c>
      <c r="Y82" s="206">
        <v>9033.8787305911337</v>
      </c>
      <c r="Z82" s="110" t="s">
        <v>659</v>
      </c>
      <c r="AA82" s="393" t="s">
        <v>640</v>
      </c>
      <c r="AB82" t="s">
        <v>470</v>
      </c>
      <c r="AC82">
        <v>5.7</v>
      </c>
      <c r="AD82">
        <v>33.9</v>
      </c>
      <c r="AE82">
        <v>1</v>
      </c>
      <c r="AF82" s="755">
        <v>1695</v>
      </c>
    </row>
    <row r="83" spans="1:32" x14ac:dyDescent="0.3">
      <c r="A83" s="151">
        <v>45352</v>
      </c>
      <c r="B83" s="189">
        <v>474</v>
      </c>
      <c r="C83" s="11" t="s">
        <v>544</v>
      </c>
      <c r="D83" s="10" t="s">
        <v>552</v>
      </c>
      <c r="E83" s="2" t="s">
        <v>588</v>
      </c>
      <c r="F83" s="2" t="s">
        <v>584</v>
      </c>
      <c r="G83" s="2" t="s">
        <v>562</v>
      </c>
      <c r="H83" s="14" t="s">
        <v>471</v>
      </c>
      <c r="I83" s="65" t="s">
        <v>527</v>
      </c>
      <c r="J83" s="12" t="s">
        <v>551</v>
      </c>
      <c r="K83" s="2" t="s">
        <v>532</v>
      </c>
      <c r="L83" s="2" t="s">
        <v>608</v>
      </c>
      <c r="M83" s="2" t="s">
        <v>531</v>
      </c>
      <c r="N83" s="2" t="s">
        <v>531</v>
      </c>
      <c r="O83" s="2" t="s">
        <v>571</v>
      </c>
      <c r="P83" s="110" t="s">
        <v>573</v>
      </c>
      <c r="Q83" s="137" t="s">
        <v>506</v>
      </c>
      <c r="R83" s="110" t="s">
        <v>519</v>
      </c>
      <c r="S83" s="166">
        <v>400</v>
      </c>
      <c r="T83" s="166">
        <v>25</v>
      </c>
      <c r="U83" s="67" t="s">
        <v>0</v>
      </c>
      <c r="V83" s="165" t="s">
        <v>0</v>
      </c>
      <c r="W83" s="208">
        <v>348.33859967471011</v>
      </c>
      <c r="X83" s="208">
        <v>326.05239109416334</v>
      </c>
      <c r="Y83" s="206">
        <v>8151.3097773540831</v>
      </c>
      <c r="Z83" s="110" t="s">
        <v>659</v>
      </c>
      <c r="AA83" s="393" t="s">
        <v>640</v>
      </c>
      <c r="AB83" t="s">
        <v>471</v>
      </c>
      <c r="AC83">
        <v>1.8</v>
      </c>
      <c r="AD83">
        <v>10.7</v>
      </c>
      <c r="AE83">
        <v>1</v>
      </c>
      <c r="AF83" s="755">
        <v>535</v>
      </c>
    </row>
    <row r="84" spans="1:32" x14ac:dyDescent="0.3">
      <c r="A84" s="151">
        <v>45352</v>
      </c>
      <c r="B84" s="189">
        <v>475</v>
      </c>
      <c r="C84" s="11" t="s">
        <v>544</v>
      </c>
      <c r="D84" s="10" t="s">
        <v>552</v>
      </c>
      <c r="E84" s="2" t="s">
        <v>588</v>
      </c>
      <c r="F84" s="2" t="s">
        <v>584</v>
      </c>
      <c r="G84" s="2" t="s">
        <v>562</v>
      </c>
      <c r="H84" s="14" t="s">
        <v>472</v>
      </c>
      <c r="I84" s="65" t="s">
        <v>527</v>
      </c>
      <c r="J84" s="12" t="s">
        <v>551</v>
      </c>
      <c r="K84" s="2" t="s">
        <v>532</v>
      </c>
      <c r="L84" s="2" t="s">
        <v>608</v>
      </c>
      <c r="M84" s="2" t="s">
        <v>531</v>
      </c>
      <c r="N84" s="2" t="s">
        <v>531</v>
      </c>
      <c r="O84" s="2" t="s">
        <v>571</v>
      </c>
      <c r="P84" s="75" t="s">
        <v>573</v>
      </c>
      <c r="Q84" s="89" t="s">
        <v>507</v>
      </c>
      <c r="R84" s="110" t="s">
        <v>519</v>
      </c>
      <c r="S84" s="166">
        <v>400</v>
      </c>
      <c r="T84" s="166">
        <v>25</v>
      </c>
      <c r="U84" s="67" t="s">
        <v>0</v>
      </c>
      <c r="V84" s="165" t="s">
        <v>0</v>
      </c>
      <c r="W84" s="208">
        <v>222.60799916790538</v>
      </c>
      <c r="X84" s="208">
        <v>208.36585573106845</v>
      </c>
      <c r="Y84" s="206">
        <v>5209.1463932767119</v>
      </c>
      <c r="Z84" s="110" t="s">
        <v>659</v>
      </c>
      <c r="AA84" s="393" t="s">
        <v>640</v>
      </c>
      <c r="AB84" t="s">
        <v>472</v>
      </c>
      <c r="AC84">
        <v>1.1000000000000001</v>
      </c>
      <c r="AD84">
        <v>6.5</v>
      </c>
      <c r="AE84">
        <v>1</v>
      </c>
      <c r="AF84" s="755">
        <v>325</v>
      </c>
    </row>
    <row r="85" spans="1:32" x14ac:dyDescent="0.3">
      <c r="A85" s="151">
        <v>45352</v>
      </c>
      <c r="B85" s="189">
        <v>476</v>
      </c>
      <c r="C85" s="11" t="s">
        <v>544</v>
      </c>
      <c r="D85" s="10" t="s">
        <v>552</v>
      </c>
      <c r="E85" s="2" t="s">
        <v>588</v>
      </c>
      <c r="F85" s="2" t="s">
        <v>584</v>
      </c>
      <c r="G85" s="2" t="s">
        <v>562</v>
      </c>
      <c r="H85" s="14" t="s">
        <v>473</v>
      </c>
      <c r="I85" s="65" t="s">
        <v>527</v>
      </c>
      <c r="J85" s="12" t="s">
        <v>551</v>
      </c>
      <c r="K85" s="2" t="s">
        <v>532</v>
      </c>
      <c r="L85" s="2" t="s">
        <v>608</v>
      </c>
      <c r="M85" s="2" t="s">
        <v>531</v>
      </c>
      <c r="N85" s="2" t="s">
        <v>531</v>
      </c>
      <c r="O85" s="2" t="s">
        <v>571</v>
      </c>
      <c r="P85" s="110" t="s">
        <v>573</v>
      </c>
      <c r="Q85" s="137" t="s">
        <v>508</v>
      </c>
      <c r="R85" s="110" t="s">
        <v>519</v>
      </c>
      <c r="S85" s="166">
        <v>400</v>
      </c>
      <c r="T85" s="166">
        <v>25</v>
      </c>
      <c r="U85" s="67" t="s">
        <v>0</v>
      </c>
      <c r="V85" s="165" t="s">
        <v>0</v>
      </c>
      <c r="W85" s="208">
        <v>269.00719067177101</v>
      </c>
      <c r="X85" s="208">
        <v>251.79649290076173</v>
      </c>
      <c r="Y85" s="206">
        <v>6294.9123225190442</v>
      </c>
      <c r="Z85" s="110" t="s">
        <v>659</v>
      </c>
      <c r="AA85" s="393" t="s">
        <v>640</v>
      </c>
      <c r="AB85" t="s">
        <v>473</v>
      </c>
      <c r="AC85">
        <v>1.1000000000000001</v>
      </c>
      <c r="AD85">
        <v>6.4</v>
      </c>
      <c r="AE85">
        <v>1</v>
      </c>
      <c r="AF85" s="755">
        <v>320</v>
      </c>
    </row>
    <row r="86" spans="1:32" x14ac:dyDescent="0.3">
      <c r="A86" s="151">
        <v>45352</v>
      </c>
      <c r="B86" s="189">
        <v>477</v>
      </c>
      <c r="C86" s="11" t="s">
        <v>544</v>
      </c>
      <c r="D86" s="10" t="s">
        <v>552</v>
      </c>
      <c r="E86" s="2" t="s">
        <v>588</v>
      </c>
      <c r="F86" s="2" t="s">
        <v>584</v>
      </c>
      <c r="G86" s="2" t="s">
        <v>562</v>
      </c>
      <c r="H86" s="14" t="s">
        <v>474</v>
      </c>
      <c r="I86" s="65" t="s">
        <v>527</v>
      </c>
      <c r="J86" s="12" t="s">
        <v>551</v>
      </c>
      <c r="K86" s="2" t="s">
        <v>532</v>
      </c>
      <c r="L86" s="2" t="s">
        <v>608</v>
      </c>
      <c r="M86" s="2" t="s">
        <v>531</v>
      </c>
      <c r="N86" s="2" t="s">
        <v>531</v>
      </c>
      <c r="O86" s="2" t="s">
        <v>571</v>
      </c>
      <c r="P86" s="75" t="s">
        <v>573</v>
      </c>
      <c r="Q86" s="89" t="s">
        <v>509</v>
      </c>
      <c r="R86" s="110" t="s">
        <v>519</v>
      </c>
      <c r="S86" s="166">
        <v>400</v>
      </c>
      <c r="T86" s="166">
        <v>25</v>
      </c>
      <c r="U86" s="67" t="s">
        <v>0</v>
      </c>
      <c r="V86" s="165" t="s">
        <v>0</v>
      </c>
      <c r="W86" s="208">
        <v>225.14864718238016</v>
      </c>
      <c r="X86" s="208">
        <v>210.74395669611141</v>
      </c>
      <c r="Y86" s="206">
        <v>5268.5989174027864</v>
      </c>
      <c r="Z86" s="110" t="s">
        <v>659</v>
      </c>
      <c r="AA86" s="393" t="s">
        <v>640</v>
      </c>
      <c r="AB86" t="s">
        <v>474</v>
      </c>
      <c r="AC86">
        <v>1.4</v>
      </c>
      <c r="AD86">
        <v>8.6</v>
      </c>
      <c r="AE86">
        <v>1</v>
      </c>
      <c r="AF86" s="755">
        <v>430</v>
      </c>
    </row>
    <row r="87" spans="1:32" x14ac:dyDescent="0.3">
      <c r="A87" s="151">
        <v>45352</v>
      </c>
      <c r="B87" s="189">
        <v>478</v>
      </c>
      <c r="C87" s="11" t="s">
        <v>544</v>
      </c>
      <c r="D87" s="10" t="s">
        <v>552</v>
      </c>
      <c r="E87" s="2" t="s">
        <v>588</v>
      </c>
      <c r="F87" s="2" t="s">
        <v>584</v>
      </c>
      <c r="G87" s="2" t="s">
        <v>562</v>
      </c>
      <c r="H87" s="14" t="s">
        <v>475</v>
      </c>
      <c r="I87" s="65" t="s">
        <v>527</v>
      </c>
      <c r="J87" s="12" t="s">
        <v>551</v>
      </c>
      <c r="K87" s="2" t="s">
        <v>532</v>
      </c>
      <c r="L87" s="2" t="s">
        <v>608</v>
      </c>
      <c r="M87" s="2" t="s">
        <v>531</v>
      </c>
      <c r="N87" s="2" t="s">
        <v>531</v>
      </c>
      <c r="O87" s="2" t="s">
        <v>571</v>
      </c>
      <c r="P87" s="110" t="s">
        <v>573</v>
      </c>
      <c r="Q87" s="137" t="s">
        <v>510</v>
      </c>
      <c r="R87" s="110" t="s">
        <v>519</v>
      </c>
      <c r="S87" s="166">
        <v>400</v>
      </c>
      <c r="T87" s="166">
        <v>25</v>
      </c>
      <c r="U87" s="67" t="s">
        <v>0</v>
      </c>
      <c r="V87" s="165" t="s">
        <v>0</v>
      </c>
      <c r="W87" s="208">
        <v>220.20620710797701</v>
      </c>
      <c r="X87" s="208">
        <v>206.11772691392932</v>
      </c>
      <c r="Y87" s="206">
        <v>5152.9431728482332</v>
      </c>
      <c r="Z87" s="110" t="s">
        <v>659</v>
      </c>
      <c r="AA87" s="393" t="s">
        <v>640</v>
      </c>
      <c r="AB87" t="s">
        <v>475</v>
      </c>
      <c r="AC87">
        <v>0</v>
      </c>
      <c r="AD87">
        <v>0</v>
      </c>
      <c r="AE87">
        <v>1</v>
      </c>
      <c r="AF87" s="755">
        <v>0</v>
      </c>
    </row>
    <row r="88" spans="1:32" x14ac:dyDescent="0.3">
      <c r="A88" s="151">
        <v>45352</v>
      </c>
      <c r="B88" s="189">
        <v>479</v>
      </c>
      <c r="C88" s="11" t="s">
        <v>544</v>
      </c>
      <c r="D88" s="10" t="s">
        <v>552</v>
      </c>
      <c r="E88" s="2" t="s">
        <v>588</v>
      </c>
      <c r="F88" s="2" t="s">
        <v>584</v>
      </c>
      <c r="G88" s="2" t="s">
        <v>562</v>
      </c>
      <c r="H88" s="14" t="s">
        <v>476</v>
      </c>
      <c r="I88" s="65" t="s">
        <v>527</v>
      </c>
      <c r="J88" s="12" t="s">
        <v>551</v>
      </c>
      <c r="K88" s="2" t="s">
        <v>532</v>
      </c>
      <c r="L88" s="2" t="s">
        <v>608</v>
      </c>
      <c r="M88" s="2" t="s">
        <v>531</v>
      </c>
      <c r="N88" s="2" t="s">
        <v>531</v>
      </c>
      <c r="O88" s="2" t="s">
        <v>571</v>
      </c>
      <c r="P88" s="75" t="s">
        <v>573</v>
      </c>
      <c r="Q88" s="89" t="s">
        <v>511</v>
      </c>
      <c r="R88" s="110" t="s">
        <v>519</v>
      </c>
      <c r="S88" s="166">
        <v>400</v>
      </c>
      <c r="T88" s="166">
        <v>25</v>
      </c>
      <c r="U88" s="67" t="s">
        <v>0</v>
      </c>
      <c r="V88" s="165" t="s">
        <v>0</v>
      </c>
      <c r="W88" s="208">
        <v>350.38151881147053</v>
      </c>
      <c r="X88" s="208">
        <v>327.96460716776176</v>
      </c>
      <c r="Y88" s="206">
        <v>8199.1151791940447</v>
      </c>
      <c r="Z88" s="110" t="s">
        <v>659</v>
      </c>
      <c r="AA88" s="393" t="s">
        <v>640</v>
      </c>
      <c r="AB88" t="s">
        <v>476</v>
      </c>
      <c r="AC88">
        <v>11.4</v>
      </c>
      <c r="AD88">
        <v>68.599999999999994</v>
      </c>
      <c r="AE88">
        <v>1</v>
      </c>
      <c r="AF88" s="755">
        <v>3429.9999999999995</v>
      </c>
    </row>
    <row r="89" spans="1:32" x14ac:dyDescent="0.3">
      <c r="A89" s="151">
        <v>45352</v>
      </c>
      <c r="B89" s="189">
        <v>480</v>
      </c>
      <c r="C89" s="11" t="s">
        <v>544</v>
      </c>
      <c r="D89" s="10" t="s">
        <v>552</v>
      </c>
      <c r="E89" s="2" t="s">
        <v>588</v>
      </c>
      <c r="F89" s="2" t="s">
        <v>584</v>
      </c>
      <c r="G89" s="2" t="s">
        <v>562</v>
      </c>
      <c r="H89" s="14" t="s">
        <v>477</v>
      </c>
      <c r="I89" s="65" t="s">
        <v>527</v>
      </c>
      <c r="J89" s="12" t="s">
        <v>551</v>
      </c>
      <c r="K89" s="2" t="s">
        <v>532</v>
      </c>
      <c r="L89" s="2" t="s">
        <v>608</v>
      </c>
      <c r="M89" s="2" t="s">
        <v>531</v>
      </c>
      <c r="N89" s="2" t="s">
        <v>531</v>
      </c>
      <c r="O89" s="2" t="s">
        <v>571</v>
      </c>
      <c r="P89" s="110" t="s">
        <v>573</v>
      </c>
      <c r="Q89" s="137" t="s">
        <v>512</v>
      </c>
      <c r="R89" s="110" t="s">
        <v>519</v>
      </c>
      <c r="S89" s="166">
        <v>400</v>
      </c>
      <c r="T89" s="166">
        <v>25</v>
      </c>
      <c r="U89" s="67" t="s">
        <v>0</v>
      </c>
      <c r="V89" s="165" t="s">
        <v>0</v>
      </c>
      <c r="W89" s="208">
        <v>372.10429067525558</v>
      </c>
      <c r="X89" s="208">
        <v>348.29758695809869</v>
      </c>
      <c r="Y89" s="206">
        <v>8707.4396739524673</v>
      </c>
      <c r="Z89" s="110" t="s">
        <v>659</v>
      </c>
      <c r="AA89" s="393" t="s">
        <v>640</v>
      </c>
      <c r="AB89" t="s">
        <v>477</v>
      </c>
      <c r="AC89">
        <v>3.2</v>
      </c>
      <c r="AD89">
        <v>19.2</v>
      </c>
      <c r="AE89">
        <v>1</v>
      </c>
      <c r="AF89" s="755">
        <v>960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1B77-2491-A34C-93E4-946EFBC5887A}">
  <dimension ref="A1:Z31"/>
  <sheetViews>
    <sheetView workbookViewId="0">
      <selection activeCell="K50" sqref="K50"/>
    </sheetView>
  </sheetViews>
  <sheetFormatPr defaultColWidth="11.19921875" defaultRowHeight="15.6" x14ac:dyDescent="0.3"/>
  <cols>
    <col min="1" max="1" width="16.5" bestFit="1" customWidth="1"/>
    <col min="2" max="2" width="12.19921875" bestFit="1" customWidth="1"/>
    <col min="3" max="3" width="17.5" bestFit="1" customWidth="1"/>
    <col min="4" max="4" width="25.796875" bestFit="1" customWidth="1"/>
    <col min="5" max="5" width="23.296875" customWidth="1"/>
    <col min="17" max="17" width="15" customWidth="1"/>
    <col min="18" max="18" width="14.796875" customWidth="1"/>
  </cols>
  <sheetData>
    <row r="1" spans="1:26" ht="180" x14ac:dyDescent="0.35">
      <c r="A1" s="771" t="s">
        <v>878</v>
      </c>
      <c r="B1" s="772" t="s">
        <v>879</v>
      </c>
      <c r="C1" s="772" t="s">
        <v>880</v>
      </c>
      <c r="D1" s="771" t="s">
        <v>881</v>
      </c>
      <c r="E1" s="771" t="s">
        <v>882</v>
      </c>
      <c r="F1" s="771" t="s">
        <v>883</v>
      </c>
      <c r="G1" s="771" t="s">
        <v>884</v>
      </c>
      <c r="H1" s="773" t="s">
        <v>885</v>
      </c>
      <c r="I1" s="771" t="s">
        <v>886</v>
      </c>
      <c r="J1" s="773" t="s">
        <v>887</v>
      </c>
      <c r="K1" s="774" t="s">
        <v>888</v>
      </c>
      <c r="L1" s="775" t="s">
        <v>889</v>
      </c>
      <c r="M1" s="776" t="s">
        <v>890</v>
      </c>
      <c r="N1" s="776" t="s">
        <v>891</v>
      </c>
      <c r="O1" s="777" t="s">
        <v>892</v>
      </c>
      <c r="P1" s="778" t="s">
        <v>893</v>
      </c>
      <c r="Q1" s="779" t="s">
        <v>894</v>
      </c>
      <c r="R1" s="780" t="s">
        <v>895</v>
      </c>
      <c r="S1" s="781"/>
      <c r="T1" s="782" t="s">
        <v>896</v>
      </c>
      <c r="U1" s="783" t="s">
        <v>897</v>
      </c>
      <c r="V1" s="783" t="s">
        <v>898</v>
      </c>
      <c r="W1" s="784" t="s">
        <v>899</v>
      </c>
      <c r="X1" s="785" t="s">
        <v>893</v>
      </c>
      <c r="Y1" s="786" t="s">
        <v>894</v>
      </c>
      <c r="Z1" s="787" t="s">
        <v>900</v>
      </c>
    </row>
    <row r="2" spans="1:26" ht="18" x14ac:dyDescent="0.35">
      <c r="A2" s="788" t="s">
        <v>901</v>
      </c>
      <c r="B2" s="788" t="s">
        <v>902</v>
      </c>
      <c r="C2" s="788" t="s">
        <v>903</v>
      </c>
      <c r="D2" s="788" t="s">
        <v>904</v>
      </c>
      <c r="E2" s="788" t="s">
        <v>905</v>
      </c>
      <c r="F2" s="789">
        <v>0</v>
      </c>
      <c r="G2" s="790">
        <v>23</v>
      </c>
      <c r="H2" s="790">
        <v>0</v>
      </c>
      <c r="I2" s="791">
        <v>118</v>
      </c>
      <c r="J2" s="791">
        <v>0</v>
      </c>
      <c r="K2" s="792">
        <v>1.06</v>
      </c>
      <c r="L2" s="793">
        <v>0.42399999999999999</v>
      </c>
      <c r="M2" s="794">
        <v>8268</v>
      </c>
      <c r="N2" s="794">
        <v>1</v>
      </c>
      <c r="O2" s="794">
        <v>2.544</v>
      </c>
      <c r="P2" s="794">
        <v>1</v>
      </c>
      <c r="Q2" s="791">
        <f>O2*50</f>
        <v>127.2</v>
      </c>
      <c r="R2" s="791">
        <f>Q2*P2*(K2/0.375)</f>
        <v>359.55200000000002</v>
      </c>
      <c r="S2" s="791"/>
      <c r="T2" s="794">
        <v>22.05</v>
      </c>
      <c r="U2" s="794">
        <v>8284</v>
      </c>
      <c r="V2" s="794">
        <v>52</v>
      </c>
      <c r="W2" s="794">
        <v>132.30000000000001</v>
      </c>
      <c r="X2" s="794">
        <v>1</v>
      </c>
      <c r="Y2" s="791">
        <f>W2*50</f>
        <v>6615.0000000000009</v>
      </c>
      <c r="Z2" s="791">
        <f>Y2*X2*(K2/0.375)</f>
        <v>18698.400000000001</v>
      </c>
    </row>
    <row r="3" spans="1:26" ht="18" x14ac:dyDescent="0.35">
      <c r="A3" s="788" t="s">
        <v>906</v>
      </c>
      <c r="B3" s="788" t="s">
        <v>907</v>
      </c>
      <c r="C3" s="788" t="s">
        <v>908</v>
      </c>
      <c r="D3" s="788" t="s">
        <v>904</v>
      </c>
      <c r="E3" s="788" t="s">
        <v>905</v>
      </c>
      <c r="F3" s="789">
        <v>0</v>
      </c>
      <c r="G3" s="790">
        <v>559</v>
      </c>
      <c r="H3" s="790">
        <v>0.01</v>
      </c>
      <c r="I3" s="791">
        <v>2900</v>
      </c>
      <c r="J3" s="791">
        <v>0.1</v>
      </c>
      <c r="K3" s="792">
        <v>1.1000000000000001</v>
      </c>
      <c r="L3" s="793">
        <v>0.41899999999999998</v>
      </c>
      <c r="M3" s="794">
        <v>8266</v>
      </c>
      <c r="N3" s="794">
        <v>1</v>
      </c>
      <c r="O3" s="794">
        <v>2.5139999999999998</v>
      </c>
      <c r="P3" s="794">
        <v>1</v>
      </c>
      <c r="Q3" s="791">
        <f t="shared" ref="Q3:Q30" si="0">O3*50</f>
        <v>125.69999999999999</v>
      </c>
      <c r="R3" s="791">
        <f t="shared" ref="R3:R30" si="1">Q3*P3*(K3/0.375)</f>
        <v>368.71999999999997</v>
      </c>
      <c r="S3" s="791"/>
      <c r="T3" s="794">
        <v>0.41899999999999998</v>
      </c>
      <c r="U3" s="794">
        <v>8270</v>
      </c>
      <c r="V3" s="794">
        <v>1</v>
      </c>
      <c r="W3" s="794">
        <v>2.5139999999999998</v>
      </c>
      <c r="X3" s="794">
        <v>1</v>
      </c>
      <c r="Y3" s="791">
        <f t="shared" ref="Y3:Y30" si="2">W3*50</f>
        <v>125.69999999999999</v>
      </c>
      <c r="Z3" s="791">
        <f t="shared" ref="Z3:Z30" si="3">Y3*X3*(K3/0.375)</f>
        <v>368.71999999999997</v>
      </c>
    </row>
    <row r="4" spans="1:26" ht="18" x14ac:dyDescent="0.35">
      <c r="A4" s="788" t="s">
        <v>909</v>
      </c>
      <c r="B4" s="788" t="s">
        <v>910</v>
      </c>
      <c r="C4" s="788" t="s">
        <v>911</v>
      </c>
      <c r="D4" s="788" t="s">
        <v>904</v>
      </c>
      <c r="E4" s="788" t="s">
        <v>905</v>
      </c>
      <c r="F4" s="789">
        <v>2.317917338814381E-2</v>
      </c>
      <c r="G4" s="790">
        <v>20</v>
      </c>
      <c r="H4" s="790">
        <v>0</v>
      </c>
      <c r="I4" s="791">
        <v>138</v>
      </c>
      <c r="J4" s="791">
        <v>0</v>
      </c>
      <c r="K4" s="792">
        <v>1.39</v>
      </c>
      <c r="L4" s="793">
        <v>4.9429999999999996</v>
      </c>
      <c r="M4" s="794">
        <v>8266</v>
      </c>
      <c r="N4" s="794">
        <v>12</v>
      </c>
      <c r="O4" s="794">
        <v>29.657999999999998</v>
      </c>
      <c r="P4" s="794">
        <v>1</v>
      </c>
      <c r="Q4" s="791">
        <f t="shared" si="0"/>
        <v>1482.8999999999999</v>
      </c>
      <c r="R4" s="791">
        <f t="shared" si="1"/>
        <v>5496.6159999999991</v>
      </c>
      <c r="S4" s="791"/>
      <c r="T4" s="794">
        <v>22.77</v>
      </c>
      <c r="U4" s="794">
        <v>8247</v>
      </c>
      <c r="V4" s="794">
        <v>55</v>
      </c>
      <c r="W4" s="794">
        <v>136.62</v>
      </c>
      <c r="X4" s="794">
        <v>1</v>
      </c>
      <c r="Y4" s="791">
        <f t="shared" si="2"/>
        <v>6831</v>
      </c>
      <c r="Z4" s="791">
        <f t="shared" si="3"/>
        <v>25320.239999999998</v>
      </c>
    </row>
    <row r="5" spans="1:26" ht="18" x14ac:dyDescent="0.35">
      <c r="A5" s="788" t="s">
        <v>912</v>
      </c>
      <c r="B5" s="788" t="s">
        <v>913</v>
      </c>
      <c r="C5" s="788" t="s">
        <v>914</v>
      </c>
      <c r="D5" s="788" t="s">
        <v>904</v>
      </c>
      <c r="E5" s="788" t="s">
        <v>905</v>
      </c>
      <c r="F5" s="789">
        <v>0.11791726520743856</v>
      </c>
      <c r="G5" s="790">
        <v>10</v>
      </c>
      <c r="H5" s="790">
        <v>0</v>
      </c>
      <c r="I5" s="791">
        <v>0</v>
      </c>
      <c r="J5" s="791">
        <v>0</v>
      </c>
      <c r="K5" s="792">
        <v>1.1299999999999999</v>
      </c>
      <c r="L5" s="793">
        <v>2.7610000000000001</v>
      </c>
      <c r="M5" s="794">
        <v>8258</v>
      </c>
      <c r="N5" s="794">
        <v>7</v>
      </c>
      <c r="O5" s="794">
        <v>16.566000000000003</v>
      </c>
      <c r="P5" s="794">
        <v>1</v>
      </c>
      <c r="Q5" s="791">
        <f t="shared" si="0"/>
        <v>828.30000000000018</v>
      </c>
      <c r="R5" s="791">
        <f t="shared" si="1"/>
        <v>2495.9440000000004</v>
      </c>
      <c r="S5" s="791"/>
      <c r="T5" s="794">
        <v>0.39400000000000002</v>
      </c>
      <c r="U5" s="794">
        <v>8258</v>
      </c>
      <c r="V5" s="794">
        <v>1</v>
      </c>
      <c r="W5" s="794">
        <v>2.3639999999999999</v>
      </c>
      <c r="X5" s="794">
        <v>1</v>
      </c>
      <c r="Y5" s="791">
        <f t="shared" si="2"/>
        <v>118.19999999999999</v>
      </c>
      <c r="Z5" s="791">
        <f t="shared" si="3"/>
        <v>356.17599999999993</v>
      </c>
    </row>
    <row r="6" spans="1:26" ht="18" x14ac:dyDescent="0.35">
      <c r="A6" s="788" t="s">
        <v>915</v>
      </c>
      <c r="B6" s="788" t="s">
        <v>916</v>
      </c>
      <c r="C6" s="788" t="s">
        <v>917</v>
      </c>
      <c r="D6" s="788" t="s">
        <v>904</v>
      </c>
      <c r="E6" s="788" t="s">
        <v>905</v>
      </c>
      <c r="F6" s="789">
        <v>0.18551382070040184</v>
      </c>
      <c r="G6" s="790">
        <v>20</v>
      </c>
      <c r="H6" s="790">
        <v>0</v>
      </c>
      <c r="I6" s="791">
        <v>55</v>
      </c>
      <c r="J6" s="791">
        <v>0</v>
      </c>
      <c r="K6" s="792">
        <v>1.22</v>
      </c>
      <c r="L6" s="793">
        <v>0</v>
      </c>
      <c r="M6" s="794">
        <v>8254</v>
      </c>
      <c r="N6" s="794">
        <v>0</v>
      </c>
      <c r="O6" s="794">
        <v>0</v>
      </c>
      <c r="P6" s="794">
        <v>1</v>
      </c>
      <c r="Q6" s="791">
        <f t="shared" si="0"/>
        <v>0</v>
      </c>
      <c r="R6" s="791">
        <f t="shared" si="1"/>
        <v>0</v>
      </c>
      <c r="S6" s="791"/>
      <c r="T6" s="794">
        <v>1.9570000000000001</v>
      </c>
      <c r="U6" s="794">
        <v>8265</v>
      </c>
      <c r="V6" s="794">
        <v>5</v>
      </c>
      <c r="W6" s="794">
        <v>11.742000000000001</v>
      </c>
      <c r="X6" s="794">
        <v>1</v>
      </c>
      <c r="Y6" s="791">
        <f t="shared" si="2"/>
        <v>587.1</v>
      </c>
      <c r="Z6" s="791">
        <f t="shared" si="3"/>
        <v>1910.0320000000002</v>
      </c>
    </row>
    <row r="7" spans="1:26" ht="18" x14ac:dyDescent="0.35">
      <c r="A7" s="788" t="s">
        <v>918</v>
      </c>
      <c r="B7" s="788" t="s">
        <v>919</v>
      </c>
      <c r="C7" s="788" t="s">
        <v>920</v>
      </c>
      <c r="D7" s="788" t="s">
        <v>904</v>
      </c>
      <c r="E7" s="788" t="s">
        <v>921</v>
      </c>
      <c r="F7" s="789">
        <v>6.6300451584651685E-2</v>
      </c>
      <c r="G7" s="790">
        <v>4</v>
      </c>
      <c r="H7" s="790">
        <v>0</v>
      </c>
      <c r="I7" s="791">
        <v>0</v>
      </c>
      <c r="J7" s="791">
        <v>0</v>
      </c>
      <c r="K7" s="792">
        <v>1.0900000000000001</v>
      </c>
      <c r="L7" s="793">
        <v>2.0070000000000001</v>
      </c>
      <c r="M7" s="794">
        <v>8266</v>
      </c>
      <c r="N7" s="794">
        <v>5</v>
      </c>
      <c r="O7" s="794">
        <v>12.042000000000002</v>
      </c>
      <c r="P7" s="794">
        <v>1</v>
      </c>
      <c r="Q7" s="791">
        <f t="shared" si="0"/>
        <v>602.10000000000014</v>
      </c>
      <c r="R7" s="791">
        <f t="shared" si="1"/>
        <v>1750.1040000000005</v>
      </c>
      <c r="S7" s="791"/>
      <c r="T7" s="794">
        <v>0.40100000000000002</v>
      </c>
      <c r="U7" s="794">
        <v>8274</v>
      </c>
      <c r="V7" s="794">
        <v>1</v>
      </c>
      <c r="W7" s="794">
        <v>2.4060000000000001</v>
      </c>
      <c r="X7" s="794">
        <v>1</v>
      </c>
      <c r="Y7" s="791">
        <f t="shared" si="2"/>
        <v>120.30000000000001</v>
      </c>
      <c r="Z7" s="791">
        <f t="shared" si="3"/>
        <v>349.67200000000003</v>
      </c>
    </row>
    <row r="8" spans="1:26" ht="18" x14ac:dyDescent="0.35">
      <c r="A8" s="788" t="s">
        <v>922</v>
      </c>
      <c r="B8" s="788" t="s">
        <v>923</v>
      </c>
      <c r="C8" s="788" t="s">
        <v>924</v>
      </c>
      <c r="D8" s="788" t="s">
        <v>904</v>
      </c>
      <c r="E8" s="788" t="s">
        <v>905</v>
      </c>
      <c r="F8" s="789">
        <v>0</v>
      </c>
      <c r="G8" s="790">
        <v>2</v>
      </c>
      <c r="H8" s="790">
        <v>0</v>
      </c>
      <c r="I8" s="791">
        <v>2</v>
      </c>
      <c r="J8" s="791">
        <v>0</v>
      </c>
      <c r="K8" s="792">
        <v>1.6</v>
      </c>
      <c r="L8" s="793">
        <v>0.41799999999999998</v>
      </c>
      <c r="M8" s="794">
        <v>8264</v>
      </c>
      <c r="N8" s="794">
        <v>1</v>
      </c>
      <c r="O8" s="794">
        <v>2.508</v>
      </c>
      <c r="P8" s="794">
        <v>1</v>
      </c>
      <c r="Q8" s="791">
        <f t="shared" si="0"/>
        <v>125.4</v>
      </c>
      <c r="R8" s="791">
        <f t="shared" si="1"/>
        <v>535.04</v>
      </c>
      <c r="S8" s="791"/>
      <c r="T8" s="794">
        <v>0</v>
      </c>
      <c r="U8" s="794">
        <v>8270</v>
      </c>
      <c r="V8" s="794">
        <v>0</v>
      </c>
      <c r="W8" s="794">
        <v>0</v>
      </c>
      <c r="X8" s="794">
        <v>1</v>
      </c>
      <c r="Y8" s="791">
        <f t="shared" si="2"/>
        <v>0</v>
      </c>
      <c r="Z8" s="791">
        <f t="shared" si="3"/>
        <v>0</v>
      </c>
    </row>
    <row r="9" spans="1:26" ht="18" x14ac:dyDescent="0.35">
      <c r="A9" s="788" t="s">
        <v>925</v>
      </c>
      <c r="B9" s="788" t="s">
        <v>926</v>
      </c>
      <c r="C9" s="788" t="s">
        <v>927</v>
      </c>
      <c r="D9" s="788" t="s">
        <v>904</v>
      </c>
      <c r="E9" s="788" t="s">
        <v>928</v>
      </c>
      <c r="F9" s="789">
        <v>0</v>
      </c>
      <c r="G9" s="790">
        <v>262</v>
      </c>
      <c r="H9" s="790">
        <v>0</v>
      </c>
      <c r="I9" s="791">
        <v>1981</v>
      </c>
      <c r="J9" s="791">
        <v>7.0000000000000007E-2</v>
      </c>
      <c r="K9" s="792">
        <v>1.1100000000000001</v>
      </c>
      <c r="L9" s="793">
        <v>6.23</v>
      </c>
      <c r="M9" s="794">
        <v>8259</v>
      </c>
      <c r="N9" s="794">
        <v>15</v>
      </c>
      <c r="O9" s="794">
        <v>37.380000000000003</v>
      </c>
      <c r="P9" s="794">
        <v>1</v>
      </c>
      <c r="Q9" s="791">
        <f t="shared" si="0"/>
        <v>1869.0000000000002</v>
      </c>
      <c r="R9" s="791">
        <f t="shared" si="1"/>
        <v>5532.2400000000016</v>
      </c>
      <c r="S9" s="791"/>
      <c r="T9" s="794">
        <v>157.4</v>
      </c>
      <c r="U9" s="794">
        <v>8288</v>
      </c>
      <c r="V9" s="794">
        <v>372</v>
      </c>
      <c r="W9" s="794">
        <v>944.40000000000009</v>
      </c>
      <c r="X9" s="794">
        <v>1</v>
      </c>
      <c r="Y9" s="791">
        <f t="shared" si="2"/>
        <v>47220.000000000007</v>
      </c>
      <c r="Z9" s="791">
        <f t="shared" si="3"/>
        <v>139771.20000000004</v>
      </c>
    </row>
    <row r="10" spans="1:26" ht="18" x14ac:dyDescent="0.35">
      <c r="A10" s="788" t="s">
        <v>929</v>
      </c>
      <c r="B10" s="788" t="s">
        <v>930</v>
      </c>
      <c r="C10" s="788" t="s">
        <v>931</v>
      </c>
      <c r="D10" s="788" t="s">
        <v>904</v>
      </c>
      <c r="E10" s="788" t="s">
        <v>928</v>
      </c>
      <c r="F10" s="789">
        <v>0</v>
      </c>
      <c r="G10" s="795">
        <v>19476</v>
      </c>
      <c r="H10" s="790">
        <v>0.18</v>
      </c>
      <c r="I10" s="791">
        <v>33493</v>
      </c>
      <c r="J10" s="791">
        <v>1.1000000000000001</v>
      </c>
      <c r="K10" s="792">
        <v>1.56</v>
      </c>
      <c r="L10" s="793">
        <v>2154.9</v>
      </c>
      <c r="M10" s="794">
        <v>8039</v>
      </c>
      <c r="N10" s="794">
        <v>3715</v>
      </c>
      <c r="O10" s="794">
        <v>12929.400000000001</v>
      </c>
      <c r="P10" s="794">
        <v>1</v>
      </c>
      <c r="Q10" s="791">
        <f t="shared" si="0"/>
        <v>646470.00000000012</v>
      </c>
      <c r="R10" s="791">
        <f t="shared" si="1"/>
        <v>2689315.2000000007</v>
      </c>
      <c r="S10" s="791"/>
      <c r="T10" s="794">
        <v>2.1019999999999999</v>
      </c>
      <c r="U10" s="794">
        <v>8268</v>
      </c>
      <c r="V10" s="794">
        <v>5</v>
      </c>
      <c r="W10" s="794">
        <v>12.611999999999998</v>
      </c>
      <c r="X10" s="794">
        <v>1</v>
      </c>
      <c r="Y10" s="791">
        <f t="shared" si="2"/>
        <v>630.59999999999991</v>
      </c>
      <c r="Z10" s="791">
        <f t="shared" si="3"/>
        <v>2623.2959999999998</v>
      </c>
    </row>
    <row r="11" spans="1:26" ht="18" x14ac:dyDescent="0.35">
      <c r="A11" s="788" t="s">
        <v>932</v>
      </c>
      <c r="B11" s="788" t="s">
        <v>933</v>
      </c>
      <c r="C11" s="788" t="s">
        <v>934</v>
      </c>
      <c r="D11" s="788" t="s">
        <v>904</v>
      </c>
      <c r="E11" s="796" t="s">
        <v>928</v>
      </c>
      <c r="F11" s="789">
        <v>1.7281397390479649E-2</v>
      </c>
      <c r="G11" s="795">
        <v>2744</v>
      </c>
      <c r="H11" s="790">
        <v>0.03</v>
      </c>
      <c r="I11" s="791">
        <v>30911</v>
      </c>
      <c r="J11" s="791">
        <v>1.01</v>
      </c>
      <c r="K11" s="792">
        <v>1.06</v>
      </c>
      <c r="L11" s="793">
        <v>833.4</v>
      </c>
      <c r="M11" s="794">
        <v>8200</v>
      </c>
      <c r="N11" s="794">
        <v>1758</v>
      </c>
      <c r="O11" s="794">
        <v>5000.3999999999996</v>
      </c>
      <c r="P11" s="794">
        <v>1</v>
      </c>
      <c r="Q11" s="791">
        <f t="shared" si="0"/>
        <v>250019.99999999997</v>
      </c>
      <c r="R11" s="791">
        <f t="shared" si="1"/>
        <v>706723.2</v>
      </c>
      <c r="S11" s="791"/>
      <c r="T11" s="794">
        <v>742.5</v>
      </c>
      <c r="U11" s="794">
        <v>8256</v>
      </c>
      <c r="V11" s="794">
        <v>1597</v>
      </c>
      <c r="W11" s="794">
        <v>4455</v>
      </c>
      <c r="X11" s="794">
        <v>1</v>
      </c>
      <c r="Y11" s="791">
        <f t="shared" si="2"/>
        <v>222750</v>
      </c>
      <c r="Z11" s="791">
        <f t="shared" si="3"/>
        <v>629640</v>
      </c>
    </row>
    <row r="12" spans="1:26" ht="18" x14ac:dyDescent="0.35">
      <c r="A12" s="788" t="s">
        <v>935</v>
      </c>
      <c r="B12" s="788" t="s">
        <v>936</v>
      </c>
      <c r="C12" s="788" t="s">
        <v>937</v>
      </c>
      <c r="D12" s="788" t="s">
        <v>904</v>
      </c>
      <c r="E12" s="794" t="s">
        <v>928</v>
      </c>
      <c r="F12" s="789">
        <v>2.5963679675303483E-2</v>
      </c>
      <c r="G12" s="790">
        <v>209</v>
      </c>
      <c r="H12" s="790">
        <v>0</v>
      </c>
      <c r="I12" s="791">
        <v>1815</v>
      </c>
      <c r="J12" s="791">
        <v>0.06</v>
      </c>
      <c r="K12" s="792">
        <v>1.1000000000000001</v>
      </c>
      <c r="L12" s="793">
        <v>8.26</v>
      </c>
      <c r="M12" s="794">
        <v>8203</v>
      </c>
      <c r="N12" s="794">
        <v>20</v>
      </c>
      <c r="O12" s="794">
        <v>49.56</v>
      </c>
      <c r="P12" s="794">
        <v>1</v>
      </c>
      <c r="Q12" s="791">
        <f t="shared" si="0"/>
        <v>2478</v>
      </c>
      <c r="R12" s="791">
        <f t="shared" si="1"/>
        <v>7268.8</v>
      </c>
      <c r="S12" s="791"/>
      <c r="T12" s="794">
        <v>62.42</v>
      </c>
      <c r="U12" s="794">
        <v>8206</v>
      </c>
      <c r="V12" s="794">
        <v>150</v>
      </c>
      <c r="W12" s="794">
        <v>374.52</v>
      </c>
      <c r="X12" s="794">
        <v>1</v>
      </c>
      <c r="Y12" s="791">
        <f t="shared" si="2"/>
        <v>18726</v>
      </c>
      <c r="Z12" s="791">
        <f t="shared" si="3"/>
        <v>54929.600000000006</v>
      </c>
    </row>
    <row r="13" spans="1:26" ht="18" x14ac:dyDescent="0.35">
      <c r="A13" s="788" t="s">
        <v>938</v>
      </c>
      <c r="B13" s="788" t="s">
        <v>939</v>
      </c>
      <c r="C13" s="788" t="s">
        <v>940</v>
      </c>
      <c r="D13" s="788" t="s">
        <v>904</v>
      </c>
      <c r="E13" s="794" t="s">
        <v>928</v>
      </c>
      <c r="F13" s="789">
        <v>6.8876273046299369E-2</v>
      </c>
      <c r="G13" s="790">
        <v>65</v>
      </c>
      <c r="H13" s="790">
        <v>0</v>
      </c>
      <c r="I13" s="791">
        <v>706</v>
      </c>
      <c r="J13" s="791">
        <v>0.02</v>
      </c>
      <c r="K13" s="792">
        <v>1.08</v>
      </c>
      <c r="L13" s="793">
        <v>7.46</v>
      </c>
      <c r="M13" s="794">
        <v>8260</v>
      </c>
      <c r="N13" s="794">
        <v>19</v>
      </c>
      <c r="O13" s="794">
        <v>44.76</v>
      </c>
      <c r="P13" s="794">
        <v>1</v>
      </c>
      <c r="Q13" s="791">
        <f t="shared" si="0"/>
        <v>2238</v>
      </c>
      <c r="R13" s="791">
        <f t="shared" si="1"/>
        <v>6445.4400000000005</v>
      </c>
      <c r="S13" s="791"/>
      <c r="T13" s="794">
        <v>17.3</v>
      </c>
      <c r="U13" s="794">
        <v>8260</v>
      </c>
      <c r="V13" s="794">
        <v>44</v>
      </c>
      <c r="W13" s="794">
        <v>103.80000000000001</v>
      </c>
      <c r="X13" s="794">
        <v>1</v>
      </c>
      <c r="Y13" s="791">
        <f t="shared" si="2"/>
        <v>5190.0000000000009</v>
      </c>
      <c r="Z13" s="791">
        <f t="shared" si="3"/>
        <v>14947.200000000004</v>
      </c>
    </row>
    <row r="14" spans="1:26" ht="18" x14ac:dyDescent="0.35">
      <c r="A14" s="788" t="s">
        <v>941</v>
      </c>
      <c r="B14" s="788" t="s">
        <v>942</v>
      </c>
      <c r="C14" s="788" t="s">
        <v>943</v>
      </c>
      <c r="D14" s="788" t="s">
        <v>904</v>
      </c>
      <c r="E14" s="794" t="s">
        <v>921</v>
      </c>
      <c r="F14" s="789">
        <v>9.3547236584940158E-2</v>
      </c>
      <c r="G14" s="790">
        <v>0</v>
      </c>
      <c r="H14" s="790">
        <v>0</v>
      </c>
      <c r="I14" s="791">
        <v>2</v>
      </c>
      <c r="J14" s="791">
        <v>0</v>
      </c>
      <c r="K14" s="792">
        <v>0.91</v>
      </c>
      <c r="L14" s="793">
        <v>0</v>
      </c>
      <c r="M14" s="794">
        <v>8249</v>
      </c>
      <c r="N14" s="794">
        <v>0</v>
      </c>
      <c r="O14" s="794">
        <v>0</v>
      </c>
      <c r="P14" s="794">
        <v>1</v>
      </c>
      <c r="Q14" s="791">
        <f t="shared" si="0"/>
        <v>0</v>
      </c>
      <c r="R14" s="791">
        <f t="shared" si="1"/>
        <v>0</v>
      </c>
      <c r="S14" s="791"/>
      <c r="T14" s="794">
        <v>0</v>
      </c>
      <c r="U14" s="794">
        <v>8280</v>
      </c>
      <c r="V14" s="794">
        <v>0</v>
      </c>
      <c r="W14" s="794">
        <v>0</v>
      </c>
      <c r="X14" s="794">
        <v>1</v>
      </c>
      <c r="Y14" s="791">
        <f t="shared" si="2"/>
        <v>0</v>
      </c>
      <c r="Z14" s="791">
        <f t="shared" si="3"/>
        <v>0</v>
      </c>
    </row>
    <row r="15" spans="1:26" ht="18" x14ac:dyDescent="0.35">
      <c r="A15" s="788" t="s">
        <v>944</v>
      </c>
      <c r="B15" s="788" t="s">
        <v>945</v>
      </c>
      <c r="C15" s="788" t="s">
        <v>946</v>
      </c>
      <c r="D15" s="788" t="s">
        <v>904</v>
      </c>
      <c r="E15" s="794" t="s">
        <v>947</v>
      </c>
      <c r="F15" s="789">
        <v>5.1006975736221538E-2</v>
      </c>
      <c r="G15" s="795">
        <v>2686</v>
      </c>
      <c r="H15" s="790">
        <v>0.02</v>
      </c>
      <c r="I15" s="791">
        <v>26331</v>
      </c>
      <c r="J15" s="791">
        <v>0.86</v>
      </c>
      <c r="K15" s="792">
        <v>1.27</v>
      </c>
      <c r="L15" s="793">
        <v>2667.1</v>
      </c>
      <c r="M15" s="794">
        <v>8279</v>
      </c>
      <c r="N15" s="794">
        <v>4542</v>
      </c>
      <c r="O15" s="794">
        <v>16002.599999999999</v>
      </c>
      <c r="P15" s="794">
        <v>1</v>
      </c>
      <c r="Q15" s="791">
        <f t="shared" si="0"/>
        <v>800129.99999999988</v>
      </c>
      <c r="R15" s="791">
        <f t="shared" si="1"/>
        <v>2709773.5999999996</v>
      </c>
      <c r="S15" s="791"/>
      <c r="T15" s="794">
        <v>0</v>
      </c>
      <c r="U15" s="794">
        <v>8254</v>
      </c>
      <c r="V15" s="794">
        <v>0</v>
      </c>
      <c r="W15" s="794">
        <v>0</v>
      </c>
      <c r="X15" s="794">
        <v>1</v>
      </c>
      <c r="Y15" s="791">
        <f t="shared" si="2"/>
        <v>0</v>
      </c>
      <c r="Z15" s="791">
        <f t="shared" si="3"/>
        <v>0</v>
      </c>
    </row>
    <row r="16" spans="1:26" ht="18" x14ac:dyDescent="0.35">
      <c r="A16" s="788" t="s">
        <v>948</v>
      </c>
      <c r="B16" s="788" t="s">
        <v>949</v>
      </c>
      <c r="C16" s="788" t="s">
        <v>812</v>
      </c>
      <c r="D16" s="796" t="s">
        <v>950</v>
      </c>
      <c r="E16" s="794"/>
      <c r="F16" s="789">
        <v>0</v>
      </c>
      <c r="G16" s="790">
        <v>0</v>
      </c>
      <c r="H16" s="790">
        <v>0</v>
      </c>
      <c r="I16" s="791">
        <v>3</v>
      </c>
      <c r="J16" s="791">
        <v>0</v>
      </c>
      <c r="K16" s="794"/>
      <c r="L16" s="793">
        <v>1.244</v>
      </c>
      <c r="M16" s="794">
        <v>8272</v>
      </c>
      <c r="N16" s="794">
        <v>3</v>
      </c>
      <c r="O16" s="794">
        <v>7.4640000000000004</v>
      </c>
      <c r="P16" s="794">
        <v>1</v>
      </c>
      <c r="Q16" s="791">
        <f t="shared" si="0"/>
        <v>373.20000000000005</v>
      </c>
      <c r="R16" s="791"/>
      <c r="S16" s="791"/>
      <c r="T16" s="794">
        <v>0</v>
      </c>
      <c r="U16" s="794">
        <v>8274</v>
      </c>
      <c r="V16" s="794">
        <v>0</v>
      </c>
      <c r="W16" s="794">
        <v>0</v>
      </c>
      <c r="X16" s="794">
        <v>1</v>
      </c>
      <c r="Y16" s="791">
        <f t="shared" si="2"/>
        <v>0</v>
      </c>
      <c r="Z16" s="791">
        <f t="shared" si="3"/>
        <v>0</v>
      </c>
    </row>
    <row r="17" spans="1:26" ht="18" x14ac:dyDescent="0.35">
      <c r="A17" s="788" t="s">
        <v>951</v>
      </c>
      <c r="B17" s="788" t="s">
        <v>952</v>
      </c>
      <c r="C17" s="788" t="s">
        <v>903</v>
      </c>
      <c r="D17" s="794" t="s">
        <v>953</v>
      </c>
      <c r="E17" s="788" t="s">
        <v>905</v>
      </c>
      <c r="F17" s="797">
        <v>3.9057289691766195E-2</v>
      </c>
      <c r="G17" s="790">
        <v>3</v>
      </c>
      <c r="H17" s="790">
        <v>0</v>
      </c>
      <c r="I17" s="791">
        <v>0</v>
      </c>
      <c r="J17" s="791">
        <v>0</v>
      </c>
      <c r="K17" s="792">
        <v>1.06</v>
      </c>
      <c r="L17" s="793">
        <v>1.6919999999999999</v>
      </c>
      <c r="M17" s="794">
        <v>8270</v>
      </c>
      <c r="N17" s="794">
        <v>4</v>
      </c>
      <c r="O17" s="794">
        <v>10.151999999999999</v>
      </c>
      <c r="P17" s="794">
        <v>1</v>
      </c>
      <c r="Q17" s="791">
        <f t="shared" si="0"/>
        <v>507.59999999999997</v>
      </c>
      <c r="R17" s="791">
        <f t="shared" si="1"/>
        <v>1434.8159999999998</v>
      </c>
      <c r="S17" s="791"/>
      <c r="T17" s="794">
        <v>9.3079999999999998</v>
      </c>
      <c r="U17" s="794">
        <v>8278</v>
      </c>
      <c r="V17" s="794">
        <v>22</v>
      </c>
      <c r="W17" s="794">
        <v>55.847999999999999</v>
      </c>
      <c r="X17" s="794">
        <v>1</v>
      </c>
      <c r="Y17" s="791">
        <f t="shared" si="2"/>
        <v>2792.4</v>
      </c>
      <c r="Z17" s="791">
        <f t="shared" si="3"/>
        <v>7893.1840000000002</v>
      </c>
    </row>
    <row r="18" spans="1:26" ht="18" x14ac:dyDescent="0.35">
      <c r="A18" s="788" t="s">
        <v>954</v>
      </c>
      <c r="B18" s="788" t="s">
        <v>955</v>
      </c>
      <c r="C18" s="788" t="s">
        <v>908</v>
      </c>
      <c r="D18" s="794" t="s">
        <v>953</v>
      </c>
      <c r="E18" s="788" t="s">
        <v>905</v>
      </c>
      <c r="F18" s="797">
        <v>4.8009197320118798E-3</v>
      </c>
      <c r="G18" s="790">
        <v>3</v>
      </c>
      <c r="H18" s="790">
        <v>0</v>
      </c>
      <c r="I18" s="791">
        <v>9</v>
      </c>
      <c r="J18" s="791">
        <v>0</v>
      </c>
      <c r="K18" s="792">
        <v>1.1000000000000001</v>
      </c>
      <c r="L18" s="793">
        <v>0.86299999999999999</v>
      </c>
      <c r="M18" s="794">
        <v>8113</v>
      </c>
      <c r="N18" s="794">
        <v>2</v>
      </c>
      <c r="O18" s="794">
        <v>5.1779999999999999</v>
      </c>
      <c r="P18" s="794">
        <v>1</v>
      </c>
      <c r="Q18" s="791">
        <f t="shared" si="0"/>
        <v>258.89999999999998</v>
      </c>
      <c r="R18" s="791">
        <f t="shared" si="1"/>
        <v>759.43999999999994</v>
      </c>
      <c r="S18" s="791"/>
      <c r="T18" s="794">
        <v>0.42299999999999999</v>
      </c>
      <c r="U18" s="794">
        <v>8272</v>
      </c>
      <c r="V18" s="794">
        <v>1</v>
      </c>
      <c r="W18" s="794">
        <v>2.5379999999999998</v>
      </c>
      <c r="X18" s="794">
        <v>1</v>
      </c>
      <c r="Y18" s="791">
        <f t="shared" si="2"/>
        <v>126.89999999999999</v>
      </c>
      <c r="Z18" s="791">
        <f t="shared" si="3"/>
        <v>372.24</v>
      </c>
    </row>
    <row r="19" spans="1:26" ht="18" x14ac:dyDescent="0.35">
      <c r="A19" s="788" t="s">
        <v>956</v>
      </c>
      <c r="B19" s="788" t="s">
        <v>957</v>
      </c>
      <c r="C19" s="788" t="s">
        <v>911</v>
      </c>
      <c r="D19" s="794" t="s">
        <v>953</v>
      </c>
      <c r="E19" s="788" t="s">
        <v>905</v>
      </c>
      <c r="F19" s="797">
        <v>0</v>
      </c>
      <c r="G19" s="790">
        <v>8</v>
      </c>
      <c r="H19" s="790">
        <v>0</v>
      </c>
      <c r="I19" s="791">
        <v>51</v>
      </c>
      <c r="J19" s="791">
        <v>0</v>
      </c>
      <c r="K19" s="792">
        <v>1.39</v>
      </c>
      <c r="L19" s="793">
        <v>0</v>
      </c>
      <c r="M19" s="794">
        <v>8267</v>
      </c>
      <c r="N19" s="794">
        <v>0</v>
      </c>
      <c r="O19" s="794">
        <v>0</v>
      </c>
      <c r="P19" s="794">
        <v>1</v>
      </c>
      <c r="Q19" s="791">
        <f t="shared" si="0"/>
        <v>0</v>
      </c>
      <c r="R19" s="791">
        <f t="shared" si="1"/>
        <v>0</v>
      </c>
      <c r="S19" s="791"/>
      <c r="T19" s="794">
        <v>2.9390000000000001</v>
      </c>
      <c r="U19" s="794">
        <v>8249</v>
      </c>
      <c r="V19" s="794">
        <v>7</v>
      </c>
      <c r="W19" s="794">
        <v>17.634</v>
      </c>
      <c r="X19" s="794">
        <v>1</v>
      </c>
      <c r="Y19" s="791">
        <f t="shared" si="2"/>
        <v>881.7</v>
      </c>
      <c r="Z19" s="791">
        <f t="shared" si="3"/>
        <v>3268.1680000000001</v>
      </c>
    </row>
    <row r="20" spans="1:26" ht="18" x14ac:dyDescent="0.35">
      <c r="A20" s="788" t="s">
        <v>958</v>
      </c>
      <c r="B20" s="788" t="s">
        <v>959</v>
      </c>
      <c r="C20" s="788" t="s">
        <v>914</v>
      </c>
      <c r="D20" s="794" t="s">
        <v>953</v>
      </c>
      <c r="E20" s="788" t="s">
        <v>905</v>
      </c>
      <c r="F20" s="797">
        <v>0</v>
      </c>
      <c r="G20" s="790">
        <v>11</v>
      </c>
      <c r="H20" s="790">
        <v>0</v>
      </c>
      <c r="I20" s="791">
        <v>46</v>
      </c>
      <c r="J20" s="791">
        <v>0</v>
      </c>
      <c r="K20" s="792">
        <v>1.1299999999999999</v>
      </c>
      <c r="L20" s="793">
        <v>0.82299999999999995</v>
      </c>
      <c r="M20" s="794">
        <v>8268</v>
      </c>
      <c r="N20" s="794">
        <v>2</v>
      </c>
      <c r="O20" s="794">
        <v>4.9379999999999997</v>
      </c>
      <c r="P20" s="794">
        <v>1</v>
      </c>
      <c r="Q20" s="791">
        <f t="shared" si="0"/>
        <v>246.89999999999998</v>
      </c>
      <c r="R20" s="791">
        <f t="shared" si="1"/>
        <v>743.99199999999985</v>
      </c>
      <c r="S20" s="791"/>
      <c r="T20" s="794">
        <v>0</v>
      </c>
      <c r="U20" s="794">
        <v>8279</v>
      </c>
      <c r="V20" s="794">
        <v>0</v>
      </c>
      <c r="W20" s="794">
        <v>0</v>
      </c>
      <c r="X20" s="794">
        <v>1</v>
      </c>
      <c r="Y20" s="791">
        <f t="shared" si="2"/>
        <v>0</v>
      </c>
      <c r="Z20" s="791">
        <f t="shared" si="3"/>
        <v>0</v>
      </c>
    </row>
    <row r="21" spans="1:26" ht="18" x14ac:dyDescent="0.35">
      <c r="A21" s="788" t="s">
        <v>960</v>
      </c>
      <c r="B21" s="788" t="s">
        <v>961</v>
      </c>
      <c r="C21" s="788" t="s">
        <v>917</v>
      </c>
      <c r="D21" s="794" t="s">
        <v>953</v>
      </c>
      <c r="E21" s="788" t="s">
        <v>905</v>
      </c>
      <c r="F21" s="797">
        <v>0</v>
      </c>
      <c r="G21" s="790">
        <v>0</v>
      </c>
      <c r="H21" s="790">
        <v>0</v>
      </c>
      <c r="I21" s="791">
        <v>3</v>
      </c>
      <c r="J21" s="791">
        <v>0</v>
      </c>
      <c r="K21" s="792">
        <v>1.22</v>
      </c>
      <c r="L21" s="793">
        <v>0.39700000000000002</v>
      </c>
      <c r="M21" s="794">
        <v>8198</v>
      </c>
      <c r="N21" s="794">
        <v>1</v>
      </c>
      <c r="O21" s="794">
        <v>2.3820000000000001</v>
      </c>
      <c r="P21" s="794">
        <v>1</v>
      </c>
      <c r="Q21" s="791">
        <f t="shared" si="0"/>
        <v>119.10000000000001</v>
      </c>
      <c r="R21" s="791">
        <f t="shared" si="1"/>
        <v>387.47200000000004</v>
      </c>
      <c r="S21" s="791"/>
      <c r="T21" s="794">
        <v>0</v>
      </c>
      <c r="U21" s="794">
        <v>8254</v>
      </c>
      <c r="V21" s="794">
        <v>0</v>
      </c>
      <c r="W21" s="794">
        <v>0</v>
      </c>
      <c r="X21" s="794">
        <v>1</v>
      </c>
      <c r="Y21" s="791">
        <f t="shared" si="2"/>
        <v>0</v>
      </c>
      <c r="Z21" s="791">
        <f t="shared" si="3"/>
        <v>0</v>
      </c>
    </row>
    <row r="22" spans="1:26" ht="18" x14ac:dyDescent="0.35">
      <c r="A22" s="788" t="s">
        <v>962</v>
      </c>
      <c r="B22" s="788" t="s">
        <v>963</v>
      </c>
      <c r="C22" s="788" t="s">
        <v>920</v>
      </c>
      <c r="D22" s="794" t="s">
        <v>953</v>
      </c>
      <c r="E22" s="788" t="s">
        <v>921</v>
      </c>
      <c r="F22" s="797">
        <v>0</v>
      </c>
      <c r="G22" s="790">
        <v>4</v>
      </c>
      <c r="H22" s="790">
        <v>0</v>
      </c>
      <c r="I22" s="791">
        <v>24</v>
      </c>
      <c r="J22" s="791">
        <v>0</v>
      </c>
      <c r="K22" s="792">
        <v>1.0900000000000001</v>
      </c>
      <c r="L22" s="793">
        <v>0.78300000000000003</v>
      </c>
      <c r="M22" s="794">
        <v>8264</v>
      </c>
      <c r="N22" s="794">
        <v>2</v>
      </c>
      <c r="O22" s="794">
        <v>4.6980000000000004</v>
      </c>
      <c r="P22" s="794">
        <v>1</v>
      </c>
      <c r="Q22" s="791">
        <f t="shared" si="0"/>
        <v>234.90000000000003</v>
      </c>
      <c r="R22" s="791">
        <f t="shared" si="1"/>
        <v>682.77600000000007</v>
      </c>
      <c r="S22" s="791"/>
      <c r="T22" s="794">
        <v>0</v>
      </c>
      <c r="U22" s="794">
        <v>8272</v>
      </c>
      <c r="V22" s="794">
        <v>0</v>
      </c>
      <c r="W22" s="794">
        <v>0</v>
      </c>
      <c r="X22" s="794">
        <v>1</v>
      </c>
      <c r="Y22" s="791">
        <f t="shared" si="2"/>
        <v>0</v>
      </c>
      <c r="Z22" s="791">
        <f t="shared" si="3"/>
        <v>0</v>
      </c>
    </row>
    <row r="23" spans="1:26" ht="18" x14ac:dyDescent="0.35">
      <c r="A23" s="788" t="s">
        <v>964</v>
      </c>
      <c r="B23" s="788" t="s">
        <v>965</v>
      </c>
      <c r="C23" s="788" t="s">
        <v>924</v>
      </c>
      <c r="D23" s="794" t="s">
        <v>953</v>
      </c>
      <c r="E23" s="788" t="s">
        <v>905</v>
      </c>
      <c r="F23" s="797">
        <v>0</v>
      </c>
      <c r="G23" s="790">
        <v>5</v>
      </c>
      <c r="H23" s="790">
        <v>0</v>
      </c>
      <c r="I23" s="791">
        <v>14</v>
      </c>
      <c r="J23" s="791">
        <v>0</v>
      </c>
      <c r="K23" s="792">
        <v>1.6</v>
      </c>
      <c r="L23" s="793">
        <v>2.0059999999999998</v>
      </c>
      <c r="M23" s="794">
        <v>8269</v>
      </c>
      <c r="N23" s="794">
        <v>5</v>
      </c>
      <c r="O23" s="794">
        <v>12.035999999999998</v>
      </c>
      <c r="P23" s="794">
        <v>1</v>
      </c>
      <c r="Q23" s="791">
        <f t="shared" si="0"/>
        <v>601.79999999999984</v>
      </c>
      <c r="R23" s="791">
        <f t="shared" si="1"/>
        <v>2567.6799999999994</v>
      </c>
      <c r="S23" s="791"/>
      <c r="T23" s="794">
        <v>0</v>
      </c>
      <c r="U23" s="794">
        <v>8266</v>
      </c>
      <c r="V23" s="794">
        <v>0</v>
      </c>
      <c r="W23" s="794">
        <v>0</v>
      </c>
      <c r="X23" s="794">
        <v>1</v>
      </c>
      <c r="Y23" s="791">
        <f t="shared" si="2"/>
        <v>0</v>
      </c>
      <c r="Z23" s="791">
        <f t="shared" si="3"/>
        <v>0</v>
      </c>
    </row>
    <row r="24" spans="1:26" ht="18" x14ac:dyDescent="0.35">
      <c r="A24" s="788" t="s">
        <v>966</v>
      </c>
      <c r="B24" s="788" t="s">
        <v>967</v>
      </c>
      <c r="C24" s="788" t="s">
        <v>927</v>
      </c>
      <c r="D24" s="794" t="s">
        <v>953</v>
      </c>
      <c r="E24" s="788" t="s">
        <v>928</v>
      </c>
      <c r="F24" s="797">
        <v>0</v>
      </c>
      <c r="G24" s="790">
        <v>105</v>
      </c>
      <c r="H24" s="790">
        <v>0</v>
      </c>
      <c r="I24" s="791">
        <v>2105</v>
      </c>
      <c r="J24" s="791">
        <v>7.0000000000000007E-2</v>
      </c>
      <c r="K24" s="792">
        <v>1.1100000000000001</v>
      </c>
      <c r="L24" s="793">
        <v>8.7569999999999997</v>
      </c>
      <c r="M24" s="794">
        <v>8286</v>
      </c>
      <c r="N24" s="794">
        <v>21</v>
      </c>
      <c r="O24" s="794">
        <v>52.542000000000002</v>
      </c>
      <c r="P24" s="794">
        <v>1</v>
      </c>
      <c r="Q24" s="791">
        <f t="shared" si="0"/>
        <v>2627.1</v>
      </c>
      <c r="R24" s="791">
        <f t="shared" si="1"/>
        <v>7776.2160000000013</v>
      </c>
      <c r="S24" s="791"/>
      <c r="T24" s="794">
        <v>69.540000000000006</v>
      </c>
      <c r="U24" s="794">
        <v>8271</v>
      </c>
      <c r="V24" s="794">
        <v>165</v>
      </c>
      <c r="W24" s="794">
        <v>417.24</v>
      </c>
      <c r="X24" s="794">
        <v>1</v>
      </c>
      <c r="Y24" s="791">
        <f t="shared" si="2"/>
        <v>20862</v>
      </c>
      <c r="Z24" s="791">
        <f t="shared" si="3"/>
        <v>61751.520000000011</v>
      </c>
    </row>
    <row r="25" spans="1:26" ht="18" x14ac:dyDescent="0.35">
      <c r="A25" s="788" t="s">
        <v>968</v>
      </c>
      <c r="B25" s="788" t="s">
        <v>969</v>
      </c>
      <c r="C25" s="788" t="s">
        <v>931</v>
      </c>
      <c r="D25" s="794" t="s">
        <v>953</v>
      </c>
      <c r="E25" s="788" t="s">
        <v>928</v>
      </c>
      <c r="F25" s="797">
        <v>2.6158372482167941E-3</v>
      </c>
      <c r="G25" s="790">
        <v>3</v>
      </c>
      <c r="H25" s="790">
        <v>0</v>
      </c>
      <c r="I25" s="791">
        <v>0</v>
      </c>
      <c r="J25" s="791">
        <v>0</v>
      </c>
      <c r="K25" s="792">
        <v>1.56</v>
      </c>
      <c r="L25" s="793">
        <v>27.07</v>
      </c>
      <c r="M25" s="794">
        <v>8263</v>
      </c>
      <c r="N25" s="794">
        <v>65</v>
      </c>
      <c r="O25" s="794">
        <v>162.42000000000002</v>
      </c>
      <c r="P25" s="794">
        <v>1</v>
      </c>
      <c r="Q25" s="791">
        <f t="shared" si="0"/>
        <v>8121.0000000000009</v>
      </c>
      <c r="R25" s="791">
        <f t="shared" si="1"/>
        <v>33783.360000000008</v>
      </c>
      <c r="S25" s="791"/>
      <c r="T25" s="794">
        <v>0</v>
      </c>
      <c r="U25" s="794">
        <v>8274</v>
      </c>
      <c r="V25" s="794">
        <v>0</v>
      </c>
      <c r="W25" s="794">
        <v>0</v>
      </c>
      <c r="X25" s="794">
        <v>1</v>
      </c>
      <c r="Y25" s="791">
        <f t="shared" si="2"/>
        <v>0</v>
      </c>
      <c r="Z25" s="791">
        <f t="shared" si="3"/>
        <v>0</v>
      </c>
    </row>
    <row r="26" spans="1:26" ht="18" x14ac:dyDescent="0.35">
      <c r="A26" s="788" t="s">
        <v>970</v>
      </c>
      <c r="B26" s="788" t="s">
        <v>971</v>
      </c>
      <c r="C26" s="788" t="s">
        <v>934</v>
      </c>
      <c r="D26" s="794" t="s">
        <v>953</v>
      </c>
      <c r="E26" s="788" t="s">
        <v>928</v>
      </c>
      <c r="F26" s="797">
        <v>6.0082718354346018E-2</v>
      </c>
      <c r="G26" s="795">
        <v>1290</v>
      </c>
      <c r="H26" s="790">
        <v>0.01</v>
      </c>
      <c r="I26" s="791">
        <v>20132</v>
      </c>
      <c r="J26" s="791">
        <v>0.66</v>
      </c>
      <c r="K26" s="792">
        <v>1.06</v>
      </c>
      <c r="L26" s="793">
        <v>1086.7</v>
      </c>
      <c r="M26" s="794">
        <v>8270</v>
      </c>
      <c r="N26" s="794">
        <v>2221</v>
      </c>
      <c r="O26" s="794">
        <v>6520.2000000000007</v>
      </c>
      <c r="P26" s="794">
        <v>1</v>
      </c>
      <c r="Q26" s="791">
        <f t="shared" si="0"/>
        <v>326010.00000000006</v>
      </c>
      <c r="R26" s="791">
        <f t="shared" si="1"/>
        <v>921521.60000000021</v>
      </c>
      <c r="S26" s="791"/>
      <c r="T26" s="794">
        <v>584.9</v>
      </c>
      <c r="U26" s="794">
        <v>8256</v>
      </c>
      <c r="V26" s="794">
        <v>1279</v>
      </c>
      <c r="W26" s="794">
        <v>3509.3999999999996</v>
      </c>
      <c r="X26" s="794">
        <v>1</v>
      </c>
      <c r="Y26" s="791">
        <f t="shared" si="2"/>
        <v>175469.99999999997</v>
      </c>
      <c r="Z26" s="791">
        <f t="shared" si="3"/>
        <v>495995.1999999999</v>
      </c>
    </row>
    <row r="27" spans="1:26" ht="18" x14ac:dyDescent="0.35">
      <c r="A27" s="788" t="s">
        <v>972</v>
      </c>
      <c r="B27" s="788" t="s">
        <v>973</v>
      </c>
      <c r="C27" s="788" t="s">
        <v>937</v>
      </c>
      <c r="D27" s="794" t="s">
        <v>953</v>
      </c>
      <c r="E27" s="788" t="s">
        <v>928</v>
      </c>
      <c r="F27" s="797">
        <v>0</v>
      </c>
      <c r="G27" s="790">
        <v>66</v>
      </c>
      <c r="H27" s="790">
        <v>0</v>
      </c>
      <c r="I27" s="791">
        <v>1068</v>
      </c>
      <c r="J27" s="791">
        <v>0.04</v>
      </c>
      <c r="K27" s="792">
        <v>1.1000000000000001</v>
      </c>
      <c r="L27" s="793">
        <v>2.9289999999999998</v>
      </c>
      <c r="M27" s="794">
        <v>8257</v>
      </c>
      <c r="N27" s="794">
        <v>7</v>
      </c>
      <c r="O27" s="794">
        <v>17.573999999999998</v>
      </c>
      <c r="P27" s="794">
        <v>1</v>
      </c>
      <c r="Q27" s="791">
        <f t="shared" si="0"/>
        <v>878.69999999999993</v>
      </c>
      <c r="R27" s="791">
        <f t="shared" si="1"/>
        <v>2577.52</v>
      </c>
      <c r="S27" s="791"/>
      <c r="T27" s="794">
        <v>138.9</v>
      </c>
      <c r="U27" s="794">
        <v>8272</v>
      </c>
      <c r="V27" s="794">
        <v>326</v>
      </c>
      <c r="W27" s="794">
        <v>833.40000000000009</v>
      </c>
      <c r="X27" s="794">
        <v>1</v>
      </c>
      <c r="Y27" s="791">
        <f t="shared" si="2"/>
        <v>41670.000000000007</v>
      </c>
      <c r="Z27" s="791">
        <f t="shared" si="3"/>
        <v>122232.00000000003</v>
      </c>
    </row>
    <row r="28" spans="1:26" ht="18" x14ac:dyDescent="0.35">
      <c r="A28" s="788" t="s">
        <v>974</v>
      </c>
      <c r="B28" s="788" t="s">
        <v>975</v>
      </c>
      <c r="C28" s="788" t="s">
        <v>940</v>
      </c>
      <c r="D28" s="794" t="s">
        <v>953</v>
      </c>
      <c r="E28" s="796" t="s">
        <v>928</v>
      </c>
      <c r="F28" s="797">
        <v>0</v>
      </c>
      <c r="G28" s="790">
        <v>3</v>
      </c>
      <c r="H28" s="790">
        <v>0</v>
      </c>
      <c r="I28" s="791">
        <v>88</v>
      </c>
      <c r="J28" s="791">
        <v>0</v>
      </c>
      <c r="K28" s="792">
        <v>1.08</v>
      </c>
      <c r="L28" s="793">
        <v>0.82499999999999996</v>
      </c>
      <c r="M28" s="794">
        <v>8202</v>
      </c>
      <c r="N28" s="794">
        <v>2</v>
      </c>
      <c r="O28" s="794">
        <v>4.9499999999999993</v>
      </c>
      <c r="P28" s="794">
        <v>1</v>
      </c>
      <c r="Q28" s="791">
        <f t="shared" si="0"/>
        <v>247.49999999999997</v>
      </c>
      <c r="R28" s="791">
        <f t="shared" si="1"/>
        <v>712.8</v>
      </c>
      <c r="S28" s="791"/>
      <c r="T28" s="794">
        <v>2.0680000000000001</v>
      </c>
      <c r="U28" s="794">
        <v>8185</v>
      </c>
      <c r="V28" s="794">
        <v>5</v>
      </c>
      <c r="W28" s="794">
        <v>12.408000000000001</v>
      </c>
      <c r="X28" s="794">
        <v>1</v>
      </c>
      <c r="Y28" s="791">
        <f t="shared" si="2"/>
        <v>620.40000000000009</v>
      </c>
      <c r="Z28" s="791">
        <f t="shared" si="3"/>
        <v>1786.7520000000004</v>
      </c>
    </row>
    <row r="29" spans="1:26" ht="18" x14ac:dyDescent="0.35">
      <c r="A29" s="788" t="s">
        <v>976</v>
      </c>
      <c r="B29" s="788" t="s">
        <v>977</v>
      </c>
      <c r="C29" s="788" t="s">
        <v>943</v>
      </c>
      <c r="D29" s="794" t="s">
        <v>953</v>
      </c>
      <c r="E29" s="788" t="s">
        <v>921</v>
      </c>
      <c r="F29" s="797">
        <v>0</v>
      </c>
      <c r="G29" s="790">
        <v>8</v>
      </c>
      <c r="H29" s="790">
        <v>0</v>
      </c>
      <c r="I29" s="791">
        <v>17</v>
      </c>
      <c r="J29" s="791">
        <v>0</v>
      </c>
      <c r="K29" s="792">
        <v>0.91</v>
      </c>
      <c r="L29" s="793">
        <v>1.202</v>
      </c>
      <c r="M29" s="794">
        <v>8086</v>
      </c>
      <c r="N29" s="794">
        <v>3</v>
      </c>
      <c r="O29" s="794">
        <v>7.2119999999999997</v>
      </c>
      <c r="P29" s="794">
        <v>1</v>
      </c>
      <c r="Q29" s="791">
        <f t="shared" si="0"/>
        <v>360.59999999999997</v>
      </c>
      <c r="R29" s="791">
        <f t="shared" si="1"/>
        <v>875.05599999999993</v>
      </c>
      <c r="S29" s="791"/>
      <c r="T29" s="794">
        <v>0.39200000000000002</v>
      </c>
      <c r="U29" s="794">
        <v>8255</v>
      </c>
      <c r="V29" s="794">
        <v>1</v>
      </c>
      <c r="W29" s="794">
        <v>2.3520000000000003</v>
      </c>
      <c r="X29" s="794">
        <v>1</v>
      </c>
      <c r="Y29" s="791">
        <f t="shared" si="2"/>
        <v>117.60000000000002</v>
      </c>
      <c r="Z29" s="791">
        <f t="shared" si="3"/>
        <v>285.37600000000009</v>
      </c>
    </row>
    <row r="30" spans="1:26" ht="18" x14ac:dyDescent="0.35">
      <c r="A30" s="788" t="s">
        <v>978</v>
      </c>
      <c r="B30" s="788" t="s">
        <v>979</v>
      </c>
      <c r="C30" s="788" t="s">
        <v>946</v>
      </c>
      <c r="D30" s="794" t="s">
        <v>953</v>
      </c>
      <c r="E30" s="788" t="s">
        <v>947</v>
      </c>
      <c r="F30" s="797">
        <v>0</v>
      </c>
      <c r="G30" s="790">
        <v>262</v>
      </c>
      <c r="H30" s="790">
        <v>0</v>
      </c>
      <c r="I30" s="791">
        <v>2340</v>
      </c>
      <c r="J30" s="791">
        <v>0.08</v>
      </c>
      <c r="K30" s="792">
        <v>1.27</v>
      </c>
      <c r="L30" s="793">
        <v>95.7</v>
      </c>
      <c r="M30" s="794">
        <v>8260</v>
      </c>
      <c r="N30" s="794">
        <v>240</v>
      </c>
      <c r="O30" s="794">
        <v>574.20000000000005</v>
      </c>
      <c r="P30" s="798">
        <v>1</v>
      </c>
      <c r="Q30" s="791">
        <f t="shared" si="0"/>
        <v>28710.000000000004</v>
      </c>
      <c r="R30" s="791">
        <f t="shared" si="1"/>
        <v>97231.200000000012</v>
      </c>
      <c r="S30" s="799"/>
      <c r="T30" s="794">
        <v>0.39200000000000002</v>
      </c>
      <c r="U30" s="794">
        <v>8274</v>
      </c>
      <c r="V30" s="794">
        <v>1</v>
      </c>
      <c r="W30" s="794">
        <v>2.3520000000000003</v>
      </c>
      <c r="X30" s="798">
        <v>1</v>
      </c>
      <c r="Y30" s="791">
        <f t="shared" si="2"/>
        <v>117.60000000000002</v>
      </c>
      <c r="Z30" s="791">
        <f t="shared" si="3"/>
        <v>398.27200000000011</v>
      </c>
    </row>
    <row r="31" spans="1:26" ht="18" x14ac:dyDescent="0.35">
      <c r="A31" s="788" t="s">
        <v>980</v>
      </c>
      <c r="B31" s="788" t="s">
        <v>981</v>
      </c>
      <c r="C31" s="788" t="s">
        <v>813</v>
      </c>
      <c r="D31" s="796" t="s">
        <v>982</v>
      </c>
      <c r="E31" s="788"/>
      <c r="F31" s="797">
        <v>0</v>
      </c>
      <c r="G31" s="790">
        <v>0</v>
      </c>
      <c r="H31" s="790">
        <v>0</v>
      </c>
      <c r="I31" s="791">
        <v>2</v>
      </c>
      <c r="J31" s="791">
        <v>0</v>
      </c>
      <c r="K31" s="792"/>
      <c r="L31" s="793">
        <v>0.83499999999999996</v>
      </c>
      <c r="M31" s="794">
        <v>8262</v>
      </c>
      <c r="N31" s="794">
        <v>2</v>
      </c>
      <c r="O31" s="794">
        <v>5.01</v>
      </c>
      <c r="P31" s="794">
        <v>1</v>
      </c>
      <c r="Q31" s="791">
        <f>O31*50</f>
        <v>250.5</v>
      </c>
      <c r="R31" s="791"/>
      <c r="S31" s="791"/>
      <c r="T31" s="794">
        <v>0</v>
      </c>
      <c r="U31" s="794">
        <v>8275</v>
      </c>
      <c r="V31" s="794">
        <v>0</v>
      </c>
      <c r="W31" s="794">
        <v>0</v>
      </c>
      <c r="X31" s="794">
        <v>1</v>
      </c>
      <c r="Y31" s="791">
        <f>W31*50</f>
        <v>0</v>
      </c>
      <c r="Z31" s="791">
        <f>Y31*X31*(K31/0.375)</f>
        <v>0</v>
      </c>
    </row>
  </sheetData>
  <conditionalFormatting sqref="F2:F31">
    <cfRule type="cellIs" dxfId="2" priority="3" operator="lessThan">
      <formula>1</formula>
    </cfRule>
  </conditionalFormatting>
  <conditionalFormatting sqref="N30">
    <cfRule type="cellIs" dxfId="1" priority="2" operator="greaterThan">
      <formula>6000</formula>
    </cfRule>
  </conditionalFormatting>
  <conditionalFormatting sqref="V30">
    <cfRule type="cellIs" dxfId="0" priority="1" operator="greaterThan">
      <formula>6000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C501-62CD-C94D-89A7-31F5F74FBA89}">
  <dimension ref="A1:I27"/>
  <sheetViews>
    <sheetView workbookViewId="0">
      <selection activeCell="H4" sqref="H4"/>
    </sheetView>
  </sheetViews>
  <sheetFormatPr defaultColWidth="11.19921875" defaultRowHeight="15.6" x14ac:dyDescent="0.3"/>
  <cols>
    <col min="4" max="4" width="19" bestFit="1" customWidth="1"/>
  </cols>
  <sheetData>
    <row r="1" spans="1:9" ht="162" x14ac:dyDescent="0.35">
      <c r="A1" s="772" t="s">
        <v>879</v>
      </c>
      <c r="B1" s="772" t="s">
        <v>880</v>
      </c>
      <c r="C1" s="771" t="s">
        <v>881</v>
      </c>
      <c r="D1" s="771" t="s">
        <v>882</v>
      </c>
      <c r="E1" s="775" t="s">
        <v>889</v>
      </c>
      <c r="F1" s="777" t="s">
        <v>892</v>
      </c>
      <c r="G1" s="778" t="s">
        <v>893</v>
      </c>
      <c r="H1" s="779" t="s">
        <v>894</v>
      </c>
      <c r="I1" s="800" t="s">
        <v>895</v>
      </c>
    </row>
    <row r="2" spans="1:9" ht="18" x14ac:dyDescent="0.35">
      <c r="A2" s="788" t="s">
        <v>902</v>
      </c>
      <c r="B2" s="788" t="s">
        <v>903</v>
      </c>
      <c r="C2" s="788" t="s">
        <v>904</v>
      </c>
      <c r="D2" s="803" t="s">
        <v>905</v>
      </c>
      <c r="E2" s="793">
        <v>0.42399999999999999</v>
      </c>
      <c r="F2" s="794">
        <v>2.544</v>
      </c>
      <c r="G2" s="794">
        <v>1</v>
      </c>
      <c r="H2" s="791">
        <v>127.2</v>
      </c>
      <c r="I2" s="801">
        <v>359.55200000000002</v>
      </c>
    </row>
    <row r="3" spans="1:9" ht="18" x14ac:dyDescent="0.35">
      <c r="A3" s="788" t="s">
        <v>907</v>
      </c>
      <c r="B3" s="788" t="s">
        <v>908</v>
      </c>
      <c r="C3" s="788" t="s">
        <v>904</v>
      </c>
      <c r="D3" s="803" t="s">
        <v>905</v>
      </c>
      <c r="E3" s="793">
        <v>0.41899999999999998</v>
      </c>
      <c r="F3" s="794">
        <v>2.5139999999999998</v>
      </c>
      <c r="G3" s="794">
        <v>1</v>
      </c>
      <c r="H3" s="791">
        <v>125.69999999999999</v>
      </c>
      <c r="I3" s="801">
        <v>368.71999999999997</v>
      </c>
    </row>
    <row r="4" spans="1:9" ht="18" x14ac:dyDescent="0.35">
      <c r="A4" s="788" t="s">
        <v>910</v>
      </c>
      <c r="B4" s="788" t="s">
        <v>911</v>
      </c>
      <c r="C4" s="788" t="s">
        <v>904</v>
      </c>
      <c r="D4" s="803" t="s">
        <v>905</v>
      </c>
      <c r="E4" s="793">
        <v>4.9429999999999996</v>
      </c>
      <c r="F4" s="794">
        <v>29.657999999999998</v>
      </c>
      <c r="G4" s="794">
        <v>1</v>
      </c>
      <c r="H4" s="791">
        <v>1482.8999999999999</v>
      </c>
      <c r="I4" s="801">
        <v>5496.6159999999991</v>
      </c>
    </row>
    <row r="5" spans="1:9" ht="18" x14ac:dyDescent="0.35">
      <c r="A5" s="788" t="s">
        <v>913</v>
      </c>
      <c r="B5" s="788" t="s">
        <v>914</v>
      </c>
      <c r="C5" s="788" t="s">
        <v>904</v>
      </c>
      <c r="D5" s="803" t="s">
        <v>905</v>
      </c>
      <c r="E5" s="793">
        <v>2.7610000000000001</v>
      </c>
      <c r="F5" s="794">
        <v>16.566000000000003</v>
      </c>
      <c r="G5" s="794">
        <v>1</v>
      </c>
      <c r="H5" s="791">
        <v>828.30000000000018</v>
      </c>
      <c r="I5" s="801">
        <v>2495.9440000000004</v>
      </c>
    </row>
    <row r="6" spans="1:9" ht="18" x14ac:dyDescent="0.35">
      <c r="A6" s="788" t="s">
        <v>916</v>
      </c>
      <c r="B6" s="788" t="s">
        <v>917</v>
      </c>
      <c r="C6" s="788" t="s">
        <v>904</v>
      </c>
      <c r="D6" s="803" t="s">
        <v>905</v>
      </c>
      <c r="E6" s="793">
        <v>0</v>
      </c>
      <c r="F6" s="794">
        <v>0</v>
      </c>
      <c r="G6" s="794">
        <v>1</v>
      </c>
      <c r="H6" s="791">
        <v>0</v>
      </c>
      <c r="I6" s="801">
        <v>0</v>
      </c>
    </row>
    <row r="7" spans="1:9" ht="18" x14ac:dyDescent="0.35">
      <c r="A7" s="788" t="s">
        <v>919</v>
      </c>
      <c r="B7" s="788" t="s">
        <v>920</v>
      </c>
      <c r="C7" s="788" t="s">
        <v>904</v>
      </c>
      <c r="D7" s="805" t="s">
        <v>921</v>
      </c>
      <c r="E7" s="793">
        <v>2.0070000000000001</v>
      </c>
      <c r="F7" s="794">
        <v>12.042000000000002</v>
      </c>
      <c r="G7" s="794">
        <v>1</v>
      </c>
      <c r="H7" s="791">
        <v>602.10000000000014</v>
      </c>
      <c r="I7" s="801">
        <v>1750.1040000000005</v>
      </c>
    </row>
    <row r="8" spans="1:9" ht="18" x14ac:dyDescent="0.35">
      <c r="A8" s="788" t="s">
        <v>923</v>
      </c>
      <c r="B8" s="788" t="s">
        <v>924</v>
      </c>
      <c r="C8" s="788" t="s">
        <v>904</v>
      </c>
      <c r="D8" s="803" t="s">
        <v>905</v>
      </c>
      <c r="E8" s="793">
        <v>0.41799999999999998</v>
      </c>
      <c r="F8" s="794">
        <v>2.508</v>
      </c>
      <c r="G8" s="794">
        <v>1</v>
      </c>
      <c r="H8" s="791">
        <v>125.4</v>
      </c>
      <c r="I8" s="801">
        <v>535.04</v>
      </c>
    </row>
    <row r="9" spans="1:9" ht="18" x14ac:dyDescent="0.35">
      <c r="A9" s="788" t="s">
        <v>926</v>
      </c>
      <c r="B9" s="788" t="s">
        <v>927</v>
      </c>
      <c r="C9" s="788" t="s">
        <v>904</v>
      </c>
      <c r="D9" s="806" t="s">
        <v>928</v>
      </c>
      <c r="E9" s="793">
        <v>6.23</v>
      </c>
      <c r="F9" s="794">
        <v>37.380000000000003</v>
      </c>
      <c r="G9" s="794">
        <v>1</v>
      </c>
      <c r="H9" s="791">
        <v>1869.0000000000002</v>
      </c>
      <c r="I9" s="801">
        <v>5532.2400000000016</v>
      </c>
    </row>
    <row r="10" spans="1:9" ht="18" x14ac:dyDescent="0.35">
      <c r="A10" s="788" t="s">
        <v>930</v>
      </c>
      <c r="B10" s="788" t="s">
        <v>931</v>
      </c>
      <c r="C10" s="788" t="s">
        <v>904</v>
      </c>
      <c r="D10" s="806" t="s">
        <v>928</v>
      </c>
      <c r="E10" s="793">
        <v>2154.9</v>
      </c>
      <c r="F10" s="794">
        <v>12929.400000000001</v>
      </c>
      <c r="G10" s="794">
        <v>1</v>
      </c>
      <c r="H10" s="791">
        <v>646470.00000000012</v>
      </c>
      <c r="I10" s="801">
        <v>2689315.2000000007</v>
      </c>
    </row>
    <row r="11" spans="1:9" ht="18" x14ac:dyDescent="0.35">
      <c r="A11" s="788" t="s">
        <v>933</v>
      </c>
      <c r="B11" s="788" t="s">
        <v>934</v>
      </c>
      <c r="C11" s="788" t="s">
        <v>904</v>
      </c>
      <c r="D11" s="807" t="s">
        <v>928</v>
      </c>
      <c r="E11" s="793">
        <v>833.4</v>
      </c>
      <c r="F11" s="794">
        <v>5000.3999999999996</v>
      </c>
      <c r="G11" s="794">
        <v>1</v>
      </c>
      <c r="H11" s="791">
        <v>250019.99999999997</v>
      </c>
      <c r="I11" s="801">
        <v>706723.2</v>
      </c>
    </row>
    <row r="12" spans="1:9" ht="18" x14ac:dyDescent="0.35">
      <c r="A12" s="788" t="s">
        <v>936</v>
      </c>
      <c r="B12" s="788" t="s">
        <v>937</v>
      </c>
      <c r="C12" s="788" t="s">
        <v>904</v>
      </c>
      <c r="D12" s="806" t="s">
        <v>928</v>
      </c>
      <c r="E12" s="793">
        <v>8.26</v>
      </c>
      <c r="F12" s="794">
        <v>49.56</v>
      </c>
      <c r="G12" s="794">
        <v>1</v>
      </c>
      <c r="H12" s="791">
        <v>2478</v>
      </c>
      <c r="I12" s="801">
        <v>7268.8</v>
      </c>
    </row>
    <row r="13" spans="1:9" ht="18" x14ac:dyDescent="0.35">
      <c r="A13" s="788" t="s">
        <v>939</v>
      </c>
      <c r="B13" s="788" t="s">
        <v>940</v>
      </c>
      <c r="C13" s="788" t="s">
        <v>904</v>
      </c>
      <c r="D13" s="806" t="s">
        <v>928</v>
      </c>
      <c r="E13" s="793">
        <v>7.46</v>
      </c>
      <c r="F13" s="794">
        <v>44.76</v>
      </c>
      <c r="G13" s="794">
        <v>1</v>
      </c>
      <c r="H13" s="791">
        <v>2238</v>
      </c>
      <c r="I13" s="801">
        <v>6445.4400000000005</v>
      </c>
    </row>
    <row r="14" spans="1:9" ht="18" x14ac:dyDescent="0.35">
      <c r="A14" s="788" t="s">
        <v>942</v>
      </c>
      <c r="B14" s="788" t="s">
        <v>943</v>
      </c>
      <c r="C14" s="788" t="s">
        <v>904</v>
      </c>
      <c r="D14" s="805" t="s">
        <v>921</v>
      </c>
      <c r="E14" s="793">
        <v>0</v>
      </c>
      <c r="F14" s="794">
        <v>0</v>
      </c>
      <c r="G14" s="794">
        <v>1</v>
      </c>
      <c r="H14" s="791">
        <v>0</v>
      </c>
      <c r="I14" s="801">
        <v>0</v>
      </c>
    </row>
    <row r="15" spans="1:9" ht="18" x14ac:dyDescent="0.35">
      <c r="A15" s="788" t="s">
        <v>952</v>
      </c>
      <c r="B15" s="788" t="s">
        <v>903</v>
      </c>
      <c r="C15" s="794" t="s">
        <v>953</v>
      </c>
      <c r="D15" s="803" t="s">
        <v>905</v>
      </c>
      <c r="E15" s="793">
        <v>1.6919999999999999</v>
      </c>
      <c r="F15" s="794">
        <v>10.151999999999999</v>
      </c>
      <c r="G15" s="794">
        <v>1</v>
      </c>
      <c r="H15" s="791">
        <v>507.59999999999997</v>
      </c>
      <c r="I15" s="801">
        <v>1434.8159999999998</v>
      </c>
    </row>
    <row r="16" spans="1:9" ht="18" x14ac:dyDescent="0.35">
      <c r="A16" s="788" t="s">
        <v>955</v>
      </c>
      <c r="B16" s="788" t="s">
        <v>908</v>
      </c>
      <c r="C16" s="794" t="s">
        <v>953</v>
      </c>
      <c r="D16" s="803" t="s">
        <v>905</v>
      </c>
      <c r="E16" s="793">
        <v>0.86299999999999999</v>
      </c>
      <c r="F16" s="794">
        <v>5.1779999999999999</v>
      </c>
      <c r="G16" s="794">
        <v>1</v>
      </c>
      <c r="H16" s="791">
        <v>258.89999999999998</v>
      </c>
      <c r="I16" s="801">
        <v>759.43999999999994</v>
      </c>
    </row>
    <row r="17" spans="1:9" ht="18" x14ac:dyDescent="0.35">
      <c r="A17" s="788" t="s">
        <v>957</v>
      </c>
      <c r="B17" s="788" t="s">
        <v>911</v>
      </c>
      <c r="C17" s="794" t="s">
        <v>953</v>
      </c>
      <c r="D17" s="803" t="s">
        <v>905</v>
      </c>
      <c r="E17" s="793">
        <v>0</v>
      </c>
      <c r="F17" s="794">
        <v>0</v>
      </c>
      <c r="G17" s="794">
        <v>1</v>
      </c>
      <c r="H17" s="791">
        <v>0</v>
      </c>
      <c r="I17" s="801">
        <v>0</v>
      </c>
    </row>
    <row r="18" spans="1:9" ht="18" x14ac:dyDescent="0.35">
      <c r="A18" s="788" t="s">
        <v>959</v>
      </c>
      <c r="B18" s="788" t="s">
        <v>914</v>
      </c>
      <c r="C18" s="794" t="s">
        <v>953</v>
      </c>
      <c r="D18" s="803" t="s">
        <v>905</v>
      </c>
      <c r="E18" s="793">
        <v>0.82299999999999995</v>
      </c>
      <c r="F18" s="794">
        <v>4.9379999999999997</v>
      </c>
      <c r="G18" s="794">
        <v>1</v>
      </c>
      <c r="H18" s="791">
        <v>246.89999999999998</v>
      </c>
      <c r="I18" s="801">
        <v>743.99199999999985</v>
      </c>
    </row>
    <row r="19" spans="1:9" ht="18" x14ac:dyDescent="0.35">
      <c r="A19" s="788" t="s">
        <v>961</v>
      </c>
      <c r="B19" s="788" t="s">
        <v>917</v>
      </c>
      <c r="C19" s="794" t="s">
        <v>953</v>
      </c>
      <c r="D19" s="803" t="s">
        <v>905</v>
      </c>
      <c r="E19" s="793">
        <v>0.39700000000000002</v>
      </c>
      <c r="F19" s="794">
        <v>2.3820000000000001</v>
      </c>
      <c r="G19" s="794">
        <v>1</v>
      </c>
      <c r="H19" s="791">
        <v>119.10000000000001</v>
      </c>
      <c r="I19" s="801">
        <v>387.47200000000004</v>
      </c>
    </row>
    <row r="20" spans="1:9" ht="18" x14ac:dyDescent="0.35">
      <c r="A20" s="788" t="s">
        <v>963</v>
      </c>
      <c r="B20" s="788" t="s">
        <v>920</v>
      </c>
      <c r="C20" s="794" t="s">
        <v>953</v>
      </c>
      <c r="D20" s="788" t="s">
        <v>921</v>
      </c>
      <c r="E20" s="793">
        <v>0.78300000000000003</v>
      </c>
      <c r="F20" s="794">
        <v>4.6980000000000004</v>
      </c>
      <c r="G20" s="794">
        <v>1</v>
      </c>
      <c r="H20" s="791">
        <v>234.90000000000003</v>
      </c>
      <c r="I20" s="801">
        <v>682.77600000000007</v>
      </c>
    </row>
    <row r="21" spans="1:9" ht="18" x14ac:dyDescent="0.35">
      <c r="A21" s="788" t="s">
        <v>965</v>
      </c>
      <c r="B21" s="788" t="s">
        <v>924</v>
      </c>
      <c r="C21" s="794" t="s">
        <v>953</v>
      </c>
      <c r="D21" s="803" t="s">
        <v>905</v>
      </c>
      <c r="E21" s="793">
        <v>2.0059999999999998</v>
      </c>
      <c r="F21" s="794">
        <v>12.035999999999998</v>
      </c>
      <c r="G21" s="794">
        <v>1</v>
      </c>
      <c r="H21" s="791">
        <v>601.79999999999984</v>
      </c>
      <c r="I21" s="801">
        <v>2567.6799999999994</v>
      </c>
    </row>
    <row r="22" spans="1:9" ht="18" x14ac:dyDescent="0.35">
      <c r="A22" s="788" t="s">
        <v>967</v>
      </c>
      <c r="B22" s="788" t="s">
        <v>927</v>
      </c>
      <c r="C22" s="794" t="s">
        <v>953</v>
      </c>
      <c r="D22" s="806" t="s">
        <v>928</v>
      </c>
      <c r="E22" s="793">
        <v>8.7569999999999997</v>
      </c>
      <c r="F22" s="794">
        <v>52.542000000000002</v>
      </c>
      <c r="G22" s="794">
        <v>1</v>
      </c>
      <c r="H22" s="791">
        <v>2627.1</v>
      </c>
      <c r="I22" s="801">
        <v>7776.2160000000013</v>
      </c>
    </row>
    <row r="23" spans="1:9" ht="18" x14ac:dyDescent="0.35">
      <c r="A23" s="788" t="s">
        <v>969</v>
      </c>
      <c r="B23" s="788" t="s">
        <v>931</v>
      </c>
      <c r="C23" s="794" t="s">
        <v>953</v>
      </c>
      <c r="D23" s="806" t="s">
        <v>928</v>
      </c>
      <c r="E23" s="793">
        <v>27.07</v>
      </c>
      <c r="F23" s="794">
        <v>162.42000000000002</v>
      </c>
      <c r="G23" s="794">
        <v>1</v>
      </c>
      <c r="H23" s="791">
        <v>8121.0000000000009</v>
      </c>
      <c r="I23" s="801">
        <v>33783.360000000008</v>
      </c>
    </row>
    <row r="24" spans="1:9" ht="18" x14ac:dyDescent="0.35">
      <c r="A24" s="788" t="s">
        <v>971</v>
      </c>
      <c r="B24" s="788" t="s">
        <v>934</v>
      </c>
      <c r="C24" s="794" t="s">
        <v>953</v>
      </c>
      <c r="D24" s="806" t="s">
        <v>928</v>
      </c>
      <c r="E24" s="793">
        <v>1086.7</v>
      </c>
      <c r="F24" s="794">
        <v>6520.2000000000007</v>
      </c>
      <c r="G24" s="794">
        <v>1</v>
      </c>
      <c r="H24" s="791">
        <v>326010.00000000006</v>
      </c>
      <c r="I24" s="801">
        <v>921521.60000000021</v>
      </c>
    </row>
    <row r="25" spans="1:9" ht="18" x14ac:dyDescent="0.35">
      <c r="A25" s="788" t="s">
        <v>973</v>
      </c>
      <c r="B25" s="788" t="s">
        <v>937</v>
      </c>
      <c r="C25" s="794" t="s">
        <v>953</v>
      </c>
      <c r="D25" s="806" t="s">
        <v>928</v>
      </c>
      <c r="E25" s="793">
        <v>2.9289999999999998</v>
      </c>
      <c r="F25" s="794">
        <v>17.573999999999998</v>
      </c>
      <c r="G25" s="794">
        <v>1</v>
      </c>
      <c r="H25" s="791">
        <v>878.69999999999993</v>
      </c>
      <c r="I25" s="801">
        <v>2577.52</v>
      </c>
    </row>
    <row r="26" spans="1:9" ht="18" x14ac:dyDescent="0.35">
      <c r="A26" s="788" t="s">
        <v>975</v>
      </c>
      <c r="B26" s="788" t="s">
        <v>940</v>
      </c>
      <c r="C26" s="794" t="s">
        <v>953</v>
      </c>
      <c r="D26" s="796" t="s">
        <v>928</v>
      </c>
      <c r="E26" s="793">
        <v>0.82499999999999996</v>
      </c>
      <c r="F26" s="794">
        <v>4.9499999999999993</v>
      </c>
      <c r="G26" s="794">
        <v>1</v>
      </c>
      <c r="H26" s="791">
        <v>247.49999999999997</v>
      </c>
      <c r="I26" s="801">
        <v>712.8</v>
      </c>
    </row>
    <row r="27" spans="1:9" ht="18" x14ac:dyDescent="0.35">
      <c r="A27" s="788" t="s">
        <v>977</v>
      </c>
      <c r="B27" s="788" t="s">
        <v>943</v>
      </c>
      <c r="C27" s="794" t="s">
        <v>953</v>
      </c>
      <c r="D27" s="805" t="s">
        <v>921</v>
      </c>
      <c r="E27" s="793">
        <v>1.202</v>
      </c>
      <c r="F27" s="794">
        <v>7.2119999999999997</v>
      </c>
      <c r="G27" s="794">
        <v>1</v>
      </c>
      <c r="H27" s="791">
        <v>360.59999999999997</v>
      </c>
      <c r="I27" s="801">
        <v>875.05599999999993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8666-569E-5041-BB92-8ADC18105973}">
  <dimension ref="A1:I27"/>
  <sheetViews>
    <sheetView workbookViewId="0">
      <selection activeCell="D2" sqref="D2:D27"/>
    </sheetView>
  </sheetViews>
  <sheetFormatPr defaultColWidth="11.19921875" defaultRowHeight="15.6" x14ac:dyDescent="0.3"/>
  <cols>
    <col min="4" max="4" width="19" bestFit="1" customWidth="1"/>
  </cols>
  <sheetData>
    <row r="1" spans="1:9" ht="162" x14ac:dyDescent="0.35">
      <c r="A1" s="772" t="s">
        <v>879</v>
      </c>
      <c r="B1" s="772" t="s">
        <v>880</v>
      </c>
      <c r="C1" s="771" t="s">
        <v>881</v>
      </c>
      <c r="D1" s="771" t="s">
        <v>882</v>
      </c>
      <c r="E1" s="782" t="s">
        <v>896</v>
      </c>
      <c r="F1" s="784" t="s">
        <v>899</v>
      </c>
      <c r="G1" s="785" t="s">
        <v>893</v>
      </c>
      <c r="H1" s="786" t="s">
        <v>894</v>
      </c>
      <c r="I1" s="802" t="s">
        <v>900</v>
      </c>
    </row>
    <row r="2" spans="1:9" ht="18" x14ac:dyDescent="0.35">
      <c r="A2" s="788" t="s">
        <v>902</v>
      </c>
      <c r="B2" s="788" t="s">
        <v>903</v>
      </c>
      <c r="C2" s="788" t="s">
        <v>904</v>
      </c>
      <c r="D2" s="803" t="s">
        <v>905</v>
      </c>
      <c r="E2" s="794">
        <v>22.05</v>
      </c>
      <c r="F2" s="794">
        <v>132.30000000000001</v>
      </c>
      <c r="G2" s="794">
        <v>1</v>
      </c>
      <c r="H2" s="791">
        <v>6615.0000000000009</v>
      </c>
      <c r="I2" s="804">
        <v>18698.400000000001</v>
      </c>
    </row>
    <row r="3" spans="1:9" ht="18" x14ac:dyDescent="0.35">
      <c r="A3" s="788" t="s">
        <v>907</v>
      </c>
      <c r="B3" s="788" t="s">
        <v>908</v>
      </c>
      <c r="C3" s="788" t="s">
        <v>904</v>
      </c>
      <c r="D3" s="803" t="s">
        <v>905</v>
      </c>
      <c r="E3" s="794">
        <v>0.41899999999999998</v>
      </c>
      <c r="F3" s="794">
        <v>2.5139999999999998</v>
      </c>
      <c r="G3" s="794">
        <v>1</v>
      </c>
      <c r="H3" s="791">
        <v>125.69999999999999</v>
      </c>
      <c r="I3" s="804">
        <v>368.71999999999997</v>
      </c>
    </row>
    <row r="4" spans="1:9" ht="18" x14ac:dyDescent="0.35">
      <c r="A4" s="788" t="s">
        <v>910</v>
      </c>
      <c r="B4" s="788" t="s">
        <v>911</v>
      </c>
      <c r="C4" s="788" t="s">
        <v>904</v>
      </c>
      <c r="D4" s="803" t="s">
        <v>905</v>
      </c>
      <c r="E4" s="794">
        <v>22.77</v>
      </c>
      <c r="F4" s="794">
        <v>136.62</v>
      </c>
      <c r="G4" s="794">
        <v>1</v>
      </c>
      <c r="H4" s="791">
        <v>6831</v>
      </c>
      <c r="I4" s="804">
        <v>25320.239999999998</v>
      </c>
    </row>
    <row r="5" spans="1:9" ht="18" x14ac:dyDescent="0.35">
      <c r="A5" s="788" t="s">
        <v>913</v>
      </c>
      <c r="B5" s="788" t="s">
        <v>914</v>
      </c>
      <c r="C5" s="788" t="s">
        <v>904</v>
      </c>
      <c r="D5" s="803" t="s">
        <v>905</v>
      </c>
      <c r="E5" s="794">
        <v>0.39400000000000002</v>
      </c>
      <c r="F5" s="794">
        <v>2.3639999999999999</v>
      </c>
      <c r="G5" s="794">
        <v>1</v>
      </c>
      <c r="H5" s="791">
        <v>118.19999999999999</v>
      </c>
      <c r="I5" s="804">
        <v>356.17599999999993</v>
      </c>
    </row>
    <row r="6" spans="1:9" ht="18" x14ac:dyDescent="0.35">
      <c r="A6" s="788" t="s">
        <v>916</v>
      </c>
      <c r="B6" s="788" t="s">
        <v>917</v>
      </c>
      <c r="C6" s="788" t="s">
        <v>904</v>
      </c>
      <c r="D6" s="803" t="s">
        <v>905</v>
      </c>
      <c r="E6" s="794">
        <v>1.9570000000000001</v>
      </c>
      <c r="F6" s="794">
        <v>11.742000000000001</v>
      </c>
      <c r="G6" s="794">
        <v>1</v>
      </c>
      <c r="H6" s="791">
        <v>587.1</v>
      </c>
      <c r="I6" s="804">
        <v>1910.0320000000002</v>
      </c>
    </row>
    <row r="7" spans="1:9" ht="18" x14ac:dyDescent="0.35">
      <c r="A7" s="788" t="s">
        <v>919</v>
      </c>
      <c r="B7" s="788" t="s">
        <v>920</v>
      </c>
      <c r="C7" s="788" t="s">
        <v>904</v>
      </c>
      <c r="D7" s="805" t="s">
        <v>921</v>
      </c>
      <c r="E7" s="794">
        <v>0.40100000000000002</v>
      </c>
      <c r="F7" s="794">
        <v>2.4060000000000001</v>
      </c>
      <c r="G7" s="794">
        <v>1</v>
      </c>
      <c r="H7" s="791">
        <v>120.30000000000001</v>
      </c>
      <c r="I7" s="804">
        <v>349.67200000000003</v>
      </c>
    </row>
    <row r="8" spans="1:9" ht="18" x14ac:dyDescent="0.35">
      <c r="A8" s="788" t="s">
        <v>923</v>
      </c>
      <c r="B8" s="788" t="s">
        <v>924</v>
      </c>
      <c r="C8" s="788" t="s">
        <v>904</v>
      </c>
      <c r="D8" s="803" t="s">
        <v>905</v>
      </c>
      <c r="E8" s="794">
        <v>0</v>
      </c>
      <c r="F8" s="794">
        <v>0</v>
      </c>
      <c r="G8" s="794">
        <v>1</v>
      </c>
      <c r="H8" s="791">
        <v>0</v>
      </c>
      <c r="I8" s="804">
        <v>0</v>
      </c>
    </row>
    <row r="9" spans="1:9" ht="18" x14ac:dyDescent="0.35">
      <c r="A9" s="788" t="s">
        <v>926</v>
      </c>
      <c r="B9" s="788" t="s">
        <v>927</v>
      </c>
      <c r="C9" s="788" t="s">
        <v>904</v>
      </c>
      <c r="D9" s="806" t="s">
        <v>928</v>
      </c>
      <c r="E9" s="794">
        <v>157.4</v>
      </c>
      <c r="F9" s="794">
        <v>944.40000000000009</v>
      </c>
      <c r="G9" s="794">
        <v>1</v>
      </c>
      <c r="H9" s="791">
        <v>47220.000000000007</v>
      </c>
      <c r="I9" s="804">
        <v>139771.20000000004</v>
      </c>
    </row>
    <row r="10" spans="1:9" ht="18" x14ac:dyDescent="0.35">
      <c r="A10" s="788" t="s">
        <v>930</v>
      </c>
      <c r="B10" s="788" t="s">
        <v>931</v>
      </c>
      <c r="C10" s="788" t="s">
        <v>904</v>
      </c>
      <c r="D10" s="806" t="s">
        <v>928</v>
      </c>
      <c r="E10" s="794">
        <v>2.1019999999999999</v>
      </c>
      <c r="F10" s="794">
        <v>12.611999999999998</v>
      </c>
      <c r="G10" s="794">
        <v>1</v>
      </c>
      <c r="H10" s="791">
        <v>630.59999999999991</v>
      </c>
      <c r="I10" s="804">
        <v>2623.2959999999998</v>
      </c>
    </row>
    <row r="11" spans="1:9" ht="18" x14ac:dyDescent="0.35">
      <c r="A11" s="788" t="s">
        <v>933</v>
      </c>
      <c r="B11" s="788" t="s">
        <v>934</v>
      </c>
      <c r="C11" s="788" t="s">
        <v>904</v>
      </c>
      <c r="D11" s="807" t="s">
        <v>928</v>
      </c>
      <c r="E11" s="794">
        <v>742.5</v>
      </c>
      <c r="F11" s="794">
        <v>4455</v>
      </c>
      <c r="G11" s="794">
        <v>1</v>
      </c>
      <c r="H11" s="791">
        <v>222750</v>
      </c>
      <c r="I11" s="804">
        <v>629640</v>
      </c>
    </row>
    <row r="12" spans="1:9" ht="18" x14ac:dyDescent="0.35">
      <c r="A12" s="788" t="s">
        <v>936</v>
      </c>
      <c r="B12" s="788" t="s">
        <v>937</v>
      </c>
      <c r="C12" s="788" t="s">
        <v>904</v>
      </c>
      <c r="D12" s="806" t="s">
        <v>928</v>
      </c>
      <c r="E12" s="794">
        <v>62.42</v>
      </c>
      <c r="F12" s="794">
        <v>374.52</v>
      </c>
      <c r="G12" s="794">
        <v>1</v>
      </c>
      <c r="H12" s="791">
        <v>18726</v>
      </c>
      <c r="I12" s="804">
        <v>54929.600000000006</v>
      </c>
    </row>
    <row r="13" spans="1:9" ht="18" x14ac:dyDescent="0.35">
      <c r="A13" s="788" t="s">
        <v>939</v>
      </c>
      <c r="B13" s="788" t="s">
        <v>940</v>
      </c>
      <c r="C13" s="788" t="s">
        <v>904</v>
      </c>
      <c r="D13" s="806" t="s">
        <v>928</v>
      </c>
      <c r="E13" s="794">
        <v>17.3</v>
      </c>
      <c r="F13" s="794">
        <v>103.80000000000001</v>
      </c>
      <c r="G13" s="794">
        <v>1</v>
      </c>
      <c r="H13" s="791">
        <v>5190.0000000000009</v>
      </c>
      <c r="I13" s="804">
        <v>14947.200000000004</v>
      </c>
    </row>
    <row r="14" spans="1:9" ht="18" x14ac:dyDescent="0.35">
      <c r="A14" s="788" t="s">
        <v>942</v>
      </c>
      <c r="B14" s="788" t="s">
        <v>943</v>
      </c>
      <c r="C14" s="788" t="s">
        <v>904</v>
      </c>
      <c r="D14" s="805" t="s">
        <v>921</v>
      </c>
      <c r="E14" s="794">
        <v>0</v>
      </c>
      <c r="F14" s="794">
        <v>0</v>
      </c>
      <c r="G14" s="794">
        <v>1</v>
      </c>
      <c r="H14" s="791">
        <v>0</v>
      </c>
      <c r="I14" s="804">
        <v>0</v>
      </c>
    </row>
    <row r="15" spans="1:9" ht="18" x14ac:dyDescent="0.35">
      <c r="A15" s="788" t="s">
        <v>952</v>
      </c>
      <c r="B15" s="788" t="s">
        <v>903</v>
      </c>
      <c r="C15" s="794" t="s">
        <v>953</v>
      </c>
      <c r="D15" s="803" t="s">
        <v>905</v>
      </c>
      <c r="E15" s="794">
        <v>9.3079999999999998</v>
      </c>
      <c r="F15" s="794">
        <v>55.847999999999999</v>
      </c>
      <c r="G15" s="794">
        <v>1</v>
      </c>
      <c r="H15" s="791">
        <v>2792.4</v>
      </c>
      <c r="I15" s="804">
        <v>7893.1840000000002</v>
      </c>
    </row>
    <row r="16" spans="1:9" ht="18" x14ac:dyDescent="0.35">
      <c r="A16" s="788" t="s">
        <v>955</v>
      </c>
      <c r="B16" s="788" t="s">
        <v>908</v>
      </c>
      <c r="C16" s="794" t="s">
        <v>953</v>
      </c>
      <c r="D16" s="803" t="s">
        <v>905</v>
      </c>
      <c r="E16" s="794">
        <v>0.42299999999999999</v>
      </c>
      <c r="F16" s="794">
        <v>2.5379999999999998</v>
      </c>
      <c r="G16" s="794">
        <v>1</v>
      </c>
      <c r="H16" s="791">
        <v>126.89999999999999</v>
      </c>
      <c r="I16" s="804">
        <v>372.24</v>
      </c>
    </row>
    <row r="17" spans="1:9" ht="18" x14ac:dyDescent="0.35">
      <c r="A17" s="788" t="s">
        <v>957</v>
      </c>
      <c r="B17" s="788" t="s">
        <v>911</v>
      </c>
      <c r="C17" s="794" t="s">
        <v>953</v>
      </c>
      <c r="D17" s="803" t="s">
        <v>905</v>
      </c>
      <c r="E17" s="794">
        <v>2.9390000000000001</v>
      </c>
      <c r="F17" s="794">
        <v>17.634</v>
      </c>
      <c r="G17" s="794">
        <v>1</v>
      </c>
      <c r="H17" s="791">
        <v>881.7</v>
      </c>
      <c r="I17" s="804">
        <v>3268.1680000000001</v>
      </c>
    </row>
    <row r="18" spans="1:9" ht="18" x14ac:dyDescent="0.35">
      <c r="A18" s="788" t="s">
        <v>959</v>
      </c>
      <c r="B18" s="788" t="s">
        <v>914</v>
      </c>
      <c r="C18" s="794" t="s">
        <v>953</v>
      </c>
      <c r="D18" s="803" t="s">
        <v>905</v>
      </c>
      <c r="E18" s="794">
        <v>0</v>
      </c>
      <c r="F18" s="794">
        <v>0</v>
      </c>
      <c r="G18" s="794">
        <v>1</v>
      </c>
      <c r="H18" s="791">
        <v>0</v>
      </c>
      <c r="I18" s="804">
        <v>0</v>
      </c>
    </row>
    <row r="19" spans="1:9" ht="18" x14ac:dyDescent="0.35">
      <c r="A19" s="788" t="s">
        <v>961</v>
      </c>
      <c r="B19" s="788" t="s">
        <v>917</v>
      </c>
      <c r="C19" s="794" t="s">
        <v>953</v>
      </c>
      <c r="D19" s="803" t="s">
        <v>905</v>
      </c>
      <c r="E19" s="794">
        <v>0</v>
      </c>
      <c r="F19" s="794">
        <v>0</v>
      </c>
      <c r="G19" s="794">
        <v>1</v>
      </c>
      <c r="H19" s="791">
        <v>0</v>
      </c>
      <c r="I19" s="804">
        <v>0</v>
      </c>
    </row>
    <row r="20" spans="1:9" ht="18" x14ac:dyDescent="0.35">
      <c r="A20" s="788" t="s">
        <v>963</v>
      </c>
      <c r="B20" s="788" t="s">
        <v>920</v>
      </c>
      <c r="C20" s="794" t="s">
        <v>953</v>
      </c>
      <c r="D20" s="788" t="s">
        <v>921</v>
      </c>
      <c r="E20" s="794">
        <v>0</v>
      </c>
      <c r="F20" s="794">
        <v>0</v>
      </c>
      <c r="G20" s="794">
        <v>1</v>
      </c>
      <c r="H20" s="791">
        <v>0</v>
      </c>
      <c r="I20" s="804">
        <v>0</v>
      </c>
    </row>
    <row r="21" spans="1:9" ht="18" x14ac:dyDescent="0.35">
      <c r="A21" s="788" t="s">
        <v>965</v>
      </c>
      <c r="B21" s="788" t="s">
        <v>924</v>
      </c>
      <c r="C21" s="794" t="s">
        <v>953</v>
      </c>
      <c r="D21" s="803" t="s">
        <v>905</v>
      </c>
      <c r="E21" s="794">
        <v>0</v>
      </c>
      <c r="F21" s="794">
        <v>0</v>
      </c>
      <c r="G21" s="794">
        <v>1</v>
      </c>
      <c r="H21" s="791">
        <v>0</v>
      </c>
      <c r="I21" s="804">
        <v>0</v>
      </c>
    </row>
    <row r="22" spans="1:9" ht="18" x14ac:dyDescent="0.35">
      <c r="A22" s="788" t="s">
        <v>967</v>
      </c>
      <c r="B22" s="788" t="s">
        <v>927</v>
      </c>
      <c r="C22" s="794" t="s">
        <v>953</v>
      </c>
      <c r="D22" s="806" t="s">
        <v>928</v>
      </c>
      <c r="E22" s="794">
        <v>69.540000000000006</v>
      </c>
      <c r="F22" s="794">
        <v>417.24</v>
      </c>
      <c r="G22" s="794">
        <v>1</v>
      </c>
      <c r="H22" s="791">
        <v>20862</v>
      </c>
      <c r="I22" s="804">
        <v>61751.520000000011</v>
      </c>
    </row>
    <row r="23" spans="1:9" ht="18" x14ac:dyDescent="0.35">
      <c r="A23" s="788" t="s">
        <v>969</v>
      </c>
      <c r="B23" s="788" t="s">
        <v>931</v>
      </c>
      <c r="C23" s="794" t="s">
        <v>953</v>
      </c>
      <c r="D23" s="806" t="s">
        <v>928</v>
      </c>
      <c r="E23" s="794">
        <v>0</v>
      </c>
      <c r="F23" s="794">
        <v>0</v>
      </c>
      <c r="G23" s="794">
        <v>1</v>
      </c>
      <c r="H23" s="791">
        <v>0</v>
      </c>
      <c r="I23" s="804">
        <v>0</v>
      </c>
    </row>
    <row r="24" spans="1:9" ht="18" x14ac:dyDescent="0.35">
      <c r="A24" s="788" t="s">
        <v>971</v>
      </c>
      <c r="B24" s="788" t="s">
        <v>934</v>
      </c>
      <c r="C24" s="794" t="s">
        <v>953</v>
      </c>
      <c r="D24" s="806" t="s">
        <v>928</v>
      </c>
      <c r="E24" s="794">
        <v>584.9</v>
      </c>
      <c r="F24" s="794">
        <v>3509.3999999999996</v>
      </c>
      <c r="G24" s="794">
        <v>1</v>
      </c>
      <c r="H24" s="791">
        <v>175469.99999999997</v>
      </c>
      <c r="I24" s="804">
        <v>495995.1999999999</v>
      </c>
    </row>
    <row r="25" spans="1:9" ht="18" x14ac:dyDescent="0.35">
      <c r="A25" s="788" t="s">
        <v>973</v>
      </c>
      <c r="B25" s="788" t="s">
        <v>937</v>
      </c>
      <c r="C25" s="794" t="s">
        <v>953</v>
      </c>
      <c r="D25" s="806" t="s">
        <v>928</v>
      </c>
      <c r="E25" s="794">
        <v>138.9</v>
      </c>
      <c r="F25" s="794">
        <v>833.40000000000009</v>
      </c>
      <c r="G25" s="794">
        <v>1</v>
      </c>
      <c r="H25" s="791">
        <v>41670.000000000007</v>
      </c>
      <c r="I25" s="804">
        <v>122232.00000000003</v>
      </c>
    </row>
    <row r="26" spans="1:9" ht="18" x14ac:dyDescent="0.35">
      <c r="A26" s="788" t="s">
        <v>975</v>
      </c>
      <c r="B26" s="788" t="s">
        <v>940</v>
      </c>
      <c r="C26" s="794" t="s">
        <v>953</v>
      </c>
      <c r="D26" s="796" t="s">
        <v>928</v>
      </c>
      <c r="E26" s="794">
        <v>2.0680000000000001</v>
      </c>
      <c r="F26" s="794">
        <v>12.408000000000001</v>
      </c>
      <c r="G26" s="794">
        <v>1</v>
      </c>
      <c r="H26" s="791">
        <v>620.40000000000009</v>
      </c>
      <c r="I26" s="804">
        <v>1786.7520000000004</v>
      </c>
    </row>
    <row r="27" spans="1:9" ht="18" x14ac:dyDescent="0.35">
      <c r="A27" s="788" t="s">
        <v>977</v>
      </c>
      <c r="B27" s="788" t="s">
        <v>943</v>
      </c>
      <c r="C27" s="794" t="s">
        <v>953</v>
      </c>
      <c r="D27" s="805" t="s">
        <v>921</v>
      </c>
      <c r="E27" s="794">
        <v>0.39200000000000002</v>
      </c>
      <c r="F27" s="794">
        <v>2.3520000000000003</v>
      </c>
      <c r="G27" s="794">
        <v>1</v>
      </c>
      <c r="H27" s="791">
        <v>117.60000000000002</v>
      </c>
      <c r="I27" s="804">
        <v>285.37600000000009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Figure 2</vt:lpstr>
      <vt:lpstr>Figure 3</vt:lpstr>
      <vt:lpstr>Figure 4</vt:lpstr>
      <vt:lpstr>Figure 4A</vt:lpstr>
      <vt:lpstr>Figure 4B</vt:lpstr>
      <vt:lpstr>Figure 4C</vt:lpstr>
      <vt:lpstr>Figure 5</vt:lpstr>
      <vt:lpstr>Figure 6</vt:lpstr>
      <vt:lpstr>Figure 6A</vt:lpstr>
      <vt:lpstr>Figure 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Mariscal</dc:creator>
  <cp:lastModifiedBy>Jeremy Kahsen</cp:lastModifiedBy>
  <dcterms:created xsi:type="dcterms:W3CDTF">2024-02-29T21:54:37Z</dcterms:created>
  <dcterms:modified xsi:type="dcterms:W3CDTF">2025-06-27T19:06:13Z</dcterms:modified>
</cp:coreProperties>
</file>